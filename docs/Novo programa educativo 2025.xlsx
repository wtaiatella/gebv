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0c1d02057b38693/Área de Trabalho/Escoteiros/Metodo Educativo/"/>
    </mc:Choice>
  </mc:AlternateContent>
  <xr:revisionPtr revIDLastSave="766" documentId="13_ncr:1_{3988D861-76ED-4945-948D-771A242C7394}" xr6:coauthVersionLast="47" xr6:coauthVersionMax="47" xr10:uidLastSave="{6FD8A51F-2ADC-4717-A176-273FCC75CDC0}"/>
  <bookViews>
    <workbookView xWindow="-108" yWindow="-108" windowWidth="23256" windowHeight="12456" xr2:uid="{83F4521E-EAAD-460B-B52D-544C6820484F}"/>
  </bookViews>
  <sheets>
    <sheet name="Geral" sheetId="1" r:id="rId1"/>
    <sheet name="Lobinho" sheetId="2" r:id="rId2"/>
    <sheet name="Escoteiro" sheetId="3" r:id="rId3"/>
    <sheet name="Sênior" sheetId="4" r:id="rId4"/>
    <sheet name="Pioneiro" sheetId="5" r:id="rId5"/>
  </sheets>
  <definedNames>
    <definedName name="_xlnm.Print_Area" localSheetId="0">Geral!$B$45:$G$64</definedName>
    <definedName name="atividade.fixa">Geral!$C$46:$G$64</definedName>
    <definedName name="atividade.variavel">Geral!$C$67:$G$85</definedName>
    <definedName name="objetivos.gerais">Geral!$C$2:$G$21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5" l="1"/>
  <c r="E4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E21" i="5"/>
  <c r="E20" i="5"/>
  <c r="E19" i="5"/>
  <c r="E18" i="5"/>
  <c r="E17" i="5"/>
  <c r="E16" i="5"/>
  <c r="E15" i="5"/>
  <c r="E14" i="5"/>
  <c r="E13" i="5"/>
  <c r="E12" i="5"/>
  <c r="E10" i="5"/>
  <c r="E9" i="5"/>
  <c r="E8" i="5"/>
  <c r="E7" i="5"/>
  <c r="E6" i="5"/>
  <c r="E5" i="5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9" i="4"/>
  <c r="F18" i="4"/>
  <c r="F20" i="4"/>
  <c r="F21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D9" i="2"/>
  <c r="D8" i="2"/>
  <c r="D7" i="2"/>
  <c r="D6" i="2"/>
  <c r="D5" i="2"/>
  <c r="D4" i="2"/>
  <c r="D10" i="2"/>
  <c r="D11" i="2"/>
  <c r="D12" i="2"/>
  <c r="D13" i="2"/>
  <c r="D14" i="2"/>
  <c r="D15" i="2"/>
  <c r="D16" i="2"/>
  <c r="D17" i="2"/>
  <c r="D18" i="2"/>
  <c r="D19" i="2"/>
  <c r="D20" i="2"/>
  <c r="D21" i="2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4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</calcChain>
</file>

<file path=xl/sharedStrings.xml><?xml version="1.0" encoding="utf-8"?>
<sst xmlns="http://schemas.openxmlformats.org/spreadsheetml/2006/main" count="524" uniqueCount="289">
  <si>
    <t xml:space="preserve">OBJETIVOS </t>
  </si>
  <si>
    <t>EIXO</t>
  </si>
  <si>
    <t>BLOCO</t>
  </si>
  <si>
    <t>RAMO LOBINHO</t>
  </si>
  <si>
    <t>RAMO ESCOTEIRO</t>
  </si>
  <si>
    <t>RAMO SÊNIOR</t>
  </si>
  <si>
    <t>RAMO PIONEIRO</t>
  </si>
  <si>
    <t>Habilidades para a Vida</t>
  </si>
  <si>
    <t>Aprendizagem contínua e desenvolvimento vocacional</t>
  </si>
  <si>
    <t>Conhecer diferentes temas, planejar estratégias para aprender de maneira eficaz e utilizar novos conceitos e recursos para melhorar seus resultados. Aprofundar seus conhecimentos em áreas de interesse, descobrindo e explorando sua vocação.</t>
  </si>
  <si>
    <t>Buscar constantemente novos conhecimentos e habilidades, analisando informações com senso crítico e aplicando-as de forma responsável. Explora suas opções vocacionais para escolher um caminho profissional que lhe proporcione realização e dignidade.</t>
  </si>
  <si>
    <t>Autonomia e liderança</t>
  </si>
  <si>
    <t>Assumir responsabilidades dentro de sua patrulha ou equipe de interesse, trabalhando junto aos colegas para alcançar objetivos. Organizar e administrar recursos para seus projetos, definir um orçamento e executar ações para cumpri-lo. Planejar, realizar e avaliar atividades individuais e coletivas, tomando decisões com consciência e responsabilidade.</t>
  </si>
  <si>
    <t>Assumir o compromisso de conquistar sua independência financeira de forma ética, valorizando seu próprio trabalho e o dos outros. Participar ativamente de projetos individuais e coletivos, tomar decisões com consciência e responsabilidade, avaliando os impactos de suas escolhas.</t>
  </si>
  <si>
    <t>Criatividade e inovação</t>
  </si>
  <si>
    <t>Expressar suas ideias, talentos e criatividade por meio da arte, da escrita, da música ou de outras formas de criação. Buscar inovar em seus projetos e iniciativas, explorando novas possibilidades além daquilo que já está acostumado a fazer.</t>
  </si>
  <si>
    <t>Utilizar a criatividade para se adaptar a diferentes situações do dia a dia, explorando novas soluções para desafios e inovando ao enfrentar mudanças.</t>
  </si>
  <si>
    <t>Inteligência emocional</t>
  </si>
  <si>
    <t>Reconhecer e lidar com seus sentimentos, respeitando suas próprias emoções, expressando-se de forma equilibrada e assertiva.</t>
  </si>
  <si>
    <t>Fortalecer a resiliência, refletindo sobre seus pontos fortes e áreas de melhoria, sabendo lidar com suas emoções e construindo relações saudáveis. Incentivar a busca pela realização dos próprios sonhos por meio do estabelecimento e da execução de planos com equilíbrio, propósito e respeito consigo mesmo e com os outros.</t>
  </si>
  <si>
    <t>Meio Ambiente</t>
  </si>
  <si>
    <t>Consumo responsável</t>
  </si>
  <si>
    <t>Praticar o consumo consciente diariamente, evitando desperdícios e ajudando a preservar os recursos naturais.</t>
  </si>
  <si>
    <t>Compreender como o consumo responsável influencia o futuro do planeta e adotar hábitos que ajudam a garantir recursos para as próximas gerações.</t>
  </si>
  <si>
    <t>Agir com responsabilidade ambiental, adotando a prática do consumo consciente e desenvolvendo iniciativas que contribuam para a construção de um futuro sustentável.</t>
  </si>
  <si>
    <t>Mudanças climáticas</t>
  </si>
  <si>
    <t>Propor e organizar atividades e projetos para reduzir os impactos ambientais e combater as mudanças climáticas. Incentivar práticas sustentáveis no dia a dia e mobilizar outros para agir pelo meio ambiente.</t>
  </si>
  <si>
    <t>Compreender os impactos e as causas das mudanças climáticas, buscando soluções para minimizá-las. Liderar ações que promovam a conscientização e a adoção de práticas sustentáveis.</t>
  </si>
  <si>
    <t>Preservação da biodiversidade</t>
  </si>
  <si>
    <t>Identificar os impactos das ações humanas na biodiversidade e atuar para proteger os ecossistemas, promovendo a preservação da fauna e flora.</t>
  </si>
  <si>
    <t>Atuar na preservação da biodiversidade, entendendo as causas e os impactos das ações humanas na sua perda. Implementar estratégias para proteger a vida no planeta.</t>
  </si>
  <si>
    <t>Vida ao ar livre</t>
  </si>
  <si>
    <t>Aproveitar ao máximo as atividades ao ar livre e sua conexão com a natureza, sempre cuidando do ambiente e reduzindo seu impacto sobre ele.</t>
  </si>
  <si>
    <t>Usufruir do contato com a natureza e das atividades ao ar livre, adotando práticas conscientes que minimizem seu impacto ao meio ambiente e contribuam para a preservação do equilíbrio ecológico.</t>
  </si>
  <si>
    <t>Paz e Desenvolvimento</t>
  </si>
  <si>
    <t>Comunidade</t>
  </si>
  <si>
    <t>Planejar e coordenar projetos que geram impacto positivo na comunidade, dialogando com outras instituições, e promover ações concretas para o bem comum.</t>
  </si>
  <si>
    <t>Democracia</t>
  </si>
  <si>
    <t>Participar ativamente da democracia, engajando-se em debates, contribuindo na tomada de decisões e ajudando a construir soluções coletivas para desafios sociais.</t>
  </si>
  <si>
    <t>Participar ativamente de processos democráticos, colaborando na tomada de decisões coletivas e contribuindo para que todos tenham voz, espaço para se expressar e igualdade de oportunidades para participar plenamente.</t>
  </si>
  <si>
    <t>Herança cultural</t>
  </si>
  <si>
    <t>Compartilhar a herança cultural de sua comunidade e do seu país, organizando atividades e projetos que valorizam a história, os costumes e os saberes ancestrais dos povos originários brasileiros.</t>
  </si>
  <si>
    <t>Valorizar e compartilhar a herança cultural de sua comunidade e do seu país. Reconhecer e respeitar os saberes e tradições dos povos originários, promovendo sua importância na sociedade atual.</t>
  </si>
  <si>
    <t>Promoção da paz</t>
  </si>
  <si>
    <t>Desenvolver projetos que promovem a paz, o respeito à diversidade, o diálogo entre diferentes culturas e crenças, reconhecendo e valorizando a pluralidade da humanidade.</t>
  </si>
  <si>
    <t>Promover ações inclusivas, respeitando as diferenças e incentivando o diálogo empático entre as pessoas, independentemente de crença, etnia ou cultura, de modo a construir um ambiente de compreensão e respeito mútuo.</t>
  </si>
  <si>
    <t>Valores</t>
  </si>
  <si>
    <t>Alinhar suas atitudes aos seus valores pessoais e aos princípios do Movimento Escoteiro, vivendo a Promessa e a Lei Escoteira de forma consciente e coerente.</t>
  </si>
  <si>
    <t>Alinhas suas ações aos seus valores pessoais e aos princípios do Movimento Escoteiro, vivenciando a Promessa e a Lei Escoteira de forma autêntica, incorporando-os em cada escolha do dia a dia, sendo um exemplo de compromisso com a construção de um mundo melhor.</t>
  </si>
  <si>
    <t>Saúde e Bem-estar</t>
  </si>
  <si>
    <t>Cuidado com corpo</t>
  </si>
  <si>
    <t>Reconhecer e valorizar suas habilidades físicas, se desafiar a superar limitações e cuidar da própria saúde com respeito ao seu corpo. Valorizar e respeitar a diversidade humana.</t>
  </si>
  <si>
    <t>Responsabilizar-se pelo cuidado com seu corpo, reconhecendo suas capacidades, enfrentando desafios e respeitando seus limites. Expressar sua sexualidade com autorrespeito e respeito ao próximo, valorizando a diversidade e a individualidade.</t>
  </si>
  <si>
    <t>Espiritualidade</t>
  </si>
  <si>
    <t>Refletir sobre o sentido da vida, encontrando inspiração na natureza, na solidariedade e na diversidade espiritual da sua comunidade. Buscar viver de acordo com seus valores, alinhando suas crenças às suas ações diárias.</t>
  </si>
  <si>
    <t>Buscar compreender e vivenciar sua espiritualidade, encontrando sentido para sua vida por meio de suas crenças e valores. Procurar agir com coerência, incorporando seus valores de forma contínua nas escolhas do cotidiano e na sua atuação na comunidade.</t>
  </si>
  <si>
    <t>Hábitos saudáveis</t>
  </si>
  <si>
    <t>Cuidar do próprio bem-estar adotando hábitos saudáveis, praticando atividades físicas, mantendo uma alimentação equilibrada e garantindo a higiene pessoal e a organização do ambiente onde vive.</t>
  </si>
  <si>
    <t>Cuidar do próprio bem-estar, adotando uma rotina de autocuidado que inclua a prática regular de atividades físicas, uma alimentação equilibrada e a manutenção da higiene pessoal e do ambiente ao seu redor.</t>
  </si>
  <si>
    <t>Saúde mental</t>
  </si>
  <si>
    <t>Cultivar hábitos que promovam a saúde mental, aprender a lidar com desafios e aplicar práticas que favoreçam um ambiente positivo e acolhedor para si e para aqueles ao seu redor.</t>
  </si>
  <si>
    <t>Manter hábitos que promovam o equilíbrio da saúde mental, adotando estratégias que favoreçam o bem-estar próprio e coletivo, contribuindo para a construção de ambientes mais saudáveis, empáticos e acolhedores.</t>
  </si>
  <si>
    <t>Vínculos saudáveis</t>
  </si>
  <si>
    <t>Construir relações saudáveis e empáticas, criando laços baseados no respeito, na compreensão mútua e no bem-estar coletivo.</t>
  </si>
  <si>
    <t>Construir vínculos saudáveis e relações interpessoais baseadas na empatia, no respeito e no crescimento mútuo, promovendo um ambiente positivo e acolhedor para todos.</t>
  </si>
  <si>
    <t>*Jogo dos Sonhos (profissões e futuro)
*Visita ou conversa com profissionais da comunidade
*-Pequenos experimentos científicos para despertar curiosidade</t>
  </si>
  <si>
    <t>*Contato com profissionais e exploração de carreiras
*Atividades sobre cultura geral, ciência e curiosidades
*Experimentos práticos de física, química e biologia
*Reflexão sobre aprendizados e metas pessoais</t>
  </si>
  <si>
    <t>*Contato com profissionais e exploração de carreiras
*Comunidades de aprendizagem com temas de interesse
*Desenvolvimento de especialidades e competências técnicas
*Reflexão sobre identidade e projeto de vida</t>
  </si>
  <si>
    <t>*Planejamento de carreira e definição de metas pessoais
*Simulações de experiências profissionais e networking
*Desenvolvimento de competências para o mundo do trabalho
*Construção do Projeto de Vida com objetivos pessoais e profissionais</t>
  </si>
  <si>
    <t>*Assumir pequenos papéis de liderança nas atividades
*Organizar mochila e materiais pessoais
*Responsabilidades progressivas na matilha</t>
  </si>
  <si>
    <t>*Exercício de encargos e funções na patrulha
*Gestão de recursos e organização em acampamentos
*Conselho de Patrulha para decisões coletivas
*Tomada de decisões e resolução de desafios reais</t>
  </si>
  <si>
    <t>*Liderança em projetos e eventos escoteiros
*Gestão de equipes, recursos e cronogramas
*Treinamentos de liderança e tomada de decisão
*Protagonismo na condução de atividades</t>
  </si>
  <si>
    <t>*Liderança de projetos sociais, ambientais ou comunitários
*Participação em governança juvenil e representações comunitárias
*Organização e gestão de iniciativas e eventos
*Tomada de decisões estratégicas e responsabilidade social</t>
  </si>
  <si>
    <t>*Construção de brinquedos com materiais recicláveis
*Teatro de fantoches e dramatizações
*Criação de jogos e histórias</t>
  </si>
  <si>
    <t>*Construções pioneiras úteis para o acampamento
*Soluções criativas com materiais simples
*Desafios de adaptação e inovação
*Expressão artística (desenho, teatro, música)</t>
  </si>
  <si>
    <t>*Hackathons e desafios de soluções sociais
*Desenvolvimento de ideias inovadoras para a comunidade
*Oficinas de design, comunicação e produção digital
*Construções e soluções utilizando recursos disponíveis</t>
  </si>
  <si>
    <t>*Hackathons e laboratórios de inovação social
*Desenvolvimento de soluções para desafios comunitários
*Prototipagem e criação de produtos ou serviços úteis
*Técnicas de design thinking e metodologias criativas</t>
  </si>
  <si>
    <t>*Expressar sentimentos por meio de arte e dramatização
*Atividades que estimulem empatia e cooperação
*Espaços de fala e escuta na matilha</t>
  </si>
  <si>
    <t>*Trabalho em equipe e apoio mútuo
*Resolução de problemas em grupo
*Reflexões sobre convivência e atitudes
*Comunicação respeitosa e cooperação</t>
  </si>
  <si>
    <t>*Práticas de mindfulness e controle emocional
*Autoconhecimento e construção da identidade
*Gestão do estresse e resiliência
*Trabalho em equipe e apoio mútuo</t>
  </si>
  <si>
    <t>*Autoconhecimento e desenvolvimento da identidade pessoal
*Técnicas de negociação, mediação e comunicação assertiva
*Gestão emocional, resiliência e equilíbrio pessoal
*Reflexão sobre valores, propósito e sentido de vida</t>
  </si>
  <si>
    <t>*Separação e reciclagem do lixo por meio de jogos
*Reutilização de materiais em atividades
*Uso consciente da água no dia a dia</t>
  </si>
  <si>
    <t>*Redução do uso de plásticos e reutilização de materiais
*Separação correta de resíduos em atividades e acampamentos
*Práticas para economizar água e energia no dia a dia</t>
  </si>
  <si>
    <t>*Uso de materiais reutilizáveis e redução de resíduos em expedições
*Práticas sustentáveis no preparo de alimentos e uso de recursos
*Reflexão sobre impactos ambientais das próprias ações</t>
  </si>
  <si>
    <t>*Redução da pegada ecológica e consumo consciente
*Reaproveitamento de resíduos e práticas sustentáveis no cotidiano
*Incentivo a hábitos sustentáveis na comunidade</t>
  </si>
  <si>
    <t>*Economizar água e energia
*Identificar fontes de água e importância da preservação
*Conversas simples sobre cuidado com o planeta</t>
  </si>
  <si>
    <t>*Cálculo da pegada ecológica e reflexão sobre impactos
*Discussão sobre hábitos sustentáveis e redução de impactos
*Observação dos efeitos da ação humana no ambiente</t>
  </si>
  <si>
    <t>*Monitoramento de impactos ambientais locais
*Discussão sobre problemas como erosão, poluição e desmatamento
*Planejamento de ações para reduzir impactos ambientais</t>
  </si>
  <si>
    <t>*Debate e conscientização sobre mudanças climáticas e sustentabilidade
*Participação em fóruns, conselhos e audiências ambientais
*Desenvolvimento de soluções sustentáveis para problemas locais</t>
  </si>
  <si>
    <t>*Construção de comedouros para pássaros
*Abrigos para insetos polinizadores
*Respeito aos animais usando histórias da Jângal</t>
  </si>
  <si>
    <t>*Projetos de recuperação de áreas degradadas
*Compostagem e cuidado com jardins comunitários
*Observação da fauna e impactos da iluminação artificial
*Visitas a nascentes e análise da qualidade da água</t>
  </si>
  <si>
    <t>*Projetos de recuperação de áreas degradadas
*Plantio de espécies nativas e criação de corredores ecológicos
*Monitoramento da qualidade do solo e da água
*Mapeamento e conservação de áreas naturais</t>
  </si>
  <si>
    <t>*Projetos de reflorestamento e recuperação ambiental
*Monitoramento e preservação de ecossistemas locais
*Criação de iniciativas ambientais comunitárias</t>
  </si>
  <si>
    <t>*Caminhadas em parques e áreas verdes
*Observação de plantas, animais e elementos naturais
*Mutirões de limpeza em praças e entorno da sede</t>
  </si>
  <si>
    <t>*Acampamentos com práticas de mínimo impacto ambiental
*Trilhas ecológicas e observação da natureza
*Planejamento sustentável de atividades ao ar livre
*Ações de conscientização ambiental na comunidade</t>
  </si>
  <si>
    <t>*Trilhas e expedições com técnicas de mínimo impacto
*Expedições autônomas com planejamento e autossuficiência
*Construções ecológicas e técnicas de sobrevivência
*Tomada de decisões e resiliência em ambientes naturais</t>
  </si>
  <si>
    <t>*Expedições e vivências em biomas diversos
*Trilhas ecológicas e práticas de mínimo impacto
*Aplicação de tecnologias sustentáveis em campo
*Planejamento de atividades ambientais de longo prazo</t>
  </si>
  <si>
    <t>*Visitas a instituições e interação com a comunidade
*Cuidar de espaços públicos (limpeza, plantio, revitalização)
*Campanhas solidárias (brinquedos, roupas, alimentos)</t>
  </si>
  <si>
    <t>*Ações de impacto social e revitalização de espaços públicos
*Oficinas culturais ou atividades para crianças da comunidade
*Entrevistas com moradores para conhecer histórias locais
*Campanhas educativas de conscientização social</t>
  </si>
  <si>
    <t>*Mutirões e ações de impacto social na comunidade
*Organização de campanhas solidárias e educativas
*Identificação de problemas locais e criação de soluções
*Participação ativa em iniciativas sociais</t>
  </si>
  <si>
    <t>*Desenvolvimento de projetos sociais para populações vulneráveis
*Mapeamento de demandas locais e ações de impacto comunitário
*Programas de mentoria e apoio a jovens em situação de risco
*Revitalização de espaços públicos e iniciativas comunitárias</t>
  </si>
  <si>
    <t>*Roca de Conselho para dialogar e decidir juntos
*Resolver pequenos conflitos de forma pacífica
*Participação nas decisões da matilha</t>
  </si>
  <si>
    <t>*Simulação de eleições e participação cidadã
*Rodas de diálogo sobre direitos, inclusão e igualdade
*Discussões sobre decisões coletivas e participação social</t>
  </si>
  <si>
    <t>*Simulações de negociação e diplomacia internacional
*Oficinas de comunicação não-violenta e mediação de conflitos
*Debates sobre direitos humanos, igualdade e justiça social
*Participação em espaços de decisão e liderança juvenil</t>
  </si>
  <si>
    <t>*Participação em conselhos, fóruns e espaços de decisão pública
*Debates sobre direitos humanos, justiça social e políticas públicas
*Produção de conteúdos educativos para conscientização social
*Incentivo à cidadania ativa e participação social</t>
  </si>
  <si>
    <t>*Festa das Nações com músicas e com*idas típicas
*Narrativas sobre tradições brasileiras
*Compartilhar histórias e tradições familiares
*Visitas a museus, feiras culturais e festivais</t>
  </si>
  <si>
    <t>*Visitas a museus, centros culturais e eventos tradicionais
*Feira cultural com apresentação de países e regiões
*Pesquisa sobre costumes e tradições locais
*Estudo da evolução cultural ao longo do tempo</t>
  </si>
  <si>
    <t>*Encontros interculturais e troca de experiências
*Jornadas pelo patrimônio histórico e cultural
*Mapa da identidade cultural e história familiar
*Oficinas artísticas para valorização das tradições</t>
  </si>
  <si>
    <t>*Diálogo intercultural e respeito à diversidade religiosa e cultural
*Produção cultural e valorização de identidades locais
*Intercâmbios e experiências culturais nacionais e internacionais</t>
  </si>
  <si>
    <t>*Prática diária da boa ação
*Jogos cooperativos e respeito às diferenças
*Aprender a resolver conflitos com diálogo</t>
  </si>
  <si>
    <t>*Mediação e resolução pacífica de conflitos
*Discussão sobre diversidade e respeito às diferenças
*Atividades cooperativas e empatia social</t>
  </si>
  <si>
    <t>*Mediação de conflitos e construção de soluções pacíficas
*Reflexões sobre desigualdades sociais e inclusão
*Criação de ambientes seguros para diálogo e expressão
*Incentivo à empatia e respeito às diferenças</t>
  </si>
  <si>
    <t>*Mediação comunitária e resolução pacífica de conflitos
*Ações contra preconceito, discriminação e violência
*Promoção da inclusão social e respeito às diferenças
*Criação de espaços seguros de diálogo e convivência</t>
  </si>
  <si>
    <t>*Caminhadas reflexivas e momentos de gratidão
*“Caixinha das coisas boas” (partilha de experiências positivas)
*Dia da gratidão
*Contato com histórias da Jângal para trabalhar respeito e cuidado</t>
  </si>
  <si>
    <t>*Rodas de conversa sobre princípios e atitudes
*Caminhadas reflexivas e momentos de silêncio
*Meditação guiada e atenção plena
*Reflexões sobre atitudes e convivência</t>
  </si>
  <si>
    <t>*Reflexões sobre propósito, ética e responsabilidade social
*Momentos de contemplação e interiorização
*Valorização da diversidade e respeito mútuo
*Vivência prática dos valores escoteiros no cotidiano</t>
  </si>
  <si>
    <t>*Reflexões sobre ética, justiça e responsabilidade social
*Vivência da solidariedade e serviço ao próximo
*Promoção da cultura de paz e convivência respeitosa
*Desenvolvimento da empatia e liderança servidora</t>
  </si>
  <si>
    <t>*Higiene e autocuidado inspirados na Jângal
*Prevenção de doenças e cuidados pessoais
*Identificação e prevenção de situações perigosas
*Noções básicas de primeiros socorros e segurança</t>
  </si>
  <si>
    <t>*Monitoramento básico da saúde (IMC, frequência cardíaca, hidratação)
*Prevenção de acidentes e análise de riscos nas atividades
*Técnicas de primeiros socorros e atendimento a emergências
*Segurança e autocuidado em ambientes naturais</t>
  </si>
  <si>
    <t>*Preparação física e desafios de superação em ambientes naturais
*Técnicas avançadas de primeiros socorros e resgate
*Prevenção de acidentes e gestão de riscos
*Autossuficiência e segurança em expedições</t>
  </si>
  <si>
    <t>*Planejamento e acompanhamento da saúde física pessoal
*Atividades físicas de resistência e superação
*Técnicas de segurança, resgate e atuação em emergências
*Prevenção de riscos e promoção da segurança comunitária</t>
  </si>
  <si>
    <t>*Observação do céu e reflexão sobre o univ*erso
*Momentos de silêncio e contemplação na natureza
*Reflexão sobre valores e sentido da vida
*Respeito à fé e espiritualidade de cada um</t>
  </si>
  <si>
    <t>*Reflexões sobre propósito de vida e valores pessoais
*Momentos de contemplação e conexão com a natureza
*Respeito às diferentes crenças e expressões espirituais</t>
  </si>
  <si>
    <t>*Reflexões sobre propósito de vida e valores pessoais
*Momentos de introspecção e contemplação na natureza
*Resgate do compromisso pessoal e metas de vida
*Respeito às crenças e espiritualidade como busca pessoal</t>
  </si>
  <si>
    <t>*Reflexões sobre propósito de vida e valores pessoais
*Caminhadas meditativas e momentos de introspecção
*Vivência espiritual como busca pessoal e sentido de vida
*Diálogo respeitoso sobre crenças e espiritualidade</t>
  </si>
  <si>
    <t>*Preparação de alimentos nutritivos
*Identificação de alimentos saudáveis e não saudáveis
*Incentivo ao consumo de água
*Valorização da alimentação equilibrada</t>
  </si>
  <si>
    <t>*Preparação de refeições equilibradas em campo
*Comparação nutricional de alimentos e escolhas saudáveis
*Desenvolvimento de rotina saudável (sono, alimentação, atividade física)
*Incentivo à hidratação e cuidados diários</t>
  </si>
  <si>
    <t>*Planejamento de rotina equilibrada (sono, alimentação, atividade física)
*Preparação física e esportiva para qualidade de vida
*Equilíbrio entre estudo, lazer e descanso
*Promoção de hábitos saudáveis e autocuidado</t>
  </si>
  <si>
    <t>*Rotina equilibrada de sono, alimentação e atividade física
*Experimentação de alimentação saudável e preparo de refeições
*Equilíbrio entre produtividade, descanso e qualidade de vida
*Conscientização sobre saúde e bem-estar na comunidade</t>
  </si>
  <si>
    <t>*Expressão de emoções e partilha de sentimentos
*Ambiente de escuta e diálogo
*Momentos de gratidão e reflexão
*Atividades de contato com a natureza para bem-estar</t>
  </si>
  <si>
    <t>*Identificação de emoções e estratégias contra estresse e ansiedade
*Diário da gratidão e fortalecimento da autoestima
*Técnicas de respiração, relaxamento e atenção plena
*Ambiente seguro para expressão de sentimentos</t>
  </si>
  <si>
    <t>*Técnicas de mindfulness, respiração e gestão do estresse
*Estratégias para lidar com ansiedade e pressão emocional
*Roda de reflexão e apoio entre pares
*Desenvolvimento da autoestima e autoconhecimento</t>
  </si>
  <si>
    <t>*Técnicas para redução da ansiedade e gestão do estresse
*Autoconhecimento e equilíbrio emocional
*Espaços de escuta e partilha de experiências
*Estratégias para foco, produtividade e bem-estar emocional</t>
  </si>
  <si>
    <t>*Desafios cooperativos e trabalho em equipe
*Resgate de brincadeiras que estimulam convivência
*Roda de conversa e partilha de experiências
*Fortalecimento da amizade e respeito mútuo</t>
  </si>
  <si>
    <t>*Atividades em patrulha que desenvolvam empatia e respeito
*Apoio mútuo e convivência saudável
*Caminhadas reflexivas com partilha de experiências
*Trabalho em equipe e fortalecimento das relações</t>
  </si>
  <si>
    <t>*Apoio mútuo e fortalecimento da tropa
*Compartilhamento de desafios e superação pessoal
*Construção de ambiente seguro e acolhedor
*Liderança positiva e exemplo de equilíbrio emocional</t>
  </si>
  <si>
    <t>*Compartilhamento de experiências e apoio entre pares
*Acolhimento e escuta ativa dentro do clã
*Ações sociais que fortaleçam o compromisso comunitário
*Construção de relações baseadas em empatia e respeito</t>
  </si>
  <si>
    <t>Se interessar por diversos temas, aprender com diferentes pessoas e consultar várias fontes para ampliar seu conhecimento, explorando novas ideias e recursos nas atividades.</t>
  </si>
  <si>
    <t>Utilizar a criatividade para encontrar diferentes soluções para desafios do dia a dia, experimentando novas maneiras de resolver problemas</t>
  </si>
  <si>
    <t>Participar das atividades com responsabilidade, cumprindo com suas tarefas e ajudando sempre que possível. Refletir sobre suas experiências, fazer escolhas conscientes e aprender a usar o dinheiro de forma responsável no dia a dia.</t>
  </si>
  <si>
    <t>Reconhecer suas emoções e aprender a lidar com diferentes situações, buscando sempre tirar lições de cada experiência.</t>
  </si>
  <si>
    <t>Usar apenas o necessário, evitando desperdícios e consumindo de forma consciente para preservar os recursos naturais.</t>
  </si>
  <si>
    <t>Aproveitar as atividades ao ar livre com responsabilidade, sempre cuidando da natureza e deixando os lugares melhores do que o encontrado.</t>
  </si>
  <si>
    <t>Cuidar do planeta adotando hábitos que ajudam a reduzir os impactos das mudanças climáticas no dia a dia.</t>
  </si>
  <si>
    <t>Praticar boas ações diariamente, seja em casa, na escola ou na comunidade, contribuindo para tornar o mundo um lugar melhor.</t>
  </si>
  <si>
    <t>Ajudar na tomada de decisões em grupo, respeitando as escolhas coletivas e colaborando para que todos sejam ouvidos.</t>
  </si>
  <si>
    <t>Descobrir e valorizar a cultura da sua comunidade e do seu país, explorando histórias, tradições e costumes em atividades divertidas.</t>
  </si>
  <si>
    <t>Participar de atividades que promovem a paz e o respeito entre as pessoas, aprendendo a conviver com diferentes crenças e formas de pensar.</t>
  </si>
  <si>
    <t>“Agir sempre de acordo com os valores da Promessa do Lobinho, sendo amigo, leal e prestativo com todos ao seu redor.</t>
  </si>
  <si>
    <t>Conhecer seu corpo, entender as diferenças entre as pessoas e realizar atividades que desenvolvam sua agilidade, força e flexibilidade. Conhecer técnicas básicas de primeiros socorros para ajudar em situações simples.</t>
  </si>
  <si>
    <t>Descobrir e respeitar diferentes crenças espirituais em sua comunidade, expressando sua própria fé com respeito e bondade no ambiente familiar e entre amigos.</t>
  </si>
  <si>
    <t>Cuidar de si mesmo, praticando atividades físicas, mantendo uma alimentação saudável e garantindo a higiene pessoal e do ambiente ao seu redor.</t>
  </si>
  <si>
    <t>Adotar hábitos que ajudam a equilibrar sua saúde mental, buscando momentos de relaxamento, diversão e bem-estar, tanto para si quanto para os outros.</t>
  </si>
  <si>
    <t>Fazer novas amizades, fortalecer os laços com os amigos e aprender a se relacionar de maneira saudável e positiva.</t>
  </si>
  <si>
    <t>Explorar temas que despertam seu interesse, buscar informações confiáveis para aprender mais e experimentar novas ideias e recursos, aplicando esse conhecimento em atividades e projetos de serviço.</t>
  </si>
  <si>
    <t>Assumir diferentes papéis em sua patrulha, sabendo quando colaborar e quando liderar. Aprender a administrar seu dinheiro para realizar atividades e projetos, além de planejar, executar e avaliar tarefas junto ao grupo, tomando decisões de forma responsável.</t>
  </si>
  <si>
    <t>Usar a criatividade para encontrar soluções práticas para os desafios do dia a dia, analisando diferentes alternativas antes de tomar uma decisão.</t>
  </si>
  <si>
    <t>Reconhecer e compreender suas emoções, aprender a lidar com elas de maneira respeitosa e desenvolver resiliência ao enfrentar desafios e superar dificuldades.</t>
  </si>
  <si>
    <t>Se envolver em atividades e projetos para reduzir os impactos ambientais e combater as mudanças climáticas.</t>
  </si>
  <si>
    <t>Cuidar dos animais e das plantas, entendendo como as atitudes humanas podem protegê-los ou prejudicá-los.</t>
  </si>
  <si>
    <t>Aproveitar as atividades ao ar livre com responsabilidade, respeitando a natureza e deixando os lugares sempre melhores do que encontrou.</t>
  </si>
  <si>
    <t>Realizar boas ações diariamente e trabalhar em equipe para organizar atividades e projetos de serviço que beneficiem a comunidade.</t>
  </si>
  <si>
    <t>Participar das decisões da tropa, contribuindo com suas ideias, respeitando as opiniões dos colegas e se comprometendo a seguir o que foi decidido coletivamente.</t>
  </si>
  <si>
    <t>Explorar e valorizar a cultura de sua comunidade e de seu país, conhecendo costumes, tradições, folclore e geografia, e propor atividades para compartilhar esse conhecimento com os outros.</t>
  </si>
  <si>
    <t>Promover a paz, a inclusão e a diversidade em suas ações diárias, respeitando e demonstrando interesse por diferentes crenças e tradições espirituais.</t>
  </si>
  <si>
    <t>Atuar de acordo com seus valores pessoais e os princípios do Movimento Escoteiro, vivendo sua Promessa e a Lei Escoteira em todas as suas atitudes.</t>
  </si>
  <si>
    <t>Compreender e respeitar as mudanças do seu próprio corpo e das outras pessoas, independentemente de aparência, identidade ou orientação sexual. Desafiar a superar suas limitações físicas e aprender técnicas básicas de primeiros socorros.</t>
  </si>
  <si>
    <t>Cuidar da própria saúde praticando exercícios físicos, mantendo uma alimentação equilibrada e garantindo bons hábitos de higiene pessoal e organização do seu espaço.</t>
  </si>
  <si>
    <t>Explorar a espiritualidade observando as maravilhas da natureza, praticando a solidariedade e conhecendo diferentes crenças. Além disso, se esforça para viver seus princípios diariamente.</t>
  </si>
  <si>
    <t>Criar laços de amizade de forma saudável, respeitosa e empática, fortalecendo suas relações pessoais de maneira positiva.</t>
  </si>
  <si>
    <t>Adotar práticas que ajudam a manter o equilíbrio da sua saúde mental, buscando estratégias para lidar com desafios e contribuindo para o bem-estar das pessoas ao seu redor.</t>
  </si>
  <si>
    <t>5 ações ou Insigna do aprender</t>
  </si>
  <si>
    <t>4 ações ou 1 especialidade (ver lista)</t>
  </si>
  <si>
    <t>5 ações ou 1 especialidade (ver lista)</t>
  </si>
  <si>
    <t>5 ações</t>
  </si>
  <si>
    <t>5 ações ou especialidade Horticultura ou Insigna RRR</t>
  </si>
  <si>
    <t>5 ações ou 1 especialidade (ver lista) ou Insigna Campeões da natureza</t>
  </si>
  <si>
    <t>2 ações</t>
  </si>
  <si>
    <t>5 ações ou Insigna Lusofonia ou Insigna Conesul ou Insigna Dialogos pela Paz</t>
  </si>
  <si>
    <t>5 ações ou Ingina Escotismo mundial</t>
  </si>
  <si>
    <t>não há atividade fixas</t>
  </si>
  <si>
    <t>☐ Ouvir a história “Tigre Tigre” e comparar a conduta de Mowgli com a sua Promessa de Lobinho.</t>
  </si>
  <si>
    <t>☐ Ouvir as histórias “Flor Vermelha” e “Irmãos de Mowgli”, do Livro da Jângal.</t>
  </si>
  <si>
    <t>☐ Realizar o hasteamento ou arriamento da Bandeira Nacional em cerimônia de abertura ou de encerramento de atividade.</t>
  </si>
  <si>
    <t>☐ Participar de um piquenique, excursão ou acampamento com a alcateia, sem a utilização de plásticos descartáveis.</t>
  </si>
  <si>
    <t>4 ações ou  1 insigna (Ver lista)</t>
  </si>
  <si>
    <t>☐ Identificar situações perigosas e de maus tratos, sabendo como agir e a quem recorrer.</t>
  </si>
  <si>
    <t>☐ Realizar o hasteamento ou arriamento da bandeira em cerimônia de abertura ou encerramento de atividade.</t>
  </si>
  <si>
    <t>☐ Aplicar uma atividade para a patrulha sobre Direitos Humanos ou os Direitos da Criança e do Adolescente.</t>
  </si>
  <si>
    <t>☐ Avaliar, com seus companheiros de patrulha, a vivência da Promessa e Lei Escoteira.</t>
  </si>
  <si>
    <t>☐ Realizar uma campanha para combater o bullying e cyberbullying para a comunidade.</t>
  </si>
  <si>
    <t>AÇÕES FIXAS</t>
  </si>
  <si>
    <t>AÇÕES VARIAVEIS</t>
  </si>
  <si>
    <t>4 ações</t>
  </si>
  <si>
    <t>4 ações ou especialidade Meteorologia ou Insigna Energia solar</t>
  </si>
  <si>
    <t>3 ações  ou 1 especialidade defesa civil ou Insigna boa ação ou insigna Mensageiro da paz</t>
  </si>
  <si>
    <t>3 ações ou Ingina Escotismo mundial</t>
  </si>
  <si>
    <t>3 ações ou 1 especialidade (ver lista)</t>
  </si>
  <si>
    <t>4 ações ou especialidade Prevenção aos Vicios</t>
  </si>
  <si>
    <t>5 ações ou especialidade Prevenção ao Bullying</t>
  </si>
  <si>
    <t>☐ Avaliar com seus pares a vivência da Promessa e da Lei Escoteira e realizar o Compromisso Sênior.</t>
  </si>
  <si>
    <t>☐ Identificar e discutir com sua patrulha ou equipe de interesse as manifestações de bullying e cyberbullying ao seu redor, elaborando e implementando estratégias para prevenir e combater essas situações.</t>
  </si>
  <si>
    <t>3 ações ou  1 Especialidade (Ver lista) ou 1 Insigna (ver lista)</t>
  </si>
  <si>
    <t>4 ações ou 1 especialidade (Ver lista)</t>
  </si>
  <si>
    <t>3 ações ou 1 especialidade Comunicação ou Insigna Inovadores de Impacto</t>
  </si>
  <si>
    <t>4 ações ou especialidade Sustentável ou Insigna RRR</t>
  </si>
  <si>
    <t>4 ações ou especialidade Sustentabilidade ou Insigna Energia solar</t>
  </si>
  <si>
    <t>2 ações ou 1 especialidade (ver lista) ou Insigna Campeões da natureza</t>
  </si>
  <si>
    <t>2 ações  ou 1 especialidade (ver lista) ou  1 Insigna (ver  lista)</t>
  </si>
  <si>
    <t>5 ações ou 1 especialidade (Ver lista) ou 1 Insigna (ver lista)</t>
  </si>
  <si>
    <t>3 ações ou 1 especialidade Saúde</t>
  </si>
  <si>
    <t>4 ações ou Especialidade  Yoga ou Insigna Dialogos inter-religioso</t>
  </si>
  <si>
    <t>3 ações ou Insigna Dialogos inter-religioso</t>
  </si>
  <si>
    <t>2 ações ou 1 especialidade (ver lista)</t>
  </si>
  <si>
    <t>☐ Conquistar, no Ramo Pioneiro, uma especialidade sobre um tema de seu interesse e que seja um conhecimento novo.</t>
  </si>
  <si>
    <t>☐ Planejar e realizar uma viagem para um município próximo, de forma individual ou em equipe, desenvolvendo um roteiro detalhado que inclua o destino, distância, meios de transporte, custos estimados, hospedagem (se necessário), pontos de interesse, aspectos culturais e históricos da região, além do contato com um Grupo Escoteiro local, se houver. Durante a viagem, registrar as experiências e aprendizados adquiridos para compartilhar com a comunidade escoteira.</t>
  </si>
  <si>
    <t>☐ Planejar e executar atividades ao ar livre, prevendo possíveis imprevistos e adaptando criativamente as soluções quando necessário.</t>
  </si>
  <si>
    <t>☐ Estabelecer metas pessoais de curto e médio prazo e avaliá-las regularmente em seu Projeto de Vida, ajustando estratégias quando necessário.</t>
  </si>
  <si>
    <t>☐ Assumir o compromisso de consumo consciente, praticando durante as atividades cotidianas e nas atividades do clã escolhas sustentáveis que priorizem o essencial e minimizem resíduos. Em conjunto com o clã, avaliar os benefícios pessoais, coletivos e ambientais.</t>
  </si>
  <si>
    <t>☐ Conhecer a Carta Pioneira e participar ativamente da vida democrática do clã.</t>
  </si>
  <si>
    <t>☐ Realizar um serviço voluntário de pelo menos trinta horas, contribuindo para resolver um problema relacionado à atual agenda global de desenvolvimento.</t>
  </si>
  <si>
    <t>☐ Avaliar sua vivência sobre a Promessa e a Lei Escoteira e realizar a Investidura Pioneira.</t>
  </si>
  <si>
    <t>☐ Integrar ao Projeto de Vida compromissos espirituais e éticos, avaliando periodicamente sua coerência com atitudes cotidianas.</t>
  </si>
  <si>
    <t>☐ Implementar, em sua comunidade, iniciativas que abordem um dos seguintes temas:
- Alimentação saudável;
- Atividades físicas;
- Higiene.</t>
  </si>
  <si>
    <t>☐ Participar de capacitação em primeiros socorros em saúde mental, praticando técnicas de escuta qualificada, apoio inicial e encaminhamento responsável em situações de crise.</t>
  </si>
  <si>
    <t>? ações ou 1 Especialidade (Ver lista) ou Insigna do aprender</t>
  </si>
  <si>
    <t>? ações ou 1 especialidade (Ver lista)</t>
  </si>
  <si>
    <t>? ações ou 1 especialidade Comunicação ou Insigna Inovadores de Impacto</t>
  </si>
  <si>
    <t>? ações</t>
  </si>
  <si>
    <t>? ações ou especialidade Sustentável ou Insigna RRR</t>
  </si>
  <si>
    <t>? ações ou especialidade Sustentabilidade ou Insigna Energia solar</t>
  </si>
  <si>
    <t>? ações ou 1 especialidade (ver lista) ou Insigna Campeões da natureza</t>
  </si>
  <si>
    <t>? ações ou 1 especialidade (ver lista)</t>
  </si>
  <si>
    <t>? ações  ou 1 especialidade (ver lista) ou  1 Insigna (ver  lista)</t>
  </si>
  <si>
    <t>? ações ou 1 especialidade (Ver lista) ou 1 Insigna (ver lista)</t>
  </si>
  <si>
    <t>? ações ou 1 especialidade Saúde</t>
  </si>
  <si>
    <t>? ações ou Insigna Dialogos inter-religioso</t>
  </si>
  <si>
    <r>
      <t xml:space="preserve">☐ Conquistar, no Ramo Escoteiro, uma especialidade sobre um tema de seu interesse e que seja um conhecimento novo.
☐ Em conjunto com a sua patrulha, realizar um Percurso de Gilwell de pelo menos 3km.
</t>
    </r>
    <r>
      <rPr>
        <b/>
        <sz val="10"/>
        <color theme="1"/>
        <rFont val="Aptos Narrow"/>
        <family val="2"/>
        <scheme val="minor"/>
      </rPr>
      <t>☐ Visitar, com a patrulha ou tropa, um aeroporto ou aeroclube, identificando tipos de aeronaves e procedimentos de pouso e decolagem. (do AR)</t>
    </r>
    <r>
      <rPr>
        <sz val="10"/>
        <color theme="1"/>
        <rFont val="Aptos Narrow"/>
        <family val="2"/>
        <scheme val="minor"/>
      </rPr>
      <t xml:space="preserve">
</t>
    </r>
    <r>
      <rPr>
        <b/>
        <sz val="10"/>
        <color theme="1"/>
        <rFont val="Aptos Narrow"/>
        <family val="2"/>
        <scheme val="minor"/>
      </rPr>
      <t>☐ Visitar, com a patrulha ou tropa, um porto, marina ou iate clube, conhecendo seu funcionamento e os tipos de embarcações. (do MAR)</t>
    </r>
  </si>
  <si>
    <r>
      <t xml:space="preserve">☐ Conquistar, no Ramo Sênior, uma especialidade sobre um tema de seu interesse e que seja um conhecimento novo.
</t>
    </r>
    <r>
      <rPr>
        <b/>
        <sz val="10"/>
        <color theme="1"/>
        <rFont val="Aptos Narrow"/>
        <family val="2"/>
        <scheme val="minor"/>
      </rPr>
      <t>☐ Organizar e realizar, com a patrulha, uma visita a um porto, marina ou iate clube, conhecendo seu funcionamento, tipos de embarcações e sinalizações de tráfego.(do MAR)
☐ Organizar e realizar, com a patrulha, uma visita a um aeroporto ou aeroclube, identificando tipos de aeronaves, procedimentos de pouso e decolagem, e sinalização de pista. (do AR)</t>
    </r>
  </si>
  <si>
    <r>
      <t xml:space="preserve">☐ Conquistar uma especialidade sobre um tema de seu interesse e que seja um conhecimento novo.
</t>
    </r>
    <r>
      <rPr>
        <b/>
        <sz val="10"/>
        <color theme="1"/>
        <rFont val="Aptos Narrow"/>
        <family val="2"/>
        <scheme val="minor"/>
      </rPr>
      <t>☐ Visitar, com a alcateia, um porto, marina ou iate clube, conhecendo seu funcionamento. (do MAR)</t>
    </r>
    <r>
      <rPr>
        <sz val="10"/>
        <color theme="1"/>
        <rFont val="Aptos Narrow"/>
        <family val="2"/>
        <scheme val="minor"/>
      </rPr>
      <t xml:space="preserve">
</t>
    </r>
    <r>
      <rPr>
        <b/>
        <sz val="10"/>
        <color theme="1"/>
        <rFont val="Aptos Narrow"/>
        <family val="2"/>
        <scheme val="minor"/>
      </rPr>
      <t>☐ Visitar, com a alcateia, um aeródromo, conhecendo seu funcionamento. (do AR)</t>
    </r>
  </si>
  <si>
    <r>
      <t xml:space="preserve">☐ Organizar os materiais individuais e arrumar sua mochila para um acampamento de alcateia.
</t>
    </r>
    <r>
      <rPr>
        <b/>
        <sz val="10"/>
        <color theme="1"/>
        <rFont val="Aptos Narrow"/>
        <family val="2"/>
        <scheme val="minor"/>
      </rPr>
      <t>☐ Navegar em uma embarcação e usar corretamente o colete salva-vidas, seguindo as regras de segurança. (do MAR)</t>
    </r>
  </si>
  <si>
    <r>
      <t xml:space="preserve">☐ Montar corretamente uma mochila para um acampamento, mantendo o equipamento pessoal em bom estado.
</t>
    </r>
    <r>
      <rPr>
        <b/>
        <sz val="10"/>
        <color theme="1"/>
        <rFont val="Aptos Narrow"/>
        <family val="2"/>
        <scheme val="minor"/>
      </rPr>
      <t>☐ Navegar em uma embarcação à vela ou remo, montando-a corretamente, identificando as partes (proa, popa, bombordo, boreste), usando o colete salva-vidas e respeitando as regras de segurança. (do MAR)</t>
    </r>
  </si>
  <si>
    <r>
      <t xml:space="preserve">☐ Conhecer o material individual e de patrulha necessário para diferentes tipos de excursões (acampamento, acantonamento, volante, fixo) e saber organizá-lo na mochila.
</t>
    </r>
    <r>
      <rPr>
        <b/>
        <sz val="10"/>
        <color theme="1"/>
        <rFont val="Aptos Narrow"/>
        <family val="2"/>
        <scheme val="minor"/>
      </rPr>
      <t>☐ Construir e navegar com sua patrulha ou equipe de interesse em embarcação à vela ou a remo, identificando as partes (proa, popa, bombordo, boreste), utilizando o colete salva-vidas e seguindo as regras de segurança.(do MAR)</t>
    </r>
  </si>
  <si>
    <r>
      <t xml:space="preserve">☐ Construir uma engenhoca simples (varal, suporte de panela)
</t>
    </r>
    <r>
      <rPr>
        <b/>
        <sz val="10"/>
        <color theme="1"/>
        <rFont val="Aptos Narrow"/>
        <family val="2"/>
        <scheme val="minor"/>
      </rPr>
      <t>☐ Construir três diferentes modelos de avião de papel, testando os princípios da aerodinâmica. (do AR)</t>
    </r>
  </si>
  <si>
    <r>
      <t xml:space="preserve">☐ Animar um Fogo de Conselho em um acampamento da patrulha ou de tropa.
☐ Aplicar conceitos básicos de estruturas (cavaletes, encaixes, ancoragens) em projetos como pontes, balsas, pórticos ou outras pioneirias.
</t>
    </r>
    <r>
      <rPr>
        <b/>
        <sz val="10"/>
        <color theme="1"/>
        <rFont val="Aptos Narrow"/>
        <family val="2"/>
        <scheme val="minor"/>
      </rPr>
      <t>☐ Construir uma pipa, planador e foguete, testando aerodinâmica, planagem e propulsão. (do AR)
☐ Confeccionar e utilizar uma jangada, canoa ou bote para embarcar a sua patrulha, respeitando as regras de segurança. (do MAR)</t>
    </r>
  </si>
  <si>
    <r>
      <t xml:space="preserve">☐ Durante um acampamento, planejar e executar pioneirias inovadoras de médio ou grande porte.
</t>
    </r>
    <r>
      <rPr>
        <b/>
        <sz val="10"/>
        <color theme="1"/>
        <rFont val="Aptos Narrow"/>
        <family val="2"/>
        <scheme val="minor"/>
      </rPr>
      <t>☐ Organizar um torneio aéreo com categorias como avião de papel, pipa, planador e foguete.(do AR)</t>
    </r>
  </si>
  <si>
    <t>☐ Durante as atividades, reconhecer situações que comprometam a integridade física ou emocional, sabendo como agir e a quem recorrer, mantendo-se calmo e em segurança.
☐ Praticar feedback construtivo durante as atividades, expressando opiniões de forma assertiva e respeitosa.</t>
  </si>
  <si>
    <t>☐ Em acampamentos e excursões, criar soluções para melhorar a higiene e o conforto e classificar os resíduos em categorias, tratando-os adequadamente.
☐ Planejar adequadamente e adquirir as quantidades dos alimentos para refeições em um acampamento para sua patrulha, evitando desperdício.</t>
  </si>
  <si>
    <r>
      <t xml:space="preserve">☐ Explorar a fauna e a flora local em uma atividade com a alcateia, compreendendo a importância da preservação.
</t>
    </r>
    <r>
      <rPr>
        <b/>
        <sz val="10"/>
        <color theme="1"/>
        <rFont val="Aptos Narrow"/>
        <family val="2"/>
        <scheme val="minor"/>
      </rPr>
      <t>☐ Conhecer as características do bioma aquático local. (do MAR)
☐ Identificar as aves da região e seus hábitos. (do AR)</t>
    </r>
  </si>
  <si>
    <r>
      <t xml:space="preserve">☐ Participar, em patrulha, de uma atividade de exploração em ambiente natural, reconhecendo a fauna e a flora locais e identificando riscos à preservação, além de propor soluções para evitá-los.
</t>
    </r>
    <r>
      <rPr>
        <b/>
        <sz val="10"/>
        <color theme="1"/>
        <rFont val="Aptos Narrow"/>
        <family val="2"/>
        <scheme val="minor"/>
      </rPr>
      <t>☐ Identificar aves da região, seus hábitos e compreender a relação das espécies com os métodos de voo e aerodinâmica. (do AR)
☐ Conhecer as características do bioma aquático local e os riscos para esse bioma. (do MAR)</t>
    </r>
  </si>
  <si>
    <r>
      <t xml:space="preserve">☐ Montar o campo de patrulha com pioneirias como mesa, canto do lenhador e pórtico, utilizando amarras adequadas.
☐ Aplicar os seguintes nós: direito, correr, lais de guia, volta do fiel, nó em oito, balso pelo seio, catau, volta do salteador e boca de lobo durante um acampamento de tropa ou patrulha, conhecendo suas funcionalidades.
☐ Escolher corretamente o local para montagem da barraca, incluindo técnicas de drenagem, desmontagem e acondicionamento durante um acampamento de tropa ou patrulha.
☐ Manusear corretamente ferramentas de corte e sapa, zelando pela segurança e realizando reparos, durante um acampamento de tropa ou patrulha.
☐ Preparar e executar pelo menos três tipos de fogueiras, utilizando-as para preparar uma refeição mateira e zelando pela segurança, em um acampamento de tropa ou patrulha.
☐ Planejar e realizar ao menos uma excursão de patrulha em um ambiente natural.
☐ Planejar e realizar ao menos um acampamento de patrulha com técnicas de campismo de baixo impacto.
☐ Em atividade ao ar livre, orientar-se utilizando carta topográfica ou náutica e bússola, e utilizar métodos naturais e tecnológicos de orientação.
</t>
    </r>
    <r>
      <rPr>
        <b/>
        <sz val="10"/>
        <color theme="1"/>
        <rFont val="Aptos Narrow"/>
        <family val="2"/>
        <scheme val="minor"/>
      </rPr>
      <t>☐ Utilizar nós de modalidade do mar, como lais de guia, nó de cunho, pinha de retinida e nó de defesa (do MAR)</t>
    </r>
  </si>
  <si>
    <r>
      <t xml:space="preserve">☐ Montar o campo de patrulha com pioneirias como mesa, pórtico e canto do lenhador, utilizando amarras adequadas.
☐ Aplicar os nós direito, correr, aselha, volta do fiel, escota, durante um acampamento sabendo sua utilização.
☐ Escolher corretamente o local para montagem da barraca, incluindo técnicas de montagem, desmontagem e acondicionamento durante um acampamento de patrulha ou tropa.
☐ Manusear corretamente ferramentas de corte e sapa durante um acampamento de patrulha ou tropa, zelando pela segurança e realizando reparos.
☐ Preparar e executar uma fogueira para uma refeição mateira durante um acampamento de patrulha ou tropa, seguindo as técnicas de segurança.
☐ Participar de ao menos duas excursões ao ar livre (patrulha ou tropa), utilizando normas de baixo impacto ambiental.
☐ Participar de ao menos dois acampamentos ao ar livre (patrulha ou tropa), utilizando normas de baixo impacto ambiental.
☐ Orientar-se com recursos naturais, bússola e mapa, utilizando azimutes.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b/>
        <sz val="10"/>
        <color theme="1"/>
        <rFont val="Aptos Narrow"/>
        <family val="2"/>
        <scheme val="minor"/>
      </rPr>
      <t>☐ Durante um acampamento, realizar observação das estrelas, identificando constelações e fases da lua, explicando suas interferências na natureza. (do AR)
☐ Durante uma atividade náutica, utilizar nós de modalidade do mar como lais de guia, nó de cunho, pinha de retinida e nó de defesa.(do MAR)</t>
    </r>
  </si>
  <si>
    <t>☐ Explorar a fauna e a flora local em uma atividade com a alcateia, compreendendo a importância da preservação.
☐ Aplicar os seguintes nós: direito, escota alceado, aselha, de correr e volta do fiel, sabendo suas funções, durante um acampamento com a alcateia.
☐ Montar, pernoitar, desmontar e acondicionar corretamente a barraca durante um acampamento.
☐ Acender uma pequena fogueira para fazer uma bebida quente ou lanche, demonstrando as técnicas de segurança no uso de fósforos e acendedores, em um acampamento com a alcateia.
☐ Conhecer a Rosa dos Ventos e a constelação do Cruzeiro do Sul, usando-os para sua orientação.
☐ Participar de pelo menos dois acampamentos ou acantonamentos com a alcateia. Cozinhar um prato de comida mateira com a alcateia.</t>
  </si>
  <si>
    <t>☐ Identificar, com sua alcateia, uma necessidade da UEL e participar de uma ação coletiva de melhoria.
☐ Conhecer os hospitais próximos à sua casa e os contatos de emergência (Bombeiros, SAMU, Polícia).</t>
  </si>
  <si>
    <t>☐ Identificar, sozinho ou em patrulha, uma necessidade da comunidade e planejar e executar uma ação comunitária.
☐ Identificar os riscos de desastres naturais na comunidade e conhecer os hospitais e contatos de emergência, sabendo quando acionar cada um.</t>
  </si>
  <si>
    <t>☐ Participar, sozinho, em patrulha ou equipe, de pelo menos 10 horas de ação comunitária com outras instituições locais.
☐ Capacitar-se em curso promovido por entidades de referência (defesa civil, cruz vermelha, corpo de bombeiros etc.) e estar preparado para atuar em crises humanitárias.</t>
  </si>
  <si>
    <t>☐ Participar ativamente das decisões do Conselho de Patrulha, contribuindo com ideias, votando e assumindo responsabilidades, respeitando os resultados.
☐ Participar ativamente das decisões da Assembleia de Tropa, contribuindo com ideias, votando e assumindo responsabilidades, respeitando os resultados.
☐ Participar da eleição do monitor da patrulha e das decisões dos encargos, respeitando os resultados.</t>
  </si>
  <si>
    <t>☐ Participar ativamente das decisões do Conselho de Patrulha, contribuindo com ideias, votando e assumindo responsabilidades, respeitando os resultados.
☐ Participar ativamente das decisões da Assembleia de Tropa, contribuindo com ideias, votando e assumindo responsabilidades, respeitando os resultados.
☐ Participar da eleição do monitor da patrulha e das decisões de encargos, respeitando os resultados.</t>
  </si>
  <si>
    <t>☐ Participar ativamente de uma Roca de Conselho, expressando opiniões de forma respeitosa.
☐ Conhecer a história “Caçadas de Kaa” e discutir com os companheiros a conduta dos personagens.
☐ Participar da eleição de primo e segundo da matilha e combinar suas responsabilidades.</t>
  </si>
  <si>
    <r>
      <t xml:space="preserve">☐ Conduzir a cerimônia de abertura de uma atividade de patrulha ou tropa.
</t>
    </r>
    <r>
      <rPr>
        <b/>
        <sz val="10"/>
        <color theme="1"/>
        <rFont val="Aptos Narrow"/>
        <family val="2"/>
        <scheme val="minor"/>
      </rPr>
      <t>☐ Participar corretamente do cerimonial de hastear e arriar a Bandeira Nacional, tocando o apito marinheiro (do MAR)</t>
    </r>
  </si>
  <si>
    <t>☐ Participar de uma ação colaborativa sobre diferentes temas que envolvem a cultura de paz, tais como:
- Direitos Humanos;
- Diálogo Inter-religioso;
- Refugiados e Imigrantes;
- Diversidades;
- Inclusão.</t>
  </si>
  <si>
    <t>☐ Capacitar-se para atuar nas situações de primeiros socorros indicadas abaixo:
- Atendimento a pequenos cortes, contusões e escoriações;
- Avaliação dos limites de pressão arterial, pulso e temperatura corporal;
- Cuidados em casos de queimaduras, insolação, hipotermia e desidratação;
- Atendimento a picadas de animais peçonhentos;
- Reconhecimento e manejo de hemorragias externas e internas;
- Imobilização de fraturas, entorses, controle cervical e traumatismo craniano;
- Atendimento a crises convulsivas, estados de choque e casos de intoxicação ou envenenamento;
- Reconhecimento de sinais de infarto ou AVC e acionamento imediato do resgate;
- Atendimento a engasgos e a choque elétrico;
- Aplicação de técnicas de reanimação cardiopulmonar (RCP);
- Execução correta de bandagens, tipóias e técnicas de transporte de feridos;
- Uso adequado do kit de primeiros socorros em atividades ao ar livre;
- Acionamento correto dos serviços de emergência (SAMU, bombeiros e polícia).
☐ Nas atividades da patrulha ou tropa, identificar condutas que possam colocar em risco a saúde física e mental, compartilhando medidas com os companheiros para mitigar esses riscos.</t>
  </si>
  <si>
    <t>☐ Participar de uma capacitação em primeiros socorros, aplicando os aprendizados em simulações práticas.
☐ Participar de uma capacitação em respostas a desastres, aplicando os aprendizados em simulações práticas.</t>
  </si>
  <si>
    <t>☐ Conhecer as ações iniciais em acidentes e como cuidar de:
• pequenos cortes;
• contusões;
• escoriações;
• queimaduras e
• picadas de animais peçonhentos.
☐ Aplicar técnicas de bandagens e transporte de feridos.
☐ Cuidar da segurança física e mental nas atividades escoteiras, respeitando os limites próprios e dos outros, e seguindo as orientações dos escotistas.</t>
  </si>
  <si>
    <t>☐ Participar de momentos regulares de celebração e confraternização no clã (Fogos de Conselho, encontros culturais, atividades de partilha), fortalecendo os vínculos afetivos.
☐ Praticar escuta ativa e feedback construtivo nas atividades do clã, fortalecendo a cooperação e o respeito mútuo.</t>
  </si>
  <si>
    <t>☐ Participar com entusiasmo das atividades da alcateia, brincando, conversando e respeitando os lobinhos e os Velhos Lobos.
☐ Cumprimentar membros do grupo com a saudação do lobinho e o aperto de mão.</t>
  </si>
  <si>
    <r>
      <t xml:space="preserve">☐ Auxiliar na preparação de uma refeição saudável em um acampamento ou acantonamento da alcateia e experimentá-la.
☐ Preparar um lanche saudável para uma caçada, contendo pelo menos três tipos de legumes e dois tipos de frutas.
☐ Participar de pelo menos uma caminhada ao ar livre com a alcateia (entre 2 e 3 km), registrando três observações sobre o local durante o percurso.
</t>
    </r>
    <r>
      <rPr>
        <b/>
        <sz val="10"/>
        <rFont val="Aptos Narrow"/>
        <family val="2"/>
        <scheme val="minor"/>
      </rPr>
      <t>☐ Saber remar em bote ou canoa, demonstrando embarque e desembarque. (do MAR)</t>
    </r>
  </si>
  <si>
    <t>☐ Planejar e executar um cardápio completo e saudável (café da manhã, almoço e jantar) para a patrulha em acampamento.
☐ Conhecer e aplicar normas de limpeza no tratamento e conservação de alimentos nas atividades de patrulha.</t>
  </si>
  <si>
    <t>☐ Planejar um cardápio de acampamento para a patrulha ou equipe de interesse, priorizando alimentação sustentável, com mínimo uso de produtos industrializados e redução de resíduos, e avaliar após a atividade se os objetivos foram atingidos.
☐ Praticar atividades físicas regularmente.</t>
  </si>
  <si>
    <t>☐ Saber realizar os primeiros socorros em cortes, queimaduras e outros pequenos ferimentos.
☐ Saber utilizar ataduras e tipóias.
☐ Saber usar um termômetro.
☐ Cuidar de sua segurança e dos demais nas atividades da alcateia, seguindo as orientações dos Velhos Lobos.</t>
  </si>
  <si>
    <t>☐ Buscar informações e conhecimentos sobre os Espaços Seguros no Movimento Escoteiro e promover seus conceitos em atividades.
☐ Reconhecer sinais de estresse, ansiedade ou tristeza em colegas e praticar técnicas básicas de primeiros socorros em saúde mental, como escuta ativa, apoio inicial e encaminhamento para ajuda adequada.</t>
  </si>
  <si>
    <t>☐ Conhecer o conceito de Espaços Seguros e aplicá-los em todas as atividades de sua patrulha ou tropa.
☐ Aprender a identificar sinais de tristeza ou isolamento em colegas e saber como oferecer apoio inicial, como conversar com respeito e buscar ajuda de um adulto de confiança.</t>
  </si>
  <si>
    <t>☐ Planejar e executar uma das seguintes opções:
- Acampamento;
- Atividade aventureira;
- Expedição;
- Travessia.
☐ A atividade deve considerar os seguintes aspectos:
- Segurança e análise de riscos;
- Campismo de baixo impacto;
- Intenso contato com a natureza;
- Duração mínima de quatro dias.</t>
  </si>
  <si>
    <t>☐ Participar, sozinho ou em equipe, de pelo menos 15 horas de serviço comunitário com outras instituições.
☐ Capacitar-se em curso promovido por entidades de referência (como a Defesa Civil, Cruz Vermelha, Corpo de Bombeiros...), preparando-se para atuar em crises humanitárias.</t>
  </si>
  <si>
    <r>
      <t xml:space="preserve">☐ Participar de uma atividade em uma Área de Proteção Ambiental, reconhecendo fauna, flora e bioma local, identificando riscos e propondo soluções para preservação.
</t>
    </r>
    <r>
      <rPr>
        <b/>
        <sz val="10"/>
        <color theme="1"/>
        <rFont val="Aptos Narrow"/>
        <family val="2"/>
        <scheme val="minor"/>
      </rPr>
      <t>☐ Conhecer o bioma aquático local, seus riscos e a importância de sua preservação. (do MAR)
☐ Participar de uma atividade de observação de aves da região, identificando seus hábitos e a relação com os diferentes métodos de voo e aerodinâmica (do AR)</t>
    </r>
  </si>
  <si>
    <t>5 ações ou 1 especialidade nivel 2 (ver lista)</t>
  </si>
  <si>
    <t>4 ações ou 1 especialidade nivel 2 (ver lista)</t>
  </si>
  <si>
    <t>5 ações ou especialidade Horticultura nivel 2 ou Insigna RRR</t>
  </si>
  <si>
    <t>5 ações ou 1 especialidade nivel 2 (ver lista) ou Insigna Campeões da natureza</t>
  </si>
  <si>
    <t>3 ações  ou 1 especialidade defesa civil nivel 2 ou Insigna boa ação ou insigna Mensageiro da paz</t>
  </si>
  <si>
    <t>4 ações ou 1 Insigna (ver lista)</t>
  </si>
  <si>
    <t>4 ações ou Especialidade  Yoga nivel 2 ou Insigna Dialogos inter-religioso</t>
  </si>
  <si>
    <t>3 ações ou 1 especialidade nivel 2 (ver lista)</t>
  </si>
  <si>
    <t>2 ações ou especialidade Prevenção aos Vicios nivel 2</t>
  </si>
  <si>
    <t>4 ações ou especialidade Prevenção ao Bullying nivel 2</t>
  </si>
  <si>
    <t>5 ações ou especialidade Meteorologia nivel 2 ou Insigna Energia solar</t>
  </si>
  <si>
    <t>PROPOSTA DE ATIVIDADES - livres</t>
  </si>
  <si>
    <t>ATIVIDADES FIXAS obrigatórias</t>
  </si>
  <si>
    <t>ATIVIDADES VARIAVEIS - escolhidas conforme lista do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</si>
</sst>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3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3A3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0" fillId="10" borderId="4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0" fontId="0" fillId="7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3" fillId="7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vertical="center" wrapText="1"/>
    </xf>
    <xf numFmtId="0" fontId="3" fillId="10" borderId="4" xfId="0" applyFont="1" applyFill="1" applyBorder="1" applyAlignment="1">
      <alignment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vertical="top" wrapText="1"/>
    </xf>
    <xf numFmtId="0" fontId="3" fillId="10" borderId="4" xfId="0" applyFont="1" applyFill="1" applyBorder="1" applyAlignment="1">
      <alignment vertical="top" wrapText="1"/>
    </xf>
    <xf numFmtId="0" fontId="1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7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top" wrapText="1"/>
    </xf>
    <xf numFmtId="0" fontId="3" fillId="7" borderId="4" xfId="0" applyFont="1" applyFill="1" applyBorder="1" applyAlignment="1">
      <alignment vertical="top" wrapText="1"/>
    </xf>
    <xf numFmtId="0" fontId="3" fillId="7" borderId="4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vertical="top" wrapText="1"/>
    </xf>
    <xf numFmtId="0" fontId="3" fillId="10" borderId="4" xfId="0" applyFont="1" applyFill="1" applyBorder="1" applyAlignment="1">
      <alignment horizontal="center" vertical="top" wrapText="1"/>
    </xf>
    <xf numFmtId="0" fontId="3" fillId="8" borderId="4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left" vertical="center" wrapText="1"/>
    </xf>
    <xf numFmtId="0" fontId="3" fillId="10" borderId="4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left" vertical="top" wrapText="1"/>
    </xf>
    <xf numFmtId="0" fontId="3" fillId="10" borderId="4" xfId="0" applyFont="1" applyFill="1" applyBorder="1" applyAlignment="1">
      <alignment horizontal="left" vertical="top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6BF8088-5688-492A-8CCB-2465A3CCF047}"/>
  </tableStyles>
  <colors>
    <mruColors>
      <color rgb="FFF73A35"/>
      <color rgb="FFF96E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693E-C532-454E-9AFE-F31B6C26F7C2}">
  <sheetPr>
    <pageSetUpPr fitToPage="1"/>
  </sheetPr>
  <dimension ref="A2:G85"/>
  <sheetViews>
    <sheetView showGridLines="0" tabSelected="1" zoomScale="75" zoomScaleNormal="75" workbookViewId="0">
      <pane xSplit="3" ySplit="3" topLeftCell="D58" activePane="bottomRight" state="frozen"/>
      <selection pane="topRight" activeCell="D1" sqref="D1"/>
      <selection pane="bottomLeft" activeCell="A2" sqref="A2"/>
      <selection pane="bottomRight" activeCell="F60" sqref="F60"/>
    </sheetView>
  </sheetViews>
  <sheetFormatPr defaultRowHeight="14.4" x14ac:dyDescent="0.3"/>
  <cols>
    <col min="1" max="1" width="1.44140625" customWidth="1"/>
    <col min="2" max="2" width="10.77734375" customWidth="1"/>
    <col min="3" max="3" width="21.33203125" style="16" customWidth="1"/>
    <col min="4" max="4" width="58.33203125" customWidth="1"/>
    <col min="5" max="5" width="63.44140625" customWidth="1"/>
    <col min="6" max="6" width="64.5546875" customWidth="1"/>
    <col min="7" max="7" width="57.44140625" bestFit="1" customWidth="1"/>
  </cols>
  <sheetData>
    <row r="2" spans="1:7" ht="26.4" customHeight="1" x14ac:dyDescent="0.5">
      <c r="B2" s="85" t="s">
        <v>0</v>
      </c>
      <c r="C2" s="86"/>
      <c r="D2" s="86"/>
      <c r="E2" s="86"/>
      <c r="F2" s="86"/>
      <c r="G2" s="87"/>
    </row>
    <row r="3" spans="1:7" x14ac:dyDescent="0.3">
      <c r="A3" s="2"/>
      <c r="B3" s="3" t="s">
        <v>1</v>
      </c>
      <c r="C3" s="3" t="s">
        <v>2</v>
      </c>
      <c r="D3" s="4" t="s">
        <v>3</v>
      </c>
      <c r="E3" s="5" t="s">
        <v>4</v>
      </c>
      <c r="F3" s="6" t="s">
        <v>5</v>
      </c>
      <c r="G3" s="7" t="s">
        <v>6</v>
      </c>
    </row>
    <row r="4" spans="1:7" ht="57.6" x14ac:dyDescent="0.3">
      <c r="B4" s="88" t="s">
        <v>7</v>
      </c>
      <c r="C4" s="18" t="s">
        <v>8</v>
      </c>
      <c r="D4" s="19" t="s">
        <v>137</v>
      </c>
      <c r="E4" s="19" t="s">
        <v>154</v>
      </c>
      <c r="F4" s="19" t="s">
        <v>9</v>
      </c>
      <c r="G4" s="19" t="s">
        <v>10</v>
      </c>
    </row>
    <row r="5" spans="1:7" ht="72" x14ac:dyDescent="0.3">
      <c r="B5" s="89"/>
      <c r="C5" s="18" t="s">
        <v>11</v>
      </c>
      <c r="D5" s="19" t="s">
        <v>139</v>
      </c>
      <c r="E5" s="19" t="s">
        <v>155</v>
      </c>
      <c r="F5" s="19" t="s">
        <v>12</v>
      </c>
      <c r="G5" s="19" t="s">
        <v>13</v>
      </c>
    </row>
    <row r="6" spans="1:7" ht="57.6" x14ac:dyDescent="0.3">
      <c r="B6" s="89"/>
      <c r="C6" s="18" t="s">
        <v>14</v>
      </c>
      <c r="D6" s="19" t="s">
        <v>138</v>
      </c>
      <c r="E6" s="19" t="s">
        <v>156</v>
      </c>
      <c r="F6" s="19" t="s">
        <v>15</v>
      </c>
      <c r="G6" s="19" t="s">
        <v>16</v>
      </c>
    </row>
    <row r="7" spans="1:7" ht="72" x14ac:dyDescent="0.3">
      <c r="B7" s="90"/>
      <c r="C7" s="18" t="s">
        <v>17</v>
      </c>
      <c r="D7" s="19" t="s">
        <v>140</v>
      </c>
      <c r="E7" s="19" t="s">
        <v>157</v>
      </c>
      <c r="F7" s="19" t="s">
        <v>18</v>
      </c>
      <c r="G7" s="19" t="s">
        <v>19</v>
      </c>
    </row>
    <row r="8" spans="1:7" ht="43.2" x14ac:dyDescent="0.3">
      <c r="B8" s="76" t="s">
        <v>20</v>
      </c>
      <c r="C8" s="10" t="s">
        <v>21</v>
      </c>
      <c r="D8" s="11" t="s">
        <v>141</v>
      </c>
      <c r="E8" s="11" t="s">
        <v>22</v>
      </c>
      <c r="F8" s="11" t="s">
        <v>23</v>
      </c>
      <c r="G8" s="11" t="s">
        <v>24</v>
      </c>
    </row>
    <row r="9" spans="1:7" ht="43.2" x14ac:dyDescent="0.3">
      <c r="B9" s="77"/>
      <c r="C9" s="10" t="s">
        <v>25</v>
      </c>
      <c r="D9" s="11" t="s">
        <v>143</v>
      </c>
      <c r="E9" s="11" t="s">
        <v>158</v>
      </c>
      <c r="F9" s="11" t="s">
        <v>26</v>
      </c>
      <c r="G9" s="11" t="s">
        <v>27</v>
      </c>
    </row>
    <row r="10" spans="1:7" ht="43.2" x14ac:dyDescent="0.3">
      <c r="B10" s="77"/>
      <c r="C10" s="10" t="s">
        <v>28</v>
      </c>
      <c r="D10" s="11" t="s">
        <v>141</v>
      </c>
      <c r="E10" s="11" t="s">
        <v>159</v>
      </c>
      <c r="F10" s="11" t="s">
        <v>29</v>
      </c>
      <c r="G10" s="11" t="s">
        <v>30</v>
      </c>
    </row>
    <row r="11" spans="1:7" ht="43.2" x14ac:dyDescent="0.3">
      <c r="B11" s="78"/>
      <c r="C11" s="10" t="s">
        <v>31</v>
      </c>
      <c r="D11" s="11" t="s">
        <v>142</v>
      </c>
      <c r="E11" s="11" t="s">
        <v>160</v>
      </c>
      <c r="F11" s="11" t="s">
        <v>32</v>
      </c>
      <c r="G11" s="11" t="s">
        <v>33</v>
      </c>
    </row>
    <row r="12" spans="1:7" ht="43.2" x14ac:dyDescent="0.3">
      <c r="B12" s="79" t="s">
        <v>34</v>
      </c>
      <c r="C12" s="12" t="s">
        <v>35</v>
      </c>
      <c r="D12" s="13" t="s">
        <v>144</v>
      </c>
      <c r="E12" s="13" t="s">
        <v>161</v>
      </c>
      <c r="F12" s="13" t="s">
        <v>36</v>
      </c>
      <c r="G12" s="13" t="s">
        <v>30</v>
      </c>
    </row>
    <row r="13" spans="1:7" ht="57.6" x14ac:dyDescent="0.3">
      <c r="B13" s="80"/>
      <c r="C13" s="12" t="s">
        <v>37</v>
      </c>
      <c r="D13" s="13" t="s">
        <v>145</v>
      </c>
      <c r="E13" s="13" t="s">
        <v>162</v>
      </c>
      <c r="F13" s="13" t="s">
        <v>38</v>
      </c>
      <c r="G13" s="13" t="s">
        <v>39</v>
      </c>
    </row>
    <row r="14" spans="1:7" ht="43.2" x14ac:dyDescent="0.3">
      <c r="B14" s="80"/>
      <c r="C14" s="12" t="s">
        <v>40</v>
      </c>
      <c r="D14" s="13" t="s">
        <v>146</v>
      </c>
      <c r="E14" s="13" t="s">
        <v>163</v>
      </c>
      <c r="F14" s="13" t="s">
        <v>41</v>
      </c>
      <c r="G14" s="13" t="s">
        <v>42</v>
      </c>
    </row>
    <row r="15" spans="1:7" ht="57.6" x14ac:dyDescent="0.3">
      <c r="B15" s="80"/>
      <c r="C15" s="12" t="s">
        <v>43</v>
      </c>
      <c r="D15" s="13" t="s">
        <v>147</v>
      </c>
      <c r="E15" s="13" t="s">
        <v>164</v>
      </c>
      <c r="F15" s="13" t="s">
        <v>44</v>
      </c>
      <c r="G15" s="13" t="s">
        <v>45</v>
      </c>
    </row>
    <row r="16" spans="1:7" ht="72" x14ac:dyDescent="0.3">
      <c r="B16" s="81"/>
      <c r="C16" s="12" t="s">
        <v>46</v>
      </c>
      <c r="D16" s="13" t="s">
        <v>148</v>
      </c>
      <c r="E16" s="13" t="s">
        <v>165</v>
      </c>
      <c r="F16" s="13" t="s">
        <v>47</v>
      </c>
      <c r="G16" s="13" t="s">
        <v>48</v>
      </c>
    </row>
    <row r="17" spans="2:7" ht="57.6" x14ac:dyDescent="0.3">
      <c r="B17" s="82" t="s">
        <v>49</v>
      </c>
      <c r="C17" s="14" t="s">
        <v>50</v>
      </c>
      <c r="D17" s="15" t="s">
        <v>149</v>
      </c>
      <c r="E17" s="15" t="s">
        <v>166</v>
      </c>
      <c r="F17" s="15" t="s">
        <v>51</v>
      </c>
      <c r="G17" s="15" t="s">
        <v>52</v>
      </c>
    </row>
    <row r="18" spans="2:7" ht="57.6" x14ac:dyDescent="0.3">
      <c r="B18" s="83"/>
      <c r="C18" s="14" t="s">
        <v>53</v>
      </c>
      <c r="D18" s="15" t="s">
        <v>150</v>
      </c>
      <c r="E18" s="15" t="s">
        <v>168</v>
      </c>
      <c r="F18" s="15" t="s">
        <v>54</v>
      </c>
      <c r="G18" s="15" t="s">
        <v>55</v>
      </c>
    </row>
    <row r="19" spans="2:7" ht="57.6" x14ac:dyDescent="0.3">
      <c r="B19" s="83"/>
      <c r="C19" s="14" t="s">
        <v>56</v>
      </c>
      <c r="D19" s="15" t="s">
        <v>151</v>
      </c>
      <c r="E19" s="15" t="s">
        <v>167</v>
      </c>
      <c r="F19" s="15" t="s">
        <v>57</v>
      </c>
      <c r="G19" s="15" t="s">
        <v>58</v>
      </c>
    </row>
    <row r="20" spans="2:7" ht="57.6" x14ac:dyDescent="0.3">
      <c r="B20" s="83"/>
      <c r="C20" s="14" t="s">
        <v>59</v>
      </c>
      <c r="D20" s="15" t="s">
        <v>152</v>
      </c>
      <c r="E20" s="15" t="s">
        <v>170</v>
      </c>
      <c r="F20" s="15" t="s">
        <v>60</v>
      </c>
      <c r="G20" s="15" t="s">
        <v>61</v>
      </c>
    </row>
    <row r="21" spans="2:7" ht="43.2" x14ac:dyDescent="0.3">
      <c r="B21" s="84"/>
      <c r="C21" s="14" t="s">
        <v>62</v>
      </c>
      <c r="D21" s="15" t="s">
        <v>153</v>
      </c>
      <c r="E21" s="15" t="s">
        <v>169</v>
      </c>
      <c r="F21" s="15" t="s">
        <v>63</v>
      </c>
      <c r="G21" s="15" t="s">
        <v>64</v>
      </c>
    </row>
    <row r="24" spans="2:7" ht="26.4" customHeight="1" x14ac:dyDescent="0.5">
      <c r="B24" s="85" t="s">
        <v>286</v>
      </c>
      <c r="C24" s="86"/>
      <c r="D24" s="86"/>
      <c r="E24" s="86"/>
      <c r="F24" s="86"/>
      <c r="G24" s="87"/>
    </row>
    <row r="25" spans="2:7" x14ac:dyDescent="0.3">
      <c r="B25" s="3" t="s">
        <v>1</v>
      </c>
      <c r="C25" s="3" t="s">
        <v>2</v>
      </c>
      <c r="D25" s="4" t="s">
        <v>3</v>
      </c>
      <c r="E25" s="5" t="s">
        <v>4</v>
      </c>
      <c r="F25" s="6" t="s">
        <v>5</v>
      </c>
      <c r="G25" s="7" t="s">
        <v>6</v>
      </c>
    </row>
    <row r="26" spans="2:7" ht="72" x14ac:dyDescent="0.3">
      <c r="B26" s="73" t="s">
        <v>7</v>
      </c>
      <c r="C26" s="8" t="s">
        <v>8</v>
      </c>
      <c r="D26" s="9" t="s">
        <v>65</v>
      </c>
      <c r="E26" s="9" t="s">
        <v>66</v>
      </c>
      <c r="F26" s="9" t="s">
        <v>67</v>
      </c>
      <c r="G26" s="9" t="s">
        <v>68</v>
      </c>
    </row>
    <row r="27" spans="2:7" ht="57.6" x14ac:dyDescent="0.3">
      <c r="B27" s="74"/>
      <c r="C27" s="8" t="s">
        <v>11</v>
      </c>
      <c r="D27" s="9" t="s">
        <v>69</v>
      </c>
      <c r="E27" s="9" t="s">
        <v>70</v>
      </c>
      <c r="F27" s="9" t="s">
        <v>71</v>
      </c>
      <c r="G27" s="9" t="s">
        <v>72</v>
      </c>
    </row>
    <row r="28" spans="2:7" ht="57.6" x14ac:dyDescent="0.3">
      <c r="B28" s="74"/>
      <c r="C28" s="8" t="s">
        <v>14</v>
      </c>
      <c r="D28" s="9" t="s">
        <v>73</v>
      </c>
      <c r="E28" s="9" t="s">
        <v>74</v>
      </c>
      <c r="F28" s="9" t="s">
        <v>75</v>
      </c>
      <c r="G28" s="9" t="s">
        <v>76</v>
      </c>
    </row>
    <row r="29" spans="2:7" ht="57.6" x14ac:dyDescent="0.3">
      <c r="B29" s="75"/>
      <c r="C29" s="8" t="s">
        <v>17</v>
      </c>
      <c r="D29" s="9" t="s">
        <v>77</v>
      </c>
      <c r="E29" s="9" t="s">
        <v>78</v>
      </c>
      <c r="F29" s="9" t="s">
        <v>79</v>
      </c>
      <c r="G29" s="9" t="s">
        <v>80</v>
      </c>
    </row>
    <row r="30" spans="2:7" ht="43.2" x14ac:dyDescent="0.3">
      <c r="B30" s="76" t="s">
        <v>20</v>
      </c>
      <c r="C30" s="10" t="s">
        <v>21</v>
      </c>
      <c r="D30" s="11" t="s">
        <v>81</v>
      </c>
      <c r="E30" s="11" t="s">
        <v>82</v>
      </c>
      <c r="F30" s="11" t="s">
        <v>83</v>
      </c>
      <c r="G30" s="11" t="s">
        <v>84</v>
      </c>
    </row>
    <row r="31" spans="2:7" ht="57.6" x14ac:dyDescent="0.3">
      <c r="B31" s="77"/>
      <c r="C31" s="10" t="s">
        <v>25</v>
      </c>
      <c r="D31" s="11" t="s">
        <v>85</v>
      </c>
      <c r="E31" s="11" t="s">
        <v>86</v>
      </c>
      <c r="F31" s="11" t="s">
        <v>87</v>
      </c>
      <c r="G31" s="11" t="s">
        <v>88</v>
      </c>
    </row>
    <row r="32" spans="2:7" ht="57.6" x14ac:dyDescent="0.3">
      <c r="B32" s="77"/>
      <c r="C32" s="10" t="s">
        <v>28</v>
      </c>
      <c r="D32" s="11" t="s">
        <v>89</v>
      </c>
      <c r="E32" s="11" t="s">
        <v>90</v>
      </c>
      <c r="F32" s="11" t="s">
        <v>91</v>
      </c>
      <c r="G32" s="11" t="s">
        <v>92</v>
      </c>
    </row>
    <row r="33" spans="2:7" ht="57.6" x14ac:dyDescent="0.3">
      <c r="B33" s="78"/>
      <c r="C33" s="10" t="s">
        <v>31</v>
      </c>
      <c r="D33" s="11" t="s">
        <v>93</v>
      </c>
      <c r="E33" s="11" t="s">
        <v>94</v>
      </c>
      <c r="F33" s="11" t="s">
        <v>95</v>
      </c>
      <c r="G33" s="11" t="s">
        <v>96</v>
      </c>
    </row>
    <row r="34" spans="2:7" ht="57.6" x14ac:dyDescent="0.3">
      <c r="B34" s="79" t="s">
        <v>34</v>
      </c>
      <c r="C34" s="12" t="s">
        <v>35</v>
      </c>
      <c r="D34" s="13" t="s">
        <v>97</v>
      </c>
      <c r="E34" s="13" t="s">
        <v>98</v>
      </c>
      <c r="F34" s="13" t="s">
        <v>99</v>
      </c>
      <c r="G34" s="13" t="s">
        <v>100</v>
      </c>
    </row>
    <row r="35" spans="2:7" ht="57.6" x14ac:dyDescent="0.3">
      <c r="B35" s="80"/>
      <c r="C35" s="12" t="s">
        <v>37</v>
      </c>
      <c r="D35" s="13" t="s">
        <v>101</v>
      </c>
      <c r="E35" s="13" t="s">
        <v>102</v>
      </c>
      <c r="F35" s="13" t="s">
        <v>103</v>
      </c>
      <c r="G35" s="13" t="s">
        <v>104</v>
      </c>
    </row>
    <row r="36" spans="2:7" ht="57.6" x14ac:dyDescent="0.3">
      <c r="B36" s="80"/>
      <c r="C36" s="12" t="s">
        <v>40</v>
      </c>
      <c r="D36" s="13" t="s">
        <v>105</v>
      </c>
      <c r="E36" s="13" t="s">
        <v>106</v>
      </c>
      <c r="F36" s="13" t="s">
        <v>107</v>
      </c>
      <c r="G36" s="13" t="s">
        <v>108</v>
      </c>
    </row>
    <row r="37" spans="2:7" ht="57.6" x14ac:dyDescent="0.3">
      <c r="B37" s="80"/>
      <c r="C37" s="12" t="s">
        <v>43</v>
      </c>
      <c r="D37" s="13" t="s">
        <v>109</v>
      </c>
      <c r="E37" s="13" t="s">
        <v>110</v>
      </c>
      <c r="F37" s="13" t="s">
        <v>111</v>
      </c>
      <c r="G37" s="13" t="s">
        <v>112</v>
      </c>
    </row>
    <row r="38" spans="2:7" ht="57.6" x14ac:dyDescent="0.3">
      <c r="B38" s="81"/>
      <c r="C38" s="12" t="s">
        <v>46</v>
      </c>
      <c r="D38" s="13" t="s">
        <v>113</v>
      </c>
      <c r="E38" s="13" t="s">
        <v>114</v>
      </c>
      <c r="F38" s="13" t="s">
        <v>115</v>
      </c>
      <c r="G38" s="13" t="s">
        <v>116</v>
      </c>
    </row>
    <row r="39" spans="2:7" ht="57.6" x14ac:dyDescent="0.3">
      <c r="B39" s="82" t="s">
        <v>49</v>
      </c>
      <c r="C39" s="14" t="s">
        <v>50</v>
      </c>
      <c r="D39" s="15" t="s">
        <v>117</v>
      </c>
      <c r="E39" s="15" t="s">
        <v>118</v>
      </c>
      <c r="F39" s="15" t="s">
        <v>119</v>
      </c>
      <c r="G39" s="15" t="s">
        <v>120</v>
      </c>
    </row>
    <row r="40" spans="2:7" ht="57.6" x14ac:dyDescent="0.3">
      <c r="B40" s="83"/>
      <c r="C40" s="14" t="s">
        <v>53</v>
      </c>
      <c r="D40" s="15" t="s">
        <v>121</v>
      </c>
      <c r="E40" s="15" t="s">
        <v>122</v>
      </c>
      <c r="F40" s="15" t="s">
        <v>123</v>
      </c>
      <c r="G40" s="15" t="s">
        <v>124</v>
      </c>
    </row>
    <row r="41" spans="2:7" ht="57.6" x14ac:dyDescent="0.3">
      <c r="B41" s="83"/>
      <c r="C41" s="14" t="s">
        <v>56</v>
      </c>
      <c r="D41" s="15" t="s">
        <v>125</v>
      </c>
      <c r="E41" s="15" t="s">
        <v>126</v>
      </c>
      <c r="F41" s="15" t="s">
        <v>127</v>
      </c>
      <c r="G41" s="15" t="s">
        <v>128</v>
      </c>
    </row>
    <row r="42" spans="2:7" ht="57.6" x14ac:dyDescent="0.3">
      <c r="B42" s="83"/>
      <c r="C42" s="14" t="s">
        <v>59</v>
      </c>
      <c r="D42" s="15" t="s">
        <v>129</v>
      </c>
      <c r="E42" s="15" t="s">
        <v>130</v>
      </c>
      <c r="F42" s="15" t="s">
        <v>131</v>
      </c>
      <c r="G42" s="15" t="s">
        <v>132</v>
      </c>
    </row>
    <row r="43" spans="2:7" ht="57.6" x14ac:dyDescent="0.3">
      <c r="B43" s="84"/>
      <c r="C43" s="14" t="s">
        <v>62</v>
      </c>
      <c r="D43" s="15" t="s">
        <v>133</v>
      </c>
      <c r="E43" s="15" t="s">
        <v>134</v>
      </c>
      <c r="F43" s="15" t="s">
        <v>135</v>
      </c>
      <c r="G43" s="15" t="s">
        <v>136</v>
      </c>
    </row>
    <row r="45" spans="2:7" ht="25.8" x14ac:dyDescent="0.5">
      <c r="B45" s="85" t="s">
        <v>287</v>
      </c>
      <c r="C45" s="86"/>
      <c r="D45" s="86"/>
      <c r="E45" s="86"/>
      <c r="F45" s="86"/>
      <c r="G45" s="87"/>
    </row>
    <row r="46" spans="2:7" x14ac:dyDescent="0.3">
      <c r="B46" s="3" t="s">
        <v>1</v>
      </c>
      <c r="C46" s="3" t="s">
        <v>2</v>
      </c>
      <c r="D46" s="4" t="s">
        <v>3</v>
      </c>
      <c r="E46" s="5" t="s">
        <v>4</v>
      </c>
      <c r="F46" s="6" t="s">
        <v>5</v>
      </c>
      <c r="G46" s="7" t="s">
        <v>6</v>
      </c>
    </row>
    <row r="47" spans="2:7" ht="117.6" customHeight="1" x14ac:dyDescent="0.3">
      <c r="B47" s="73" t="s">
        <v>7</v>
      </c>
      <c r="C47" s="8" t="s">
        <v>8</v>
      </c>
      <c r="D47" s="46" t="s">
        <v>239</v>
      </c>
      <c r="E47" s="46" t="s">
        <v>237</v>
      </c>
      <c r="F47" s="46" t="s">
        <v>238</v>
      </c>
      <c r="G47" s="46" t="s">
        <v>214</v>
      </c>
    </row>
    <row r="48" spans="2:7" ht="105.6" customHeight="1" x14ac:dyDescent="0.3">
      <c r="B48" s="74"/>
      <c r="C48" s="8" t="s">
        <v>11</v>
      </c>
      <c r="D48" s="46" t="s">
        <v>240</v>
      </c>
      <c r="E48" s="46" t="s">
        <v>241</v>
      </c>
      <c r="F48" s="46" t="s">
        <v>242</v>
      </c>
      <c r="G48" s="46" t="s">
        <v>215</v>
      </c>
    </row>
    <row r="49" spans="2:7" ht="102" customHeight="1" x14ac:dyDescent="0.3">
      <c r="B49" s="74"/>
      <c r="C49" s="8" t="s">
        <v>14</v>
      </c>
      <c r="D49" s="46" t="s">
        <v>243</v>
      </c>
      <c r="E49" s="46" t="s">
        <v>244</v>
      </c>
      <c r="F49" s="45" t="s">
        <v>245</v>
      </c>
      <c r="G49" s="46" t="s">
        <v>216</v>
      </c>
    </row>
    <row r="50" spans="2:7" ht="74.400000000000006" customHeight="1" x14ac:dyDescent="0.3">
      <c r="B50" s="75"/>
      <c r="C50" s="8" t="s">
        <v>17</v>
      </c>
      <c r="D50" s="25" t="s">
        <v>180</v>
      </c>
      <c r="E50" s="24" t="s">
        <v>186</v>
      </c>
      <c r="F50" s="46" t="s">
        <v>246</v>
      </c>
      <c r="G50" s="24" t="s">
        <v>217</v>
      </c>
    </row>
    <row r="51" spans="2:7" ht="63" customHeight="1" x14ac:dyDescent="0.3">
      <c r="B51" s="76" t="s">
        <v>20</v>
      </c>
      <c r="C51" s="10" t="s">
        <v>21</v>
      </c>
      <c r="D51" s="26" t="s">
        <v>184</v>
      </c>
      <c r="E51" s="31" t="s">
        <v>247</v>
      </c>
      <c r="F51" s="27" t="s">
        <v>180</v>
      </c>
      <c r="G51" s="31" t="s">
        <v>218</v>
      </c>
    </row>
    <row r="52" spans="2:7" x14ac:dyDescent="0.3">
      <c r="B52" s="77"/>
      <c r="C52" s="10" t="s">
        <v>25</v>
      </c>
      <c r="D52" s="50" t="s">
        <v>180</v>
      </c>
      <c r="E52" s="50" t="s">
        <v>180</v>
      </c>
      <c r="F52" s="50" t="s">
        <v>180</v>
      </c>
      <c r="G52" s="50" t="s">
        <v>180</v>
      </c>
    </row>
    <row r="53" spans="2:7" ht="112.8" customHeight="1" x14ac:dyDescent="0.3">
      <c r="B53" s="77"/>
      <c r="C53" s="10" t="s">
        <v>28</v>
      </c>
      <c r="D53" s="26" t="s">
        <v>248</v>
      </c>
      <c r="E53" s="31" t="s">
        <v>249</v>
      </c>
      <c r="F53" s="31" t="s">
        <v>274</v>
      </c>
      <c r="G53" s="27" t="s">
        <v>180</v>
      </c>
    </row>
    <row r="54" spans="2:7" ht="292.8" customHeight="1" x14ac:dyDescent="0.3">
      <c r="B54" s="78"/>
      <c r="C54" s="10" t="s">
        <v>31</v>
      </c>
      <c r="D54" s="31" t="s">
        <v>252</v>
      </c>
      <c r="E54" s="31" t="s">
        <v>251</v>
      </c>
      <c r="F54" s="31" t="s">
        <v>250</v>
      </c>
      <c r="G54" s="31" t="s">
        <v>272</v>
      </c>
    </row>
    <row r="55" spans="2:7" ht="69" x14ac:dyDescent="0.3">
      <c r="B55" s="79" t="s">
        <v>34</v>
      </c>
      <c r="C55" s="12" t="s">
        <v>35</v>
      </c>
      <c r="D55" s="48" t="s">
        <v>253</v>
      </c>
      <c r="E55" s="48" t="s">
        <v>254</v>
      </c>
      <c r="F55" s="48" t="s">
        <v>255</v>
      </c>
      <c r="G55" s="48" t="s">
        <v>273</v>
      </c>
    </row>
    <row r="56" spans="2:7" ht="91.8" customHeight="1" x14ac:dyDescent="0.3">
      <c r="B56" s="80"/>
      <c r="C56" s="12" t="s">
        <v>37</v>
      </c>
      <c r="D56" s="48" t="s">
        <v>258</v>
      </c>
      <c r="E56" s="48" t="s">
        <v>257</v>
      </c>
      <c r="F56" s="48" t="s">
        <v>256</v>
      </c>
      <c r="G56" s="53" t="s">
        <v>219</v>
      </c>
    </row>
    <row r="57" spans="2:7" ht="50.4" customHeight="1" x14ac:dyDescent="0.3">
      <c r="B57" s="80"/>
      <c r="C57" s="12" t="s">
        <v>40</v>
      </c>
      <c r="D57" s="28" t="s">
        <v>183</v>
      </c>
      <c r="E57" s="28" t="s">
        <v>187</v>
      </c>
      <c r="F57" s="28" t="s">
        <v>259</v>
      </c>
      <c r="G57" s="41" t="s">
        <v>180</v>
      </c>
    </row>
    <row r="58" spans="2:7" ht="105" customHeight="1" x14ac:dyDescent="0.3">
      <c r="B58" s="80"/>
      <c r="C58" s="12" t="s">
        <v>43</v>
      </c>
      <c r="D58" s="28" t="s">
        <v>182</v>
      </c>
      <c r="E58" s="28" t="s">
        <v>188</v>
      </c>
      <c r="F58" s="48" t="s">
        <v>260</v>
      </c>
      <c r="G58" s="28" t="s">
        <v>220</v>
      </c>
    </row>
    <row r="59" spans="2:7" ht="27.6" x14ac:dyDescent="0.3">
      <c r="B59" s="81"/>
      <c r="C59" s="12" t="s">
        <v>46</v>
      </c>
      <c r="D59" s="48" t="s">
        <v>181</v>
      </c>
      <c r="E59" s="48" t="s">
        <v>189</v>
      </c>
      <c r="F59" s="48" t="s">
        <v>200</v>
      </c>
      <c r="G59" s="48" t="s">
        <v>221</v>
      </c>
    </row>
    <row r="60" spans="2:7" ht="276.60000000000002" customHeight="1" x14ac:dyDescent="0.3">
      <c r="B60" s="82" t="s">
        <v>49</v>
      </c>
      <c r="C60" s="14" t="s">
        <v>50</v>
      </c>
      <c r="D60" s="32" t="s">
        <v>269</v>
      </c>
      <c r="E60" s="32" t="s">
        <v>263</v>
      </c>
      <c r="F60" s="32" t="s">
        <v>261</v>
      </c>
      <c r="G60" s="32" t="s">
        <v>262</v>
      </c>
    </row>
    <row r="61" spans="2:7" ht="27.6" x14ac:dyDescent="0.3">
      <c r="B61" s="83"/>
      <c r="C61" s="14" t="s">
        <v>53</v>
      </c>
      <c r="D61" s="30" t="s">
        <v>180</v>
      </c>
      <c r="E61" s="30" t="s">
        <v>180</v>
      </c>
      <c r="F61" s="30" t="s">
        <v>180</v>
      </c>
      <c r="G61" s="32" t="s">
        <v>222</v>
      </c>
    </row>
    <row r="62" spans="2:7" ht="130.19999999999999" customHeight="1" x14ac:dyDescent="0.3">
      <c r="B62" s="83"/>
      <c r="C62" s="14" t="s">
        <v>56</v>
      </c>
      <c r="D62" s="32" t="s">
        <v>266</v>
      </c>
      <c r="E62" s="32" t="s">
        <v>267</v>
      </c>
      <c r="F62" s="32" t="s">
        <v>268</v>
      </c>
      <c r="G62" s="32" t="s">
        <v>223</v>
      </c>
    </row>
    <row r="63" spans="2:7" ht="69" x14ac:dyDescent="0.3">
      <c r="B63" s="83"/>
      <c r="C63" s="14" t="s">
        <v>59</v>
      </c>
      <c r="D63" s="30" t="s">
        <v>180</v>
      </c>
      <c r="E63" s="32" t="s">
        <v>271</v>
      </c>
      <c r="F63" s="32" t="s">
        <v>270</v>
      </c>
      <c r="G63" s="32" t="s">
        <v>224</v>
      </c>
    </row>
    <row r="64" spans="2:7" ht="81.599999999999994" customHeight="1" x14ac:dyDescent="0.3">
      <c r="B64" s="84"/>
      <c r="C64" s="14" t="s">
        <v>62</v>
      </c>
      <c r="D64" s="29" t="s">
        <v>265</v>
      </c>
      <c r="E64" s="29" t="s">
        <v>190</v>
      </c>
      <c r="F64" s="29" t="s">
        <v>201</v>
      </c>
      <c r="G64" s="32" t="s">
        <v>264</v>
      </c>
    </row>
    <row r="66" spans="2:7" ht="25.8" x14ac:dyDescent="0.5">
      <c r="B66" s="85" t="s">
        <v>288</v>
      </c>
      <c r="C66" s="86"/>
      <c r="D66" s="86"/>
      <c r="E66" s="86"/>
      <c r="F66" s="86"/>
      <c r="G66" s="87"/>
    </row>
    <row r="67" spans="2:7" x14ac:dyDescent="0.3">
      <c r="B67" s="3" t="s">
        <v>1</v>
      </c>
      <c r="C67" s="3" t="s">
        <v>2</v>
      </c>
      <c r="D67" s="4" t="s">
        <v>3</v>
      </c>
      <c r="E67" s="5" t="s">
        <v>4</v>
      </c>
      <c r="F67" s="6" t="s">
        <v>5</v>
      </c>
      <c r="G67" s="7" t="s">
        <v>6</v>
      </c>
    </row>
    <row r="68" spans="2:7" ht="43.2" x14ac:dyDescent="0.3">
      <c r="B68" s="73" t="s">
        <v>7</v>
      </c>
      <c r="C68" s="8" t="s">
        <v>8</v>
      </c>
      <c r="D68" s="20" t="s">
        <v>171</v>
      </c>
      <c r="E68" s="20" t="s">
        <v>185</v>
      </c>
      <c r="F68" s="20" t="s">
        <v>202</v>
      </c>
      <c r="G68" s="20" t="s">
        <v>225</v>
      </c>
    </row>
    <row r="69" spans="2:7" x14ac:dyDescent="0.3">
      <c r="B69" s="74"/>
      <c r="C69" s="8" t="s">
        <v>11</v>
      </c>
      <c r="D69" s="20" t="s">
        <v>172</v>
      </c>
      <c r="E69" s="20" t="s">
        <v>275</v>
      </c>
      <c r="F69" s="20" t="s">
        <v>203</v>
      </c>
      <c r="G69" s="20" t="s">
        <v>226</v>
      </c>
    </row>
    <row r="70" spans="2:7" ht="28.8" x14ac:dyDescent="0.3">
      <c r="B70" s="74"/>
      <c r="C70" s="8" t="s">
        <v>14</v>
      </c>
      <c r="D70" s="20" t="s">
        <v>173</v>
      </c>
      <c r="E70" s="20" t="s">
        <v>276</v>
      </c>
      <c r="F70" s="20" t="s">
        <v>204</v>
      </c>
      <c r="G70" s="20" t="s">
        <v>227</v>
      </c>
    </row>
    <row r="71" spans="2:7" x14ac:dyDescent="0.3">
      <c r="B71" s="75"/>
      <c r="C71" s="8" t="s">
        <v>17</v>
      </c>
      <c r="D71" s="20" t="s">
        <v>174</v>
      </c>
      <c r="E71" s="20" t="s">
        <v>193</v>
      </c>
      <c r="F71" s="20" t="s">
        <v>193</v>
      </c>
      <c r="G71" s="20" t="s">
        <v>228</v>
      </c>
    </row>
    <row r="72" spans="2:7" x14ac:dyDescent="0.3">
      <c r="B72" s="76" t="s">
        <v>20</v>
      </c>
      <c r="C72" s="10" t="s">
        <v>21</v>
      </c>
      <c r="D72" s="21" t="s">
        <v>175</v>
      </c>
      <c r="E72" s="21" t="s">
        <v>277</v>
      </c>
      <c r="F72" s="21" t="s">
        <v>205</v>
      </c>
      <c r="G72" s="21" t="s">
        <v>229</v>
      </c>
    </row>
    <row r="73" spans="2:7" x14ac:dyDescent="0.3">
      <c r="B73" s="77"/>
      <c r="C73" s="10" t="s">
        <v>25</v>
      </c>
      <c r="D73" s="21" t="s">
        <v>194</v>
      </c>
      <c r="E73" s="21" t="s">
        <v>285</v>
      </c>
      <c r="F73" s="21" t="s">
        <v>206</v>
      </c>
      <c r="G73" s="21" t="s">
        <v>230</v>
      </c>
    </row>
    <row r="74" spans="2:7" ht="28.8" x14ac:dyDescent="0.3">
      <c r="B74" s="77"/>
      <c r="C74" s="10" t="s">
        <v>28</v>
      </c>
      <c r="D74" s="21" t="s">
        <v>176</v>
      </c>
      <c r="E74" s="21" t="s">
        <v>278</v>
      </c>
      <c r="F74" s="21" t="s">
        <v>207</v>
      </c>
      <c r="G74" s="21" t="s">
        <v>231</v>
      </c>
    </row>
    <row r="75" spans="2:7" x14ac:dyDescent="0.3">
      <c r="B75" s="78"/>
      <c r="C75" s="10" t="s">
        <v>31</v>
      </c>
      <c r="D75" s="21" t="s">
        <v>172</v>
      </c>
      <c r="E75" s="21" t="s">
        <v>275</v>
      </c>
      <c r="F75" s="21" t="s">
        <v>173</v>
      </c>
      <c r="G75" s="21" t="s">
        <v>232</v>
      </c>
    </row>
    <row r="76" spans="2:7" ht="28.8" x14ac:dyDescent="0.3">
      <c r="B76" s="79" t="s">
        <v>34</v>
      </c>
      <c r="C76" s="12" t="s">
        <v>35</v>
      </c>
      <c r="D76" s="22" t="s">
        <v>195</v>
      </c>
      <c r="E76" s="22" t="s">
        <v>279</v>
      </c>
      <c r="F76" s="22" t="s">
        <v>208</v>
      </c>
      <c r="G76" s="22" t="s">
        <v>233</v>
      </c>
    </row>
    <row r="77" spans="2:7" x14ac:dyDescent="0.3">
      <c r="B77" s="80"/>
      <c r="C77" s="12" t="s">
        <v>37</v>
      </c>
      <c r="D77" s="22" t="s">
        <v>177</v>
      </c>
      <c r="E77" s="22" t="s">
        <v>177</v>
      </c>
      <c r="F77" s="22" t="s">
        <v>203</v>
      </c>
      <c r="G77" s="22" t="s">
        <v>226</v>
      </c>
    </row>
    <row r="78" spans="2:7" x14ac:dyDescent="0.3">
      <c r="B78" s="80"/>
      <c r="C78" s="12" t="s">
        <v>40</v>
      </c>
      <c r="D78" s="22" t="s">
        <v>173</v>
      </c>
      <c r="E78" s="22" t="s">
        <v>275</v>
      </c>
      <c r="F78" s="22" t="s">
        <v>173</v>
      </c>
      <c r="G78" s="22" t="s">
        <v>226</v>
      </c>
    </row>
    <row r="79" spans="2:7" ht="28.8" x14ac:dyDescent="0.3">
      <c r="B79" s="80"/>
      <c r="C79" s="12" t="s">
        <v>43</v>
      </c>
      <c r="D79" s="22" t="s">
        <v>178</v>
      </c>
      <c r="E79" s="22" t="s">
        <v>280</v>
      </c>
      <c r="F79" s="22" t="s">
        <v>209</v>
      </c>
      <c r="G79" s="22" t="s">
        <v>234</v>
      </c>
    </row>
    <row r="80" spans="2:7" x14ac:dyDescent="0.3">
      <c r="B80" s="81"/>
      <c r="C80" s="12" t="s">
        <v>46</v>
      </c>
      <c r="D80" s="22" t="s">
        <v>179</v>
      </c>
      <c r="E80" s="22" t="s">
        <v>196</v>
      </c>
      <c r="F80" s="22" t="s">
        <v>177</v>
      </c>
      <c r="G80" s="22" t="s">
        <v>228</v>
      </c>
    </row>
    <row r="81" spans="2:7" x14ac:dyDescent="0.3">
      <c r="B81" s="82" t="s">
        <v>49</v>
      </c>
      <c r="C81" s="14" t="s">
        <v>50</v>
      </c>
      <c r="D81" s="23" t="s">
        <v>172</v>
      </c>
      <c r="E81" s="23" t="s">
        <v>276</v>
      </c>
      <c r="F81" s="23" t="s">
        <v>210</v>
      </c>
      <c r="G81" s="23" t="s">
        <v>235</v>
      </c>
    </row>
    <row r="82" spans="2:7" x14ac:dyDescent="0.3">
      <c r="B82" s="83"/>
      <c r="C82" s="14" t="s">
        <v>53</v>
      </c>
      <c r="D82" s="23" t="s">
        <v>211</v>
      </c>
      <c r="E82" s="23" t="s">
        <v>281</v>
      </c>
      <c r="F82" s="23" t="s">
        <v>212</v>
      </c>
      <c r="G82" s="23" t="s">
        <v>236</v>
      </c>
    </row>
    <row r="83" spans="2:7" x14ac:dyDescent="0.3">
      <c r="B83" s="83"/>
      <c r="C83" s="14" t="s">
        <v>56</v>
      </c>
      <c r="D83" s="23" t="s">
        <v>173</v>
      </c>
      <c r="E83" s="23" t="s">
        <v>282</v>
      </c>
      <c r="F83" s="23" t="s">
        <v>213</v>
      </c>
      <c r="G83" s="23" t="s">
        <v>232</v>
      </c>
    </row>
    <row r="84" spans="2:7" x14ac:dyDescent="0.3">
      <c r="B84" s="83"/>
      <c r="C84" s="14" t="s">
        <v>59</v>
      </c>
      <c r="D84" s="23" t="s">
        <v>198</v>
      </c>
      <c r="E84" s="23" t="s">
        <v>283</v>
      </c>
      <c r="F84" s="23" t="s">
        <v>197</v>
      </c>
      <c r="G84" s="23" t="s">
        <v>232</v>
      </c>
    </row>
    <row r="85" spans="2:7" x14ac:dyDescent="0.3">
      <c r="B85" s="84"/>
      <c r="C85" s="14" t="s">
        <v>62</v>
      </c>
      <c r="D85" s="23" t="s">
        <v>199</v>
      </c>
      <c r="E85" s="23" t="s">
        <v>284</v>
      </c>
      <c r="F85" s="23" t="s">
        <v>197</v>
      </c>
      <c r="G85" s="23" t="s">
        <v>232</v>
      </c>
    </row>
  </sheetData>
  <mergeCells count="20">
    <mergeCell ref="B66:G66"/>
    <mergeCell ref="B68:B71"/>
    <mergeCell ref="B72:B75"/>
    <mergeCell ref="B76:B80"/>
    <mergeCell ref="B81:B85"/>
    <mergeCell ref="B45:G45"/>
    <mergeCell ref="B47:B50"/>
    <mergeCell ref="B51:B54"/>
    <mergeCell ref="B55:B59"/>
    <mergeCell ref="B60:B64"/>
    <mergeCell ref="B26:B29"/>
    <mergeCell ref="B30:B33"/>
    <mergeCell ref="B34:B38"/>
    <mergeCell ref="B39:B43"/>
    <mergeCell ref="B2:G2"/>
    <mergeCell ref="B4:B7"/>
    <mergeCell ref="B8:B11"/>
    <mergeCell ref="B12:B16"/>
    <mergeCell ref="B17:B21"/>
    <mergeCell ref="B24:G24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99F8-035F-4DDC-8627-10126FAF0E86}">
  <sheetPr>
    <pageSetUpPr fitToPage="1"/>
  </sheetPr>
  <dimension ref="A2:F21"/>
  <sheetViews>
    <sheetView showGridLines="0" zoomScale="80" zoomScaleNormal="80" workbookViewId="0">
      <pane xSplit="3" ySplit="3" topLeftCell="D9" activePane="bottomRight" state="frozen"/>
      <selection pane="topRight" activeCell="D1" sqref="D1"/>
      <selection pane="bottomLeft" activeCell="A2" sqref="A2"/>
      <selection pane="bottomRight" activeCell="J11" sqref="J11"/>
    </sheetView>
  </sheetViews>
  <sheetFormatPr defaultRowHeight="13.8" x14ac:dyDescent="0.3"/>
  <cols>
    <col min="1" max="1" width="1.44140625" style="35" customWidth="1"/>
    <col min="2" max="2" width="19.5546875" style="35" customWidth="1"/>
    <col min="3" max="3" width="26.77734375" style="43" customWidth="1"/>
    <col min="4" max="4" width="54.33203125" style="35" customWidth="1"/>
    <col min="5" max="5" width="67.44140625" style="35" customWidth="1"/>
    <col min="6" max="6" width="47.33203125" style="43" bestFit="1" customWidth="1"/>
    <col min="7" max="16384" width="8.88671875" style="35"/>
  </cols>
  <sheetData>
    <row r="2" spans="1:6" ht="26.4" customHeight="1" x14ac:dyDescent="0.5">
      <c r="B2" s="61" t="s">
        <v>1</v>
      </c>
      <c r="C2" s="63" t="s">
        <v>2</v>
      </c>
      <c r="D2" s="1" t="s">
        <v>0</v>
      </c>
      <c r="E2" s="1" t="s">
        <v>191</v>
      </c>
      <c r="F2" s="1" t="s">
        <v>192</v>
      </c>
    </row>
    <row r="3" spans="1:6" x14ac:dyDescent="0.3">
      <c r="A3" s="36"/>
      <c r="B3" s="62"/>
      <c r="C3" s="63"/>
      <c r="D3" s="37" t="s">
        <v>3</v>
      </c>
      <c r="E3" s="37" t="s">
        <v>3</v>
      </c>
      <c r="F3" s="37" t="s">
        <v>3</v>
      </c>
    </row>
    <row r="4" spans="1:6" ht="69" x14ac:dyDescent="0.3">
      <c r="B4" s="64" t="s">
        <v>7</v>
      </c>
      <c r="C4" s="38" t="s">
        <v>8</v>
      </c>
      <c r="D4" s="46" t="str">
        <f t="shared" ref="D4:D21" si="0">VLOOKUP(C4,objetivos.gerais,2,FALSE)</f>
        <v>Se interessar por diversos temas, aprender com diferentes pessoas e consultar várias fontes para ampliar seu conhecimento, explorando novas ideias e recursos nas atividades.</v>
      </c>
      <c r="E4" s="46" t="str">
        <f t="shared" ref="E4:E21" si="1">VLOOKUP(C4,atividade.fixa,2,FALSE)</f>
        <v>☐ Conquistar uma especialidade sobre um tema de seu interesse e que seja um conhecimento novo.
☐ Visitar, com a alcateia, um porto, marina ou iate clube, conhecendo seu funcionamento. (do MAR)
☐ Visitar, com a alcateia, um aeródromo, conhecendo seu funcionamento. (do AR)</v>
      </c>
      <c r="F4" s="47" t="str">
        <f t="shared" ref="F4:F21" si="2">VLOOKUP(C4,atividade.variavel,2,FALSE)</f>
        <v>5 ações ou Insigna do aprender</v>
      </c>
    </row>
    <row r="5" spans="1:6" ht="55.2" x14ac:dyDescent="0.3">
      <c r="B5" s="65"/>
      <c r="C5" s="38" t="s">
        <v>11</v>
      </c>
      <c r="D5" s="46" t="str">
        <f t="shared" si="0"/>
        <v>Participar das atividades com responsabilidade, cumprindo com suas tarefas e ajudando sempre que possível. Refletir sobre suas experiências, fazer escolhas conscientes e aprender a usar o dinheiro de forma responsável no dia a dia.</v>
      </c>
      <c r="E5" s="46" t="str">
        <f t="shared" si="1"/>
        <v>☐ Organizar os materiais individuais e arrumar sua mochila para um acampamento de alcateia.
☐ Navegar em uma embarcação e usar corretamente o colete salva-vidas, seguindo as regras de segurança. (do MAR)</v>
      </c>
      <c r="F5" s="47" t="str">
        <f t="shared" si="2"/>
        <v>4 ações ou 1 especialidade (ver lista)</v>
      </c>
    </row>
    <row r="6" spans="1:6" ht="41.4" x14ac:dyDescent="0.3">
      <c r="B6" s="65"/>
      <c r="C6" s="38" t="s">
        <v>14</v>
      </c>
      <c r="D6" s="46" t="str">
        <f t="shared" si="0"/>
        <v>Utilizar a criatividade para encontrar diferentes soluções para desafios do dia a dia, experimentando novas maneiras de resolver problemas</v>
      </c>
      <c r="E6" s="46" t="str">
        <f t="shared" si="1"/>
        <v>☐ Construir uma engenhoca simples (varal, suporte de panela)
☐ Construir três diferentes modelos de avião de papel, testando os princípios da aerodinâmica. (do AR)</v>
      </c>
      <c r="F6" s="47" t="str">
        <f t="shared" si="2"/>
        <v>5 ações ou 1 especialidade (ver lista)</v>
      </c>
    </row>
    <row r="7" spans="1:6" ht="27.6" x14ac:dyDescent="0.3">
      <c r="B7" s="66"/>
      <c r="C7" s="38" t="s">
        <v>17</v>
      </c>
      <c r="D7" s="46" t="str">
        <f t="shared" si="0"/>
        <v>Reconhecer suas emoções e aprender a lidar com diferentes situações, buscando sempre tirar lições de cada experiência.</v>
      </c>
      <c r="E7" s="25" t="str">
        <f t="shared" si="1"/>
        <v>não há atividade fixas</v>
      </c>
      <c r="F7" s="25" t="str">
        <f t="shared" si="2"/>
        <v>5 ações</v>
      </c>
    </row>
    <row r="8" spans="1:6" ht="27.6" x14ac:dyDescent="0.3">
      <c r="B8" s="67" t="s">
        <v>20</v>
      </c>
      <c r="C8" s="39" t="s">
        <v>21</v>
      </c>
      <c r="D8" s="31" t="str">
        <f t="shared" si="0"/>
        <v>Usar apenas o necessário, evitando desperdícios e consumindo de forma consciente para preservar os recursos naturais.</v>
      </c>
      <c r="E8" s="31" t="str">
        <f t="shared" si="1"/>
        <v>☐ Participar de um piquenique, excursão ou acampamento com a alcateia, sem a utilização de plásticos descartáveis.</v>
      </c>
      <c r="F8" s="50" t="str">
        <f t="shared" si="2"/>
        <v>5 ações ou especialidade Horticultura ou Insigna RRR</v>
      </c>
    </row>
    <row r="9" spans="1:6" ht="27.6" x14ac:dyDescent="0.3">
      <c r="B9" s="68"/>
      <c r="C9" s="39" t="s">
        <v>25</v>
      </c>
      <c r="D9" s="31" t="str">
        <f t="shared" si="0"/>
        <v>Cuidar do planeta adotando hábitos que ajudam a reduzir os impactos das mudanças climáticas no dia a dia.</v>
      </c>
      <c r="E9" s="27" t="str">
        <f t="shared" si="1"/>
        <v>não há atividade fixas</v>
      </c>
      <c r="F9" s="50" t="str">
        <f t="shared" si="2"/>
        <v>4 ações ou especialidade Meteorologia ou Insigna Energia solar</v>
      </c>
    </row>
    <row r="10" spans="1:6" ht="55.2" x14ac:dyDescent="0.3">
      <c r="B10" s="68"/>
      <c r="C10" s="39" t="s">
        <v>28</v>
      </c>
      <c r="D10" s="31" t="str">
        <f t="shared" si="0"/>
        <v>Usar apenas o necessário, evitando desperdícios e consumindo de forma consciente para preservar os recursos naturais.</v>
      </c>
      <c r="E10" s="31" t="str">
        <f t="shared" si="1"/>
        <v>☐ Explorar a fauna e a flora local em uma atividade com a alcateia, compreendendo a importância da preservação.
☐ Conhecer as características do bioma aquático local. (do MAR)
☐ Identificar as aves da região e seus hábitos. (do AR)</v>
      </c>
      <c r="F10" s="50" t="str">
        <f t="shared" si="2"/>
        <v>5 ações ou 1 especialidade (ver lista) ou Insigna Campeões da natureza</v>
      </c>
    </row>
    <row r="11" spans="1:6" ht="206.4" customHeight="1" x14ac:dyDescent="0.3">
      <c r="B11" s="69"/>
      <c r="C11" s="39" t="s">
        <v>31</v>
      </c>
      <c r="D11" s="54" t="str">
        <f t="shared" si="0"/>
        <v>Aproveitar as atividades ao ar livre com responsabilidade, sempre cuidando da natureza e deixando os lugares melhores do que o encontrado.</v>
      </c>
      <c r="E11" s="26" t="str">
        <f t="shared" si="1"/>
        <v>☐ Explorar a fauna e a flora local em uma atividade com a alcateia, compreendendo a importância da preservação.
☐ Aplicar os seguintes nós: direito, escota alceado, aselha, de correr e volta do fiel, sabendo suas funções, durante um acampamento com a alcateia.
☐ Montar, pernoitar, desmontar e acondicionar corretamente a barraca durante um acampamento.
☐ Acender uma pequena fogueira para fazer uma bebida quente ou lanche, demonstrando as técnicas de segurança no uso de fósforos e acendedores, em um acampamento com a alcateia.
☐ Conhecer a Rosa dos Ventos e a constelação do Cruzeiro do Sul, usando-os para sua orientação.
☐ Participar de pelo menos dois acampamentos ou acantonamentos com a alcateia. Cozinhar um prato de comida mateira com a alcateia.</v>
      </c>
      <c r="F11" s="27" t="str">
        <f t="shared" si="2"/>
        <v>4 ações ou 1 especialidade (ver lista)</v>
      </c>
    </row>
    <row r="12" spans="1:6" ht="55.2" x14ac:dyDescent="0.3">
      <c r="B12" s="70" t="s">
        <v>34</v>
      </c>
      <c r="C12" s="40" t="s">
        <v>35</v>
      </c>
      <c r="D12" s="48" t="str">
        <f t="shared" si="0"/>
        <v>Praticar boas ações diariamente, seja em casa, na escola ou na comunidade, contribuindo para tornar o mundo um lugar melhor.</v>
      </c>
      <c r="E12" s="48" t="str">
        <f t="shared" si="1"/>
        <v>☐ Identificar, com sua alcateia, uma necessidade da UEL e participar de uma ação coletiva de melhoria.
☐ Conhecer os hospitais próximos à sua casa e os contatos de emergência (Bombeiros, SAMU, Polícia).</v>
      </c>
      <c r="F12" s="51" t="str">
        <f t="shared" si="2"/>
        <v>3 ações  ou 1 especialidade defesa civil ou Insigna boa ação ou insigna Mensageiro da paz</v>
      </c>
    </row>
    <row r="13" spans="1:6" ht="82.8" x14ac:dyDescent="0.3">
      <c r="B13" s="71"/>
      <c r="C13" s="40" t="s">
        <v>37</v>
      </c>
      <c r="D13" s="48" t="str">
        <f t="shared" si="0"/>
        <v>Ajudar na tomada de decisões em grupo, respeitando as escolhas coletivas e colaborando para que todos sejam ouvidos.</v>
      </c>
      <c r="E13" s="48" t="str">
        <f t="shared" si="1"/>
        <v>☐ Participar ativamente de uma Roca de Conselho, expressando opiniões de forma respeitosa.
☐ Conhecer a história “Caçadas de Kaa” e discutir com os companheiros a conduta dos personagens.
☐ Participar da eleição de primo e segundo da matilha e combinar suas responsabilidades.</v>
      </c>
      <c r="F13" s="41" t="str">
        <f t="shared" si="2"/>
        <v>2 ações</v>
      </c>
    </row>
    <row r="14" spans="1:6" ht="27.6" x14ac:dyDescent="0.3">
      <c r="B14" s="71"/>
      <c r="C14" s="40" t="s">
        <v>40</v>
      </c>
      <c r="D14" s="48" t="str">
        <f t="shared" si="0"/>
        <v>Descobrir e valorizar a cultura da sua comunidade e do seu país, explorando histórias, tradições e costumes em atividades divertidas.</v>
      </c>
      <c r="E14" s="48" t="str">
        <f t="shared" si="1"/>
        <v>☐ Realizar o hasteamento ou arriamento da Bandeira Nacional em cerimônia de abertura ou de encerramento de atividade.</v>
      </c>
      <c r="F14" s="51" t="str">
        <f t="shared" si="2"/>
        <v>5 ações ou 1 especialidade (ver lista)</v>
      </c>
    </row>
    <row r="15" spans="1:6" ht="41.4" x14ac:dyDescent="0.3">
      <c r="B15" s="71"/>
      <c r="C15" s="40" t="s">
        <v>43</v>
      </c>
      <c r="D15" s="48" t="str">
        <f t="shared" si="0"/>
        <v>Participar de atividades que promovem a paz e o respeito entre as pessoas, aprendendo a conviver com diferentes crenças e formas de pensar.</v>
      </c>
      <c r="E15" s="48" t="str">
        <f t="shared" si="1"/>
        <v>☐ Ouvir as histórias “Flor Vermelha” e “Irmãos de Mowgli”, do Livro da Jângal.</v>
      </c>
      <c r="F15" s="51" t="str">
        <f t="shared" si="2"/>
        <v>5 ações ou Insigna Lusofonia ou Insigna Conesul ou Insigna Dialogos pela Paz</v>
      </c>
    </row>
    <row r="16" spans="1:6" ht="36" customHeight="1" x14ac:dyDescent="0.3">
      <c r="B16" s="72"/>
      <c r="C16" s="40" t="s">
        <v>46</v>
      </c>
      <c r="D16" s="48" t="str">
        <f t="shared" si="0"/>
        <v>“Agir sempre de acordo com os valores da Promessa do Lobinho, sendo amigo, leal e prestativo com todos ao seu redor.</v>
      </c>
      <c r="E16" s="48" t="str">
        <f t="shared" si="1"/>
        <v>☐ Ouvir a história “Tigre Tigre” e comparar a conduta de Mowgli com a sua Promessa de Lobinho.</v>
      </c>
      <c r="F16" s="51" t="str">
        <f t="shared" si="2"/>
        <v>5 ações ou Ingina Escotismo mundial</v>
      </c>
    </row>
    <row r="17" spans="2:6" ht="82.8" x14ac:dyDescent="0.3">
      <c r="B17" s="58" t="s">
        <v>49</v>
      </c>
      <c r="C17" s="42" t="s">
        <v>50</v>
      </c>
      <c r="D17" s="32" t="str">
        <f t="shared" si="0"/>
        <v>Conhecer seu corpo, entender as diferenças entre as pessoas e realizar atividades que desenvolvam sua agilidade, força e flexibilidade. Conhecer técnicas básicas de primeiros socorros para ajudar em situações simples.</v>
      </c>
      <c r="E17" s="32" t="str">
        <f t="shared" si="1"/>
        <v>☐ Saber realizar os primeiros socorros em cortes, queimaduras e outros pequenos ferimentos.
☐ Saber utilizar ataduras e tipóias.
☐ Saber usar um termômetro.
☐ Cuidar de sua segurança e dos demais nas atividades da alcateia, seguindo as orientações dos Velhos Lobos.</v>
      </c>
      <c r="F17" s="49" t="str">
        <f t="shared" si="2"/>
        <v>4 ações ou 1 especialidade (ver lista)</v>
      </c>
    </row>
    <row r="18" spans="2:6" ht="41.4" x14ac:dyDescent="0.3">
      <c r="B18" s="59"/>
      <c r="C18" s="42" t="s">
        <v>53</v>
      </c>
      <c r="D18" s="32" t="str">
        <f t="shared" si="0"/>
        <v>Descobrir e respeitar diferentes crenças espirituais em sua comunidade, expressando sua própria fé com respeito e bondade no ambiente familiar e entre amigos.</v>
      </c>
      <c r="E18" s="30" t="str">
        <f t="shared" si="1"/>
        <v>não há atividade fixas</v>
      </c>
      <c r="F18" s="49" t="str">
        <f t="shared" si="2"/>
        <v>4 ações ou Especialidade  Yoga ou Insigna Dialogos inter-religioso</v>
      </c>
    </row>
    <row r="19" spans="2:6" ht="96.6" x14ac:dyDescent="0.3">
      <c r="B19" s="59"/>
      <c r="C19" s="42" t="s">
        <v>56</v>
      </c>
      <c r="D19" s="32" t="str">
        <f t="shared" si="0"/>
        <v>Cuidar de si mesmo, praticando atividades físicas, mantendo uma alimentação saudável e garantindo a higiene pessoal e do ambiente ao seu redor.</v>
      </c>
      <c r="E19" s="32" t="str">
        <f t="shared" si="1"/>
        <v>☐ Auxiliar na preparação de uma refeição saudável em um acampamento ou acantonamento da alcateia e experimentá-la.
☐ Preparar um lanche saudável para uma caçada, contendo pelo menos três tipos de legumes e dois tipos de frutas.
☐ Participar de pelo menos uma caminhada ao ar livre com a alcateia (entre 2 e 3 km), registrando três observações sobre o local durante o percurso.
☐ Saber remar em bote ou canoa, demonstrando embarque e desembarque. (do MAR)</v>
      </c>
      <c r="F19" s="49" t="str">
        <f t="shared" si="2"/>
        <v>5 ações ou 1 especialidade (ver lista)</v>
      </c>
    </row>
    <row r="20" spans="2:6" ht="41.4" x14ac:dyDescent="0.3">
      <c r="B20" s="59"/>
      <c r="C20" s="42" t="s">
        <v>59</v>
      </c>
      <c r="D20" s="32" t="str">
        <f t="shared" si="0"/>
        <v>Adotar hábitos que ajudam a equilibrar sua saúde mental, buscando momentos de relaxamento, diversão e bem-estar, tanto para si quanto para os outros.</v>
      </c>
      <c r="E20" s="30" t="str">
        <f t="shared" si="1"/>
        <v>não há atividade fixas</v>
      </c>
      <c r="F20" s="49" t="str">
        <f t="shared" si="2"/>
        <v>4 ações ou especialidade Prevenção aos Vicios</v>
      </c>
    </row>
    <row r="21" spans="2:6" ht="41.4" x14ac:dyDescent="0.3">
      <c r="B21" s="60"/>
      <c r="C21" s="42" t="s">
        <v>62</v>
      </c>
      <c r="D21" s="32" t="str">
        <f t="shared" si="0"/>
        <v>Fazer novas amizades, fortalecer os laços com os amigos e aprender a se relacionar de maneira saudável e positiva.</v>
      </c>
      <c r="E21" s="32" t="str">
        <f t="shared" si="1"/>
        <v>☐ Participar com entusiasmo das atividades da alcateia, brincando, conversando e respeitando os lobinhos e os Velhos Lobos.
☐ Cumprimentar membros do grupo com a saudação do lobinho e o aperto de mão.</v>
      </c>
      <c r="F21" s="49" t="str">
        <f t="shared" si="2"/>
        <v>5 ações ou especialidade Prevenção ao Bullying</v>
      </c>
    </row>
  </sheetData>
  <mergeCells count="6">
    <mergeCell ref="B17:B21"/>
    <mergeCell ref="B2:B3"/>
    <mergeCell ref="C2:C3"/>
    <mergeCell ref="B4:B7"/>
    <mergeCell ref="B8:B11"/>
    <mergeCell ref="B12:B16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449CA-42EC-453F-8EAA-98E5EB6E15DE}">
  <sheetPr>
    <pageSetUpPr fitToPage="1"/>
  </sheetPr>
  <dimension ref="A2:F21"/>
  <sheetViews>
    <sheetView showGridLines="0" zoomScale="80" zoomScaleNormal="80" workbookViewId="0">
      <pane xSplit="3" ySplit="3" topLeftCell="D18" activePane="bottomRight" state="frozen"/>
      <selection activeCell="D18" sqref="D18"/>
      <selection pane="topRight" activeCell="D18" sqref="D18"/>
      <selection pane="bottomLeft" activeCell="D18" sqref="D18"/>
      <selection pane="bottomRight" activeCell="D12" sqref="D12"/>
    </sheetView>
  </sheetViews>
  <sheetFormatPr defaultRowHeight="14.4" x14ac:dyDescent="0.3"/>
  <cols>
    <col min="1" max="1" width="1.44140625" customWidth="1"/>
    <col min="2" max="2" width="19.44140625" customWidth="1"/>
    <col min="3" max="3" width="24.6640625" style="16" customWidth="1"/>
    <col min="4" max="4" width="51.5546875" style="34" customWidth="1"/>
    <col min="5" max="5" width="76.44140625" customWidth="1"/>
    <col min="6" max="6" width="47.6640625" style="16" bestFit="1" customWidth="1"/>
  </cols>
  <sheetData>
    <row r="2" spans="1:6" ht="26.4" customHeight="1" x14ac:dyDescent="0.5">
      <c r="B2" s="61" t="s">
        <v>1</v>
      </c>
      <c r="C2" s="63" t="s">
        <v>2</v>
      </c>
      <c r="D2" s="17" t="s">
        <v>0</v>
      </c>
      <c r="E2" s="1" t="s">
        <v>191</v>
      </c>
      <c r="F2" s="1" t="s">
        <v>192</v>
      </c>
    </row>
    <row r="3" spans="1:6" x14ac:dyDescent="0.3">
      <c r="A3" s="2"/>
      <c r="B3" s="62"/>
      <c r="C3" s="63"/>
      <c r="D3" s="33" t="s">
        <v>4</v>
      </c>
      <c r="E3" s="5" t="s">
        <v>4</v>
      </c>
      <c r="F3" s="5" t="s">
        <v>4</v>
      </c>
    </row>
    <row r="4" spans="1:6" ht="96.6" x14ac:dyDescent="0.3">
      <c r="B4" s="64" t="s">
        <v>7</v>
      </c>
      <c r="C4" s="38" t="s">
        <v>8</v>
      </c>
      <c r="D4" s="44" t="str">
        <f t="shared" ref="D4:D21" si="0">VLOOKUP(C4,objetivos.gerais,3,FALSE)</f>
        <v>Explorar temas que despertam seu interesse, buscar informações confiáveis para aprender mais e experimentar novas ideias e recursos, aplicando esse conhecimento em atividades e projetos de serviço.</v>
      </c>
      <c r="E4" s="44" t="str">
        <f t="shared" ref="E4:E21" si="1">VLOOKUP(C4,atividade.fixa,3,FALSE)</f>
        <v>☐ Conquistar, no Ramo Escoteiro, uma especialidade sobre um tema de seu interesse e que seja um conhecimento novo.
☐ Em conjunto com a sua patrulha, realizar um Percurso de Gilwell de pelo menos 3km.
☐ Visitar, com a patrulha ou tropa, um aeroporto ou aeroclube, identificando tipos de aeronaves e procedimentos de pouso e decolagem. (do AR)
☐ Visitar, com a patrulha ou tropa, um porto, marina ou iate clube, conhecendo seu funcionamento e os tipos de embarcações. (do MAR)</v>
      </c>
      <c r="F4" s="25" t="str">
        <f t="shared" ref="F4:F21" si="2">VLOOKUP(C4,atividade.variavel,3,FALSE)</f>
        <v>4 ações ou  1 insigna (Ver lista)</v>
      </c>
    </row>
    <row r="5" spans="1:6" ht="69" x14ac:dyDescent="0.3">
      <c r="B5" s="65"/>
      <c r="C5" s="38" t="s">
        <v>11</v>
      </c>
      <c r="D5" s="44" t="str">
        <f t="shared" si="0"/>
        <v>Assumir diferentes papéis em sua patrulha, sabendo quando colaborar e quando liderar. Aprender a administrar seu dinheiro para realizar atividades e projetos, além de planejar, executar e avaliar tarefas junto ao grupo, tomando decisões de forma responsável.</v>
      </c>
      <c r="E5" s="44" t="str">
        <f t="shared" si="1"/>
        <v>☐ Montar corretamente uma mochila para um acampamento, mantendo o equipamento pessoal em bom estado.
☐ Navegar em uma embarcação à vela ou remo, montando-a corretamente, identificando as partes (proa, popa, bombordo, boreste), usando o colete salva-vidas e respeitando as regras de segurança. (do MAR)</v>
      </c>
      <c r="F5" s="25" t="str">
        <f t="shared" si="2"/>
        <v>5 ações ou 1 especialidade nivel 2 (ver lista)</v>
      </c>
    </row>
    <row r="6" spans="1:6" ht="96.6" x14ac:dyDescent="0.3">
      <c r="B6" s="65"/>
      <c r="C6" s="38" t="s">
        <v>14</v>
      </c>
      <c r="D6" s="44" t="str">
        <f t="shared" si="0"/>
        <v>Usar a criatividade para encontrar soluções práticas para os desafios do dia a dia, analisando diferentes alternativas antes de tomar uma decisão.</v>
      </c>
      <c r="E6" s="44" t="str">
        <f t="shared" si="1"/>
        <v>☐ Animar um Fogo de Conselho em um acampamento da patrulha ou de tropa.
☐ Aplicar conceitos básicos de estruturas (cavaletes, encaixes, ancoragens) em projetos como pontes, balsas, pórticos ou outras pioneirias.
☐ Construir uma pipa, planador e foguete, testando aerodinâmica, planagem e propulsão. (do AR)
☐ Confeccionar e utilizar uma jangada, canoa ou bote para embarcar a sua patrulha, respeitando as regras de segurança. (do MAR)</v>
      </c>
      <c r="F6" s="25" t="str">
        <f t="shared" si="2"/>
        <v>4 ações ou 1 especialidade nivel 2 (ver lista)</v>
      </c>
    </row>
    <row r="7" spans="1:6" ht="41.4" x14ac:dyDescent="0.3">
      <c r="B7" s="66"/>
      <c r="C7" s="38" t="s">
        <v>17</v>
      </c>
      <c r="D7" s="44" t="str">
        <f t="shared" si="0"/>
        <v>Reconhecer e compreender suas emoções, aprender a lidar com elas de maneira respeitosa e desenvolver resiliência ao enfrentar desafios e superar dificuldades.</v>
      </c>
      <c r="E7" s="44" t="str">
        <f t="shared" si="1"/>
        <v>☐ Identificar situações perigosas e de maus tratos, sabendo como agir e a quem recorrer.</v>
      </c>
      <c r="F7" s="25" t="str">
        <f t="shared" si="2"/>
        <v>4 ações</v>
      </c>
    </row>
    <row r="8" spans="1:6" ht="55.2" x14ac:dyDescent="0.3">
      <c r="B8" s="67" t="s">
        <v>20</v>
      </c>
      <c r="C8" s="39" t="s">
        <v>21</v>
      </c>
      <c r="D8" s="54" t="str">
        <f t="shared" si="0"/>
        <v>Praticar o consumo consciente diariamente, evitando desperdícios e ajudando a preservar os recursos naturais.</v>
      </c>
      <c r="E8" s="54" t="str">
        <f t="shared" si="1"/>
        <v>☐ Em acampamentos e excursões, criar soluções para melhorar a higiene e o conforto e classificar os resíduos em categorias, tratando-os adequadamente.
☐ Planejar adequadamente e adquirir as quantidades dos alimentos para refeições em um acampamento para sua patrulha, evitando desperdício.</v>
      </c>
      <c r="F8" s="27" t="str">
        <f t="shared" si="2"/>
        <v>5 ações ou especialidade Horticultura nivel 2 ou Insigna RRR</v>
      </c>
    </row>
    <row r="9" spans="1:6" ht="27.6" x14ac:dyDescent="0.3">
      <c r="B9" s="68"/>
      <c r="C9" s="39" t="s">
        <v>25</v>
      </c>
      <c r="D9" s="54" t="str">
        <f t="shared" si="0"/>
        <v>Se envolver em atividades e projetos para reduzir os impactos ambientais e combater as mudanças climáticas.</v>
      </c>
      <c r="E9" s="27" t="str">
        <f t="shared" si="1"/>
        <v>não há atividade fixas</v>
      </c>
      <c r="F9" s="27" t="str">
        <f t="shared" si="2"/>
        <v>5 ações ou especialidade Meteorologia nivel 2 ou Insigna Energia solar</v>
      </c>
    </row>
    <row r="10" spans="1:6" ht="82.8" x14ac:dyDescent="0.3">
      <c r="B10" s="68"/>
      <c r="C10" s="39" t="s">
        <v>28</v>
      </c>
      <c r="D10" s="54" t="str">
        <f t="shared" si="0"/>
        <v>Cuidar dos animais e das plantas, entendendo como as atitudes humanas podem protegê-los ou prejudicá-los.</v>
      </c>
      <c r="E10" s="54" t="str">
        <f t="shared" si="1"/>
        <v>☐ Participar, em patrulha, de uma atividade de exploração em ambiente natural, reconhecendo a fauna e a flora locais e identificando riscos à preservação, além de propor soluções para evitá-los.
☐ Identificar aves da região, seus hábitos e compreender a relação das espécies com os métodos de voo e aerodinâmica. (do AR)
☐ Conhecer as características do bioma aquático local e os riscos para esse bioma. (do MAR)</v>
      </c>
      <c r="F10" s="27" t="str">
        <f t="shared" si="2"/>
        <v>5 ações ou 1 especialidade nivel 2 (ver lista) ou Insigna Campeões da natureza</v>
      </c>
    </row>
    <row r="11" spans="1:6" ht="330" customHeight="1" x14ac:dyDescent="0.3">
      <c r="B11" s="69"/>
      <c r="C11" s="39" t="s">
        <v>31</v>
      </c>
      <c r="D11" s="54" t="str">
        <f t="shared" si="0"/>
        <v>Aproveitar as atividades ao ar livre com responsabilidade, respeitando a natureza e deixando os lugares sempre melhores do que encontrou.</v>
      </c>
      <c r="E11" s="54" t="str">
        <f t="shared" si="1"/>
        <v>☐ Montar o campo de patrulha com pioneirias como mesa, pórtico e canto do lenhador, utilizando amarras adequadas.
☐ Aplicar os nós direito, correr, aselha, volta do fiel, escota, durante um acampamento sabendo sua utilização.
☐ Escolher corretamente o local para montagem da barraca, incluindo técnicas de montagem, desmontagem e acondicionamento durante um acampamento de patrulha ou tropa.
☐ Manusear corretamente ferramentas de corte e sapa durante um acampamento de patrulha ou tropa, zelando pela segurança e realizando reparos.
☐ Preparar e executar uma fogueira para uma refeição mateira durante um acampamento de patrulha ou tropa, seguindo as técnicas de segurança.
☐ Participar de ao menos duas excursões ao ar livre (patrulha ou tropa), utilizando normas de baixo impacto ambiental.
☐ Participar de ao menos dois acampamentos ao ar livre (patrulha ou tropa), utilizando normas de baixo impacto ambiental.
☐ Orientar-se com recursos naturais, bússola e mapa, utilizando azimutes.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☐ Durante um acampamento, realizar observação das estrelas, identificando constelações e fases da lua, explicando suas interferências na natureza. (do AR)
☐ Durante uma atividade náutica, utilizar nós de modalidade do mar como lais de guia, nó de cunho, pinha de retinida e nó de defesa.(do MAR)</v>
      </c>
      <c r="F11" s="27" t="str">
        <f t="shared" si="2"/>
        <v>5 ações ou 1 especialidade nivel 2 (ver lista)</v>
      </c>
    </row>
    <row r="12" spans="1:6" ht="55.2" x14ac:dyDescent="0.3">
      <c r="B12" s="70" t="s">
        <v>34</v>
      </c>
      <c r="C12" s="40" t="s">
        <v>35</v>
      </c>
      <c r="D12" s="53" t="str">
        <f t="shared" si="0"/>
        <v>Realizar boas ações diariamente e trabalhar em equipe para organizar atividades e projetos de serviço que beneficiem a comunidade.</v>
      </c>
      <c r="E12" s="53" t="str">
        <f t="shared" si="1"/>
        <v>☐ Identificar, sozinho ou em patrulha, uma necessidade da comunidade e planejar e executar uma ação comunitária.
☐ Identificar os riscos de desastres naturais na comunidade e conhecer os hospitais e contatos de emergência, sabendo quando acionar cada um.</v>
      </c>
      <c r="F12" s="41" t="str">
        <f t="shared" si="2"/>
        <v>3 ações  ou 1 especialidade defesa civil nivel 2 ou Insigna boa ação ou insigna Mensageiro da paz</v>
      </c>
    </row>
    <row r="13" spans="1:6" ht="82.8" x14ac:dyDescent="0.3">
      <c r="B13" s="71"/>
      <c r="C13" s="40" t="s">
        <v>37</v>
      </c>
      <c r="D13" s="53" t="str">
        <f t="shared" si="0"/>
        <v>Participar das decisões da tropa, contribuindo com suas ideias, respeitando as opiniões dos colegas e se comprometendo a seguir o que foi decidido coletivamente.</v>
      </c>
      <c r="E13" s="53" t="str">
        <f t="shared" si="1"/>
        <v>☐ Participar ativamente das decisões do Conselho de Patrulha, contribuindo com ideias, votando e assumindo responsabilidades, respeitando os resultados.
☐ Participar ativamente das decisões da Assembleia de Tropa, contribuindo com ideias, votando e assumindo responsabilidades, respeitando os resultados.
☐ Participar da eleição do monitor da patrulha e das decisões de encargos, respeitando os resultados.</v>
      </c>
      <c r="F13" s="41" t="str">
        <f t="shared" si="2"/>
        <v>2 ações</v>
      </c>
    </row>
    <row r="14" spans="1:6" ht="41.4" x14ac:dyDescent="0.3">
      <c r="B14" s="71"/>
      <c r="C14" s="40" t="s">
        <v>40</v>
      </c>
      <c r="D14" s="53" t="str">
        <f t="shared" si="0"/>
        <v>Explorar e valorizar a cultura de sua comunidade e de seu país, conhecendo costumes, tradições, folclore e geografia, e propor atividades para compartilhar esse conhecimento com os outros.</v>
      </c>
      <c r="E14" s="53" t="str">
        <f t="shared" si="1"/>
        <v>☐ Realizar o hasteamento ou arriamento da bandeira em cerimônia de abertura ou encerramento de atividade.</v>
      </c>
      <c r="F14" s="41" t="str">
        <f t="shared" si="2"/>
        <v>5 ações ou 1 especialidade nivel 2 (ver lista)</v>
      </c>
    </row>
    <row r="15" spans="1:6" ht="41.4" x14ac:dyDescent="0.3">
      <c r="B15" s="71"/>
      <c r="C15" s="40" t="s">
        <v>43</v>
      </c>
      <c r="D15" s="53" t="str">
        <f t="shared" si="0"/>
        <v>Promover a paz, a inclusão e a diversidade em suas ações diárias, respeitando e demonstrando interesse por diferentes crenças e tradições espirituais.</v>
      </c>
      <c r="E15" s="53" t="str">
        <f t="shared" si="1"/>
        <v>☐ Aplicar uma atividade para a patrulha sobre Direitos Humanos ou os Direitos da Criança e do Adolescente.</v>
      </c>
      <c r="F15" s="41" t="str">
        <f t="shared" si="2"/>
        <v>4 ações ou 1 Insigna (ver lista)</v>
      </c>
    </row>
    <row r="16" spans="1:6" ht="41.4" x14ac:dyDescent="0.3">
      <c r="B16" s="72"/>
      <c r="C16" s="40" t="s">
        <v>46</v>
      </c>
      <c r="D16" s="53" t="str">
        <f t="shared" si="0"/>
        <v>Atuar de acordo com seus valores pessoais e os princípios do Movimento Escoteiro, vivendo sua Promessa e a Lei Escoteira em todas as suas atitudes.</v>
      </c>
      <c r="E16" s="53" t="str">
        <f t="shared" si="1"/>
        <v>☐ Avaliar, com seus companheiros de patrulha, a vivência da Promessa e Lei Escoteira.</v>
      </c>
      <c r="F16" s="41" t="str">
        <f t="shared" si="2"/>
        <v>3 ações ou Ingina Escotismo mundial</v>
      </c>
    </row>
    <row r="17" spans="2:6" ht="138" x14ac:dyDescent="0.3">
      <c r="B17" s="58" t="s">
        <v>49</v>
      </c>
      <c r="C17" s="42" t="s">
        <v>50</v>
      </c>
      <c r="D17" s="55" t="str">
        <f t="shared" si="0"/>
        <v>Compreender e respeitar as mudanças do seu próprio corpo e das outras pessoas, independentemente de aparência, identidade ou orientação sexual. Desafiar a superar suas limitações físicas e aprender técnicas básicas de primeiros socorros.</v>
      </c>
      <c r="E17" s="55" t="str">
        <f t="shared" si="1"/>
        <v>☐ Conhecer as ações iniciais em acidentes e como cuidar de:
• pequenos cortes;
• contusões;
• escoriações;
• queimaduras e
• picadas de animais peçonhentos.
☐ Aplicar técnicas de bandagens e transporte de feridos.
☐ Cuidar da segurança física e mental nas atividades escoteiras, respeitando os limites próprios e dos outros, e seguindo as orientações dos escotistas.</v>
      </c>
      <c r="F17" s="30" t="str">
        <f t="shared" si="2"/>
        <v>4 ações ou 1 especialidade nivel 2 (ver lista)</v>
      </c>
    </row>
    <row r="18" spans="2:6" ht="41.4" x14ac:dyDescent="0.3">
      <c r="B18" s="59"/>
      <c r="C18" s="42" t="s">
        <v>53</v>
      </c>
      <c r="D18" s="55" t="str">
        <f t="shared" si="0"/>
        <v>Explorar a espiritualidade observando as maravilhas da natureza, praticando a solidariedade e conhecendo diferentes crenças. Além disso, se esforça para viver seus princípios diariamente.</v>
      </c>
      <c r="E18" s="30" t="str">
        <f t="shared" si="1"/>
        <v>não há atividade fixas</v>
      </c>
      <c r="F18" s="30" t="str">
        <f t="shared" si="2"/>
        <v>4 ações ou Especialidade  Yoga nivel 2 ou Insigna Dialogos inter-religioso</v>
      </c>
    </row>
    <row r="19" spans="2:6" ht="55.2" x14ac:dyDescent="0.3">
      <c r="B19" s="59"/>
      <c r="C19" s="42" t="s">
        <v>56</v>
      </c>
      <c r="D19" s="55" t="str">
        <f t="shared" si="0"/>
        <v>Cuidar da própria saúde praticando exercícios físicos, mantendo uma alimentação equilibrada e garantindo bons hábitos de higiene pessoal e organização do seu espaço.</v>
      </c>
      <c r="E19" s="55" t="str">
        <f t="shared" si="1"/>
        <v>☐ Planejar e executar um cardápio completo e saudável (café da manhã, almoço e jantar) para a patrulha em acampamento.
☐ Conhecer e aplicar normas de limpeza no tratamento e conservação de alimentos nas atividades de patrulha.</v>
      </c>
      <c r="F19" s="30" t="str">
        <f t="shared" si="2"/>
        <v>3 ações ou 1 especialidade nivel 2 (ver lista)</v>
      </c>
    </row>
    <row r="20" spans="2:6" ht="55.2" x14ac:dyDescent="0.3">
      <c r="B20" s="59"/>
      <c r="C20" s="42" t="s">
        <v>59</v>
      </c>
      <c r="D20" s="55" t="str">
        <f t="shared" si="0"/>
        <v>Adotar práticas que ajudam a manter o equilíbrio da sua saúde mental, buscando estratégias para lidar com desafios e contribuindo para o bem-estar das pessoas ao seu redor.</v>
      </c>
      <c r="E20" s="55" t="str">
        <f t="shared" si="1"/>
        <v>☐ Conhecer o conceito de Espaços Seguros e aplicá-los em todas as atividades de sua patrulha ou tropa.
☐ Aprender a identificar sinais de tristeza ou isolamento em colegas e saber como oferecer apoio inicial, como conversar com respeito e buscar ajuda de um adulto de confiança.</v>
      </c>
      <c r="F20" s="30" t="str">
        <f t="shared" si="2"/>
        <v>2 ações ou especialidade Prevenção aos Vicios nivel 2</v>
      </c>
    </row>
    <row r="21" spans="2:6" ht="27.6" x14ac:dyDescent="0.3">
      <c r="B21" s="60"/>
      <c r="C21" s="42" t="s">
        <v>62</v>
      </c>
      <c r="D21" s="55" t="str">
        <f t="shared" si="0"/>
        <v>Criar laços de amizade de forma saudável, respeitosa e empática, fortalecendo suas relações pessoais de maneira positiva.</v>
      </c>
      <c r="E21" s="55" t="str">
        <f t="shared" si="1"/>
        <v>☐ Realizar uma campanha para combater o bullying e cyberbullying para a comunidade.</v>
      </c>
      <c r="F21" s="30" t="str">
        <f t="shared" si="2"/>
        <v>4 ações ou especialidade Prevenção ao Bullying nivel 2</v>
      </c>
    </row>
  </sheetData>
  <mergeCells count="6">
    <mergeCell ref="B17:B21"/>
    <mergeCell ref="B2:B3"/>
    <mergeCell ref="C2:C3"/>
    <mergeCell ref="B4:B7"/>
    <mergeCell ref="B8:B11"/>
    <mergeCell ref="B12:B16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4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AC33-97F0-43AB-AEDA-67952D18CECB}">
  <sheetPr>
    <pageSetUpPr fitToPage="1"/>
  </sheetPr>
  <dimension ref="A2:F21"/>
  <sheetViews>
    <sheetView showGridLines="0" zoomScale="80" zoomScaleNormal="80" workbookViewId="0">
      <pane xSplit="3" ySplit="3" topLeftCell="D10" activePane="bottomRight" state="frozen"/>
      <selection activeCell="D18" sqref="D18"/>
      <selection pane="topRight" activeCell="D18" sqref="D18"/>
      <selection pane="bottomLeft" activeCell="D18" sqref="D18"/>
      <selection pane="bottomRight" activeCell="D18" sqref="D18"/>
    </sheetView>
  </sheetViews>
  <sheetFormatPr defaultRowHeight="14.4" x14ac:dyDescent="0.3"/>
  <cols>
    <col min="1" max="1" width="1.44140625" customWidth="1"/>
    <col min="2" max="2" width="19" customWidth="1"/>
    <col min="3" max="3" width="25.21875" style="16" customWidth="1"/>
    <col min="4" max="4" width="69.88671875" customWidth="1"/>
    <col min="5" max="5" width="77.88671875" bestFit="1" customWidth="1"/>
    <col min="6" max="6" width="47.44140625" bestFit="1" customWidth="1"/>
  </cols>
  <sheetData>
    <row r="2" spans="1:6" ht="26.4" customHeight="1" x14ac:dyDescent="0.5">
      <c r="B2" s="61" t="s">
        <v>1</v>
      </c>
      <c r="C2" s="63" t="s">
        <v>2</v>
      </c>
      <c r="D2" s="17" t="s">
        <v>0</v>
      </c>
      <c r="E2" s="1" t="s">
        <v>191</v>
      </c>
      <c r="F2" s="1" t="s">
        <v>192</v>
      </c>
    </row>
    <row r="3" spans="1:6" x14ac:dyDescent="0.3">
      <c r="A3" s="2"/>
      <c r="B3" s="62"/>
      <c r="C3" s="63"/>
      <c r="D3" s="6" t="s">
        <v>5</v>
      </c>
      <c r="E3" s="6" t="s">
        <v>5</v>
      </c>
      <c r="F3" s="6" t="s">
        <v>5</v>
      </c>
    </row>
    <row r="4" spans="1:6" ht="82.8" x14ac:dyDescent="0.3">
      <c r="B4" s="64" t="s">
        <v>7</v>
      </c>
      <c r="C4" s="38" t="s">
        <v>8</v>
      </c>
      <c r="D4" s="24" t="str">
        <f t="shared" ref="D4:D21" si="0">VLOOKUP(C4,objetivos.gerais,4,FALSE)</f>
        <v>Conhecer diferentes temas, planejar estratégias para aprender de maneira eficaz e utilizar novos conceitos e recursos para melhorar seus resultados. Aprofundar seus conhecimentos em áreas de interesse, descobrindo e explorando sua vocação.</v>
      </c>
      <c r="E4" s="44" t="str">
        <f t="shared" ref="E4:E21" si="1">VLOOKUP(C4,atividade.fixa,4,FALSE)</f>
        <v>☐ Conquistar, no Ramo Sênior, uma especialidade sobre um tema de seu interesse e que seja um conhecimento novo.
☐ Organizar e realizar, com a patrulha, uma visita a um porto, marina ou iate clube, conhecendo seu funcionamento, tipos de embarcações e sinalizações de tráfego.(do MAR)
☐ Organizar e realizar, com a patrulha, uma visita a um aeroporto ou aeroclube, identificando tipos de aeronaves, procedimentos de pouso e decolagem, e sinalização de pista. (do AR)</v>
      </c>
      <c r="F4" s="25" t="str">
        <f t="shared" ref="F4:F21" si="2">VLOOKUP(C4,atividade.variavel,4,FALSE)</f>
        <v>3 ações ou  1 Especialidade (Ver lista) ou 1 Insigna (ver lista)</v>
      </c>
    </row>
    <row r="5" spans="1:6" ht="69" x14ac:dyDescent="0.3">
      <c r="B5" s="65"/>
      <c r="C5" s="38" t="s">
        <v>11</v>
      </c>
      <c r="D5" s="24" t="str">
        <f t="shared" si="0"/>
        <v>Assumir responsabilidades dentro de sua patrulha ou equipe de interesse, trabalhando junto aos colegas para alcançar objetivos. Organizar e administrar recursos para seus projetos, definir um orçamento e executar ações para cumpri-lo. Planejar, realizar e avaliar atividades individuais e coletivas, tomando decisões com consciência e responsabilidade.</v>
      </c>
      <c r="E5" s="44" t="str">
        <f t="shared" si="1"/>
        <v>☐ Conhecer o material individual e de patrulha necessário para diferentes tipos de excursões (acampamento, acantonamento, volante, fixo) e saber organizá-lo na mochila.
☐ Construir e navegar com sua patrulha ou equipe de interesse em embarcação à vela ou a remo, identificando as partes (proa, popa, bombordo, boreste), utilizando o colete salva-vidas e seguindo as regras de segurança.(do MAR)</v>
      </c>
      <c r="F5" s="25" t="str">
        <f t="shared" si="2"/>
        <v>4 ações ou 1 especialidade (Ver lista)</v>
      </c>
    </row>
    <row r="6" spans="1:6" ht="41.4" x14ac:dyDescent="0.3">
      <c r="B6" s="65"/>
      <c r="C6" s="38" t="s">
        <v>14</v>
      </c>
      <c r="D6" s="24" t="str">
        <f t="shared" si="0"/>
        <v>Expressar suas ideias, talentos e criatividade por meio da arte, da escrita, da música ou de outras formas de criação. Buscar inovar em seus projetos e iniciativas, explorando novas possibilidades além daquilo que já está acostumado a fazer.</v>
      </c>
      <c r="E6" s="44" t="str">
        <f t="shared" si="1"/>
        <v>☐ Durante um acampamento, planejar e executar pioneirias inovadoras de médio ou grande porte.
☐ Organizar um torneio aéreo com categorias como avião de papel, pipa, planador e foguete.(do AR)</v>
      </c>
      <c r="F6" s="25" t="str">
        <f t="shared" si="2"/>
        <v>3 ações ou 1 especialidade Comunicação ou Insigna Inovadores de Impacto</v>
      </c>
    </row>
    <row r="7" spans="1:6" ht="55.2" x14ac:dyDescent="0.3">
      <c r="B7" s="66"/>
      <c r="C7" s="38" t="s">
        <v>17</v>
      </c>
      <c r="D7" s="24" t="str">
        <f t="shared" si="0"/>
        <v>Reconhecer e lidar com seus sentimentos, respeitando suas próprias emoções, expressando-se de forma equilibrada e assertiva.</v>
      </c>
      <c r="E7" s="44" t="str">
        <f t="shared" si="1"/>
        <v>☐ Durante as atividades, reconhecer situações que comprometam a integridade física ou emocional, sabendo como agir e a quem recorrer, mantendo-se calmo e em segurança.
☐ Praticar feedback construtivo durante as atividades, expressando opiniões de forma assertiva e respeitosa.</v>
      </c>
      <c r="F7" s="25" t="str">
        <f t="shared" si="2"/>
        <v>4 ações</v>
      </c>
    </row>
    <row r="8" spans="1:6" ht="27.6" x14ac:dyDescent="0.3">
      <c r="B8" s="67" t="s">
        <v>20</v>
      </c>
      <c r="C8" s="39" t="s">
        <v>21</v>
      </c>
      <c r="D8" s="26" t="str">
        <f t="shared" si="0"/>
        <v>Compreender como o consumo responsável influencia o futuro do planeta e adotar hábitos que ajudam a garantir recursos para as próximas gerações.</v>
      </c>
      <c r="E8" s="27" t="str">
        <f t="shared" si="1"/>
        <v>não há atividade fixas</v>
      </c>
      <c r="F8" s="27" t="str">
        <f t="shared" si="2"/>
        <v>4 ações ou especialidade Sustentável ou Insigna RRR</v>
      </c>
    </row>
    <row r="9" spans="1:6" ht="41.4" x14ac:dyDescent="0.3">
      <c r="B9" s="68"/>
      <c r="C9" s="39" t="s">
        <v>25</v>
      </c>
      <c r="D9" s="26" t="str">
        <f t="shared" si="0"/>
        <v>Propor e organizar atividades e projetos para reduzir os impactos ambientais e combater as mudanças climáticas. Incentivar práticas sustentáveis no dia a dia e mobilizar outros para agir pelo meio ambiente.</v>
      </c>
      <c r="E9" s="27" t="str">
        <f t="shared" si="1"/>
        <v>não há atividade fixas</v>
      </c>
      <c r="F9" s="27" t="str">
        <f t="shared" si="2"/>
        <v>4 ações ou especialidade Sustentabilidade ou Insigna Energia solar</v>
      </c>
    </row>
    <row r="10" spans="1:6" ht="69" x14ac:dyDescent="0.3">
      <c r="B10" s="68"/>
      <c r="C10" s="39" t="s">
        <v>28</v>
      </c>
      <c r="D10" s="26" t="str">
        <f t="shared" si="0"/>
        <v>Identificar os impactos das ações humanas na biodiversidade e atuar para proteger os ecossistemas, promovendo a preservação da fauna e flora.</v>
      </c>
      <c r="E10" s="54" t="str">
        <f t="shared" si="1"/>
        <v>☐ Participar de uma atividade em uma Área de Proteção Ambiental, reconhecendo fauna, flora e bioma local, identificando riscos e propondo soluções para preservação.
☐ Conhecer o bioma aquático local, seus riscos e a importância de sua preservação. (do MAR)
☐ Participar de uma atividade de observação de aves da região, identificando seus hábitos e a relação com os diferentes métodos de voo e aerodinâmica (do AR)</v>
      </c>
      <c r="F10" s="27" t="str">
        <f t="shared" si="2"/>
        <v>2 ações ou 1 especialidade (ver lista) ou Insigna Campeões da natureza</v>
      </c>
    </row>
    <row r="11" spans="1:6" ht="248.4" x14ac:dyDescent="0.3">
      <c r="B11" s="69"/>
      <c r="C11" s="39" t="s">
        <v>31</v>
      </c>
      <c r="D11" s="26" t="str">
        <f t="shared" si="0"/>
        <v>Aproveitar ao máximo as atividades ao ar livre e sua conexão com a natureza, sempre cuidando do ambiente e reduzindo seu impacto sobre ele.</v>
      </c>
      <c r="E11" s="54" t="str">
        <f t="shared" si="1"/>
        <v>☐ Montar o campo de patrulha com pioneirias como mesa, canto do lenhador e pórtico, utilizando amarras adequadas.
☐ Aplicar os seguintes nós: direito, correr, lais de guia, volta do fiel, nó em oito, balso pelo seio, catau, volta do salteador e boca de lobo durante um acampamento de tropa ou patrulha, conhecendo suas funcionalidades.
☐ Escolher corretamente o local para montagem da barraca, incluindo técnicas de drenagem, desmontagem e acondicionamento durante um acampamento de tropa ou patrulha.
☐ Manusear corretamente ferramentas de corte e sapa, zelando pela segurança e realizando reparos, durante um acampamento de tropa ou patrulha.
☐ Preparar e executar pelo menos três tipos de fogueiras, utilizando-as para preparar uma refeição mateira e zelando pela segurança, em um acampamento de tropa ou patrulha.
☐ Planejar e realizar ao menos uma excursão de patrulha em um ambiente natural.
☐ Planejar e realizar ao menos um acampamento de patrulha com técnicas de campismo de baixo impacto.
☐ Em atividade ao ar livre, orientar-se utilizando carta topográfica ou náutica e bússola, e utilizar métodos naturais e tecnológicos de orientação.
☐ Utilizar nós de modalidade do mar, como lais de guia, nó de cunho, pinha de retinida e nó de defesa (do MAR)</v>
      </c>
      <c r="F11" s="27" t="str">
        <f t="shared" si="2"/>
        <v>5 ações ou 1 especialidade (ver lista)</v>
      </c>
    </row>
    <row r="12" spans="1:6" ht="55.2" x14ac:dyDescent="0.3">
      <c r="B12" s="70" t="s">
        <v>34</v>
      </c>
      <c r="C12" s="40" t="s">
        <v>35</v>
      </c>
      <c r="D12" s="28" t="str">
        <f t="shared" si="0"/>
        <v>Planejar e coordenar projetos que geram impacto positivo na comunidade, dialogando com outras instituições, e promover ações concretas para o bem comum.</v>
      </c>
      <c r="E12" s="53" t="str">
        <f t="shared" si="1"/>
        <v>☐ Participar, sozinho, em patrulha ou equipe, de pelo menos 10 horas de ação comunitária com outras instituições locais.
☐ Capacitar-se em curso promovido por entidades de referência (defesa civil, cruz vermelha, corpo de bombeiros etc.) e estar preparado para atuar em crises humanitárias.</v>
      </c>
      <c r="F12" s="41" t="str">
        <f t="shared" si="2"/>
        <v>2 ações  ou 1 especialidade (ver lista) ou  1 Insigna (ver  lista)</v>
      </c>
    </row>
    <row r="13" spans="1:6" ht="82.8" x14ac:dyDescent="0.3">
      <c r="B13" s="71"/>
      <c r="C13" s="40" t="s">
        <v>37</v>
      </c>
      <c r="D13" s="28" t="str">
        <f t="shared" si="0"/>
        <v>Participar ativamente da democracia, engajando-se em debates, contribuindo na tomada de decisões e ajudando a construir soluções coletivas para desafios sociais.</v>
      </c>
      <c r="E13" s="53" t="str">
        <f t="shared" si="1"/>
        <v>☐ Participar ativamente das decisões do Conselho de Patrulha, contribuindo com ideias, votando e assumindo responsabilidades, respeitando os resultados.
☐ Participar ativamente das decisões da Assembleia de Tropa, contribuindo com ideias, votando e assumindo responsabilidades, respeitando os resultados.
☐ Participar da eleição do monitor da patrulha e das decisões dos encargos, respeitando os resultados.</v>
      </c>
      <c r="F13" s="41" t="str">
        <f t="shared" si="2"/>
        <v>4 ações ou 1 especialidade (Ver lista)</v>
      </c>
    </row>
    <row r="14" spans="1:6" ht="65.400000000000006" customHeight="1" x14ac:dyDescent="0.3">
      <c r="B14" s="71"/>
      <c r="C14" s="40" t="s">
        <v>40</v>
      </c>
      <c r="D14" s="28" t="str">
        <f t="shared" si="0"/>
        <v>Compartilhar a herança cultural de sua comunidade e do seu país, organizando atividades e projetos que valorizam a história, os costumes e os saberes ancestrais dos povos originários brasileiros.</v>
      </c>
      <c r="E14" s="53" t="str">
        <f t="shared" si="1"/>
        <v>☐ Conduzir a cerimônia de abertura de uma atividade de patrulha ou tropa.
☐ Participar corretamente do cerimonial de hastear e arriar a Bandeira Nacional, tocando o apito marinheiro (do MAR)</v>
      </c>
      <c r="F14" s="41" t="str">
        <f t="shared" si="2"/>
        <v>5 ações ou 1 especialidade (ver lista)</v>
      </c>
    </row>
    <row r="15" spans="1:6" ht="96.6" x14ac:dyDescent="0.3">
      <c r="B15" s="71"/>
      <c r="C15" s="40" t="s">
        <v>43</v>
      </c>
      <c r="D15" s="28" t="str">
        <f t="shared" si="0"/>
        <v>Desenvolver projetos que promovem a paz, o respeito à diversidade, o diálogo entre diferentes culturas e crenças, reconhecendo e valorizando a pluralidade da humanidade.</v>
      </c>
      <c r="E15" s="53" t="str">
        <f t="shared" si="1"/>
        <v>☐ Participar de uma ação colaborativa sobre diferentes temas que envolvem a cultura de paz, tais como:
- Direitos Humanos;
- Diálogo Inter-religioso;
- Refugiados e Imigrantes;
- Diversidades;
- Inclusão.</v>
      </c>
      <c r="F15" s="41" t="str">
        <f t="shared" si="2"/>
        <v>5 ações ou 1 especialidade (Ver lista) ou 1 Insigna (ver lista)</v>
      </c>
    </row>
    <row r="16" spans="1:6" ht="27.6" x14ac:dyDescent="0.3">
      <c r="B16" s="72"/>
      <c r="C16" s="40" t="s">
        <v>46</v>
      </c>
      <c r="D16" s="28" t="str">
        <f t="shared" si="0"/>
        <v>Alinhar suas atitudes aos seus valores pessoais e aos princípios do Movimento Escoteiro, vivendo a Promessa e a Lei Escoteira de forma consciente e coerente.</v>
      </c>
      <c r="E16" s="53" t="str">
        <f t="shared" si="1"/>
        <v>☐ Avaliar com seus pares a vivência da Promessa e da Lei Escoteira e realizar o Compromisso Sênior.</v>
      </c>
      <c r="F16" s="41" t="str">
        <f t="shared" si="2"/>
        <v>2 ações</v>
      </c>
    </row>
    <row r="17" spans="2:6" ht="234.6" x14ac:dyDescent="0.3">
      <c r="B17" s="58" t="s">
        <v>49</v>
      </c>
      <c r="C17" s="42" t="s">
        <v>50</v>
      </c>
      <c r="D17" s="29" t="str">
        <f t="shared" si="0"/>
        <v>Reconhecer e valorizar suas habilidades físicas, se desafiar a superar limitações e cuidar da própria saúde com respeito ao seu corpo. Valorizar e respeitar a diversidade humana.</v>
      </c>
      <c r="E17" s="55" t="str">
        <f t="shared" si="1"/>
        <v>☐ Capacitar-se para atuar nas situações de primeiros socorros indicadas abaixo:
- Atendimento a pequenos cortes, contusões e escoriações;
- Avaliação dos limites de pressão arterial, pulso e temperatura corporal;
- Cuidados em casos de queimaduras, insolação, hipotermia e desidratação;
- Atendimento a picadas de animais peçonhentos;
- Reconhecimento e manejo de hemorragias externas e internas;
- Imobilização de fraturas, entorses, controle cervical e traumatismo craniano;
- Atendimento a crises convulsivas, estados de choque e casos de intoxicação ou envenenamento;
- Reconhecimento de sinais de infarto ou AVC e acionamento imediato do resgate;
- Atendimento a engasgos e a choque elétrico;
- Aplicação de técnicas de reanimação cardiopulmonar (RCP);
- Execução correta de bandagens, tipóias e técnicas de transporte de feridos;
- Uso adequado do kit de primeiros socorros em atividades ao ar livre;
- Acionamento correto dos serviços de emergência (SAMU, bombeiros e polícia).
☐ Nas atividades da patrulha ou tropa, identificar condutas que possam colocar em risco a saúde física e mental, compartilhando medidas com os companheiros para mitigar esses riscos.</v>
      </c>
      <c r="F17" s="30" t="str">
        <f t="shared" si="2"/>
        <v>3 ações ou 1 especialidade Saúde</v>
      </c>
    </row>
    <row r="18" spans="2:6" ht="41.4" x14ac:dyDescent="0.3">
      <c r="B18" s="59"/>
      <c r="C18" s="42" t="s">
        <v>53</v>
      </c>
      <c r="D18" s="29" t="str">
        <f t="shared" si="0"/>
        <v>Refletir sobre o sentido da vida, encontrando inspiração na natureza, na solidariedade e na diversidade espiritual da sua comunidade. Buscar viver de acordo com seus valores, alinhando suas crenças às suas ações diárias.</v>
      </c>
      <c r="E18" s="30" t="str">
        <f t="shared" si="1"/>
        <v>não há atividade fixas</v>
      </c>
      <c r="F18" s="30" t="str">
        <f t="shared" si="2"/>
        <v>3 ações ou Insigna Dialogos inter-religioso</v>
      </c>
    </row>
    <row r="19" spans="2:6" ht="55.2" x14ac:dyDescent="0.3">
      <c r="B19" s="59"/>
      <c r="C19" s="42" t="s">
        <v>56</v>
      </c>
      <c r="D19" s="29" t="str">
        <f t="shared" si="0"/>
        <v>Cuidar do próprio bem-estar adotando hábitos saudáveis, praticando atividades físicas, mantendo uma alimentação equilibrada e garantindo a higiene pessoal e a organização do ambiente onde vive.</v>
      </c>
      <c r="E19" s="55" t="str">
        <f t="shared" si="1"/>
        <v>☐ Planejar um cardápio de acampamento para a patrulha ou equipe de interesse, priorizando alimentação sustentável, com mínimo uso de produtos industrializados e redução de resíduos, e avaliar após a atividade se os objetivos foram atingidos.
☐ Praticar atividades físicas regularmente.</v>
      </c>
      <c r="F19" s="30" t="str">
        <f t="shared" si="2"/>
        <v>2 ações ou 1 especialidade (ver lista)</v>
      </c>
    </row>
    <row r="20" spans="2:6" ht="69" x14ac:dyDescent="0.3">
      <c r="B20" s="59"/>
      <c r="C20" s="42" t="s">
        <v>59</v>
      </c>
      <c r="D20" s="29" t="str">
        <f t="shared" si="0"/>
        <v>Cultivar hábitos que promovam a saúde mental, aprender a lidar com desafios e aplicar práticas que favoreçam um ambiente positivo e acolhedor para si e para aqueles ao seu redor.</v>
      </c>
      <c r="E20" s="55" t="str">
        <f t="shared" si="1"/>
        <v>☐ Buscar informações e conhecimentos sobre os Espaços Seguros no Movimento Escoteiro e promover seus conceitos em atividades.
☐ Reconhecer sinais de estresse, ansiedade ou tristeza em colegas e praticar técnicas básicas de primeiros socorros em saúde mental, como escuta ativa, apoio inicial e encaminhamento para ajuda adequada.</v>
      </c>
      <c r="F20" s="30" t="str">
        <f t="shared" si="2"/>
        <v>3 ações ou 1 especialidade (ver lista)</v>
      </c>
    </row>
    <row r="21" spans="2:6" ht="41.4" x14ac:dyDescent="0.3">
      <c r="B21" s="60"/>
      <c r="C21" s="42" t="s">
        <v>62</v>
      </c>
      <c r="D21" s="29" t="str">
        <f t="shared" si="0"/>
        <v>Construir relações saudáveis e empáticas, criando laços baseados no respeito, na compreensão mútua e no bem-estar coletivo.</v>
      </c>
      <c r="E21" s="55" t="str">
        <f t="shared" si="1"/>
        <v>☐ Identificar e discutir com sua patrulha ou equipe de interesse as manifestações de bullying e cyberbullying ao seu redor, elaborando e implementando estratégias para prevenir e combater essas situações.</v>
      </c>
      <c r="F21" s="30" t="str">
        <f t="shared" si="2"/>
        <v>3 ações ou 1 especialidade (ver lista)</v>
      </c>
    </row>
  </sheetData>
  <mergeCells count="6">
    <mergeCell ref="B17:B21"/>
    <mergeCell ref="B2:B3"/>
    <mergeCell ref="C2:C3"/>
    <mergeCell ref="B4:B7"/>
    <mergeCell ref="B8:B11"/>
    <mergeCell ref="B12:B16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9C1F-8ACD-4E0D-864F-A410FDA4396B}">
  <sheetPr>
    <pageSetUpPr fitToPage="1"/>
  </sheetPr>
  <dimension ref="A2:F21"/>
  <sheetViews>
    <sheetView showGridLines="0" zoomScale="80" zoomScaleNormal="80" workbookViewId="0">
      <pane xSplit="3" ySplit="3" topLeftCell="D8" activePane="bottomRight" state="frozen"/>
      <selection pane="topRight" activeCell="D1" sqref="D1"/>
      <selection pane="bottomLeft" activeCell="A2" sqref="A2"/>
      <selection pane="bottomRight" activeCell="D11" sqref="D11"/>
    </sheetView>
  </sheetViews>
  <sheetFormatPr defaultRowHeight="14.4" x14ac:dyDescent="0.3"/>
  <cols>
    <col min="1" max="1" width="1.44140625" customWidth="1"/>
    <col min="2" max="2" width="19.6640625" customWidth="1"/>
    <col min="3" max="3" width="27.21875" style="16" customWidth="1"/>
    <col min="4" max="4" width="69.33203125" customWidth="1"/>
    <col min="5" max="5" width="78.21875" customWidth="1"/>
    <col min="6" max="6" width="57.44140625" customWidth="1"/>
  </cols>
  <sheetData>
    <row r="2" spans="1:6" ht="26.4" customHeight="1" x14ac:dyDescent="0.5">
      <c r="B2" s="61" t="s">
        <v>1</v>
      </c>
      <c r="C2" s="63" t="s">
        <v>2</v>
      </c>
      <c r="D2" s="1" t="s">
        <v>0</v>
      </c>
      <c r="E2" s="1" t="s">
        <v>191</v>
      </c>
      <c r="F2" s="1" t="s">
        <v>192</v>
      </c>
    </row>
    <row r="3" spans="1:6" x14ac:dyDescent="0.3">
      <c r="A3" s="2"/>
      <c r="B3" s="62"/>
      <c r="C3" s="63"/>
      <c r="D3" s="7" t="s">
        <v>6</v>
      </c>
      <c r="E3" s="7" t="s">
        <v>6</v>
      </c>
      <c r="F3" s="7" t="s">
        <v>6</v>
      </c>
    </row>
    <row r="4" spans="1:6" ht="55.2" x14ac:dyDescent="0.3">
      <c r="B4" s="64" t="s">
        <v>7</v>
      </c>
      <c r="C4" s="38" t="s">
        <v>8</v>
      </c>
      <c r="D4" s="46" t="str">
        <f t="shared" ref="D4:D21" si="0">VLOOKUP(C4,objetivos.gerais,5,FALSE)</f>
        <v>Buscar constantemente novos conhecimentos e habilidades, analisando informações com senso crítico e aplicando-as de forma responsável. Explora suas opções vocacionais para escolher um caminho profissional que lhe proporcione realização e dignidade.</v>
      </c>
      <c r="E4" s="45" t="str">
        <f t="shared" ref="E4:E21" si="1">VLOOKUP(C4,atividade.fixa,5,FALSE)</f>
        <v>☐ Conquistar, no Ramo Pioneiro, uma especialidade sobre um tema de seu interesse e que seja um conhecimento novo.</v>
      </c>
      <c r="F4" s="47" t="str">
        <f t="shared" ref="F4:F21" si="2">VLOOKUP(C4,atividade.variavel,5,FALSE)</f>
        <v>? ações ou 1 Especialidade (Ver lista) ou Insigna do aprender</v>
      </c>
    </row>
    <row r="5" spans="1:6" ht="69" x14ac:dyDescent="0.3">
      <c r="B5" s="65"/>
      <c r="C5" s="38" t="s">
        <v>11</v>
      </c>
      <c r="D5" s="46" t="str">
        <f t="shared" si="0"/>
        <v>Assumir o compromisso de conquistar sua independência financeira de forma ética, valorizando seu próprio trabalho e o dos outros. Participar ativamente de projetos individuais e coletivos, tomar decisões com consciência e responsabilidade, avaliando os impactos de suas escolhas.</v>
      </c>
      <c r="E5" s="45" t="str">
        <f t="shared" si="1"/>
        <v>☐ Planejar e realizar uma viagem para um município próximo, de forma individual ou em equipe, desenvolvendo um roteiro detalhado que inclua o destino, distância, meios de transporte, custos estimados, hospedagem (se necessário), pontos de interesse, aspectos culturais e históricos da região, além do contato com um Grupo Escoteiro local, se houver. Durante a viagem, registrar as experiências e aprendizados adquiridos para compartilhar com a comunidade escoteira.</v>
      </c>
      <c r="F5" s="47" t="str">
        <f t="shared" si="2"/>
        <v>? ações ou 1 especialidade (Ver lista)</v>
      </c>
    </row>
    <row r="6" spans="1:6" ht="27.6" x14ac:dyDescent="0.3">
      <c r="B6" s="65"/>
      <c r="C6" s="38" t="s">
        <v>14</v>
      </c>
      <c r="D6" s="46" t="str">
        <f t="shared" si="0"/>
        <v>Utilizar a criatividade para se adaptar a diferentes situações do dia a dia, explorando novas soluções para desafios e inovando ao enfrentar mudanças.</v>
      </c>
      <c r="E6" s="45" t="str">
        <f t="shared" si="1"/>
        <v>☐ Planejar e executar atividades ao ar livre, prevendo possíveis imprevistos e adaptando criativamente as soluções quando necessário.</v>
      </c>
      <c r="F6" s="47" t="str">
        <f t="shared" si="2"/>
        <v>? ações ou 1 especialidade Comunicação ou Insigna Inovadores de Impacto</v>
      </c>
    </row>
    <row r="7" spans="1:6" ht="55.2" x14ac:dyDescent="0.3">
      <c r="B7" s="66"/>
      <c r="C7" s="38" t="s">
        <v>17</v>
      </c>
      <c r="D7" s="46" t="str">
        <f t="shared" si="0"/>
        <v>Fortalecer a resiliência, refletindo sobre seus pontos fortes e áreas de melhoria, sabendo lidar com suas emoções e construindo relações saudáveis. Incentivar a busca pela realização dos próprios sonhos por meio do estabelecimento e da execução de planos com equilíbrio, propósito e respeito consigo mesmo e com os outros.</v>
      </c>
      <c r="E7" s="45" t="str">
        <f t="shared" si="1"/>
        <v>☐ Estabelecer metas pessoais de curto e médio prazo e avaliá-las regularmente em seu Projeto de Vida, ajustando estratégias quando necessário.</v>
      </c>
      <c r="F7" s="47" t="str">
        <f t="shared" si="2"/>
        <v>? ações</v>
      </c>
    </row>
    <row r="8" spans="1:6" ht="41.4" x14ac:dyDescent="0.3">
      <c r="B8" s="67" t="s">
        <v>20</v>
      </c>
      <c r="C8" s="39" t="s">
        <v>21</v>
      </c>
      <c r="D8" s="31" t="str">
        <f t="shared" si="0"/>
        <v>Agir com responsabilidade ambiental, adotando a prática do consumo consciente e desenvolvendo iniciativas que contribuam para a construção de um futuro sustentável.</v>
      </c>
      <c r="E8" s="56" t="str">
        <f t="shared" si="1"/>
        <v>☐ Assumir o compromisso de consumo consciente, praticando durante as atividades cotidianas e nas atividades do clã escolhas sustentáveis que priorizem o essencial e minimizem resíduos. Em conjunto com o clã, avaliar os benefícios pessoais, coletivos e ambientais.</v>
      </c>
      <c r="F8" s="50" t="str">
        <f t="shared" si="2"/>
        <v>? ações ou especialidade Sustentável ou Insigna RRR</v>
      </c>
    </row>
    <row r="9" spans="1:6" ht="41.4" x14ac:dyDescent="0.3">
      <c r="B9" s="68"/>
      <c r="C9" s="39" t="s">
        <v>25</v>
      </c>
      <c r="D9" s="31" t="str">
        <f t="shared" si="0"/>
        <v>Compreender os impactos e as causas das mudanças climáticas, buscando soluções para minimizá-las. Liderar ações que promovam a conscientização e a adoção de práticas sustentáveis.</v>
      </c>
      <c r="E9" s="50" t="str">
        <f t="shared" si="1"/>
        <v>não há atividade fixas</v>
      </c>
      <c r="F9" s="50" t="str">
        <f t="shared" si="2"/>
        <v>? ações ou especialidade Sustentabilidade ou Insigna Energia solar</v>
      </c>
    </row>
    <row r="10" spans="1:6" ht="27.6" x14ac:dyDescent="0.3">
      <c r="B10" s="68"/>
      <c r="C10" s="39" t="s">
        <v>28</v>
      </c>
      <c r="D10" s="31" t="str">
        <f t="shared" si="0"/>
        <v>Atuar na preservação da biodiversidade, entendendo as causas e os impactos das ações humanas na sua perda. Implementar estratégias para proteger a vida no planeta.</v>
      </c>
      <c r="E10" s="50" t="str">
        <f t="shared" si="1"/>
        <v>não há atividade fixas</v>
      </c>
      <c r="F10" s="50" t="str">
        <f t="shared" si="2"/>
        <v>? ações ou 1 especialidade (ver lista) ou Insigna Campeões da natureza</v>
      </c>
    </row>
    <row r="11" spans="1:6" ht="165.6" customHeight="1" x14ac:dyDescent="0.3">
      <c r="B11" s="69"/>
      <c r="C11" s="39" t="s">
        <v>31</v>
      </c>
      <c r="D11" s="54" t="str">
        <f t="shared" si="0"/>
        <v>Usufruir do contato com a natureza e das atividades ao ar livre, adotando práticas conscientes que minimizem seu impacto ao meio ambiente e contribuam para a preservação do equilíbrio ecológico.</v>
      </c>
      <c r="E11" s="56" t="str">
        <f t="shared" si="1"/>
        <v>☐ Planejar e executar uma das seguintes opções:
- Acampamento;
- Atividade aventureira;
- Expedição;
- Travessia.
☐ A atividade deve considerar os seguintes aspectos:
- Segurança e análise de riscos;
- Campismo de baixo impacto;
- Intenso contato com a natureza;
- Duração mínima de quatro dias.</v>
      </c>
      <c r="F11" s="50" t="str">
        <f t="shared" si="2"/>
        <v>? ações ou 1 especialidade (ver lista)</v>
      </c>
    </row>
    <row r="12" spans="1:6" ht="55.2" x14ac:dyDescent="0.3">
      <c r="B12" s="70" t="s">
        <v>34</v>
      </c>
      <c r="C12" s="40" t="s">
        <v>35</v>
      </c>
      <c r="D12" s="48" t="str">
        <f t="shared" si="0"/>
        <v>Atuar na preservação da biodiversidade, entendendo as causas e os impactos das ações humanas na sua perda. Implementar estratégias para proteger a vida no planeta.</v>
      </c>
      <c r="E12" s="52" t="str">
        <f t="shared" si="1"/>
        <v>☐ Participar, sozinho ou em equipe, de pelo menos 15 horas de serviço comunitário com outras instituições.
☐ Capacitar-se em curso promovido por entidades de referência (como a Defesa Civil, Cruz Vermelha, Corpo de Bombeiros...), preparando-se para atuar em crises humanitárias.</v>
      </c>
      <c r="F12" s="51" t="str">
        <f t="shared" si="2"/>
        <v>? ações  ou 1 especialidade (ver lista) ou  1 Insigna (ver  lista)</v>
      </c>
    </row>
    <row r="13" spans="1:6" ht="41.4" x14ac:dyDescent="0.3">
      <c r="B13" s="71"/>
      <c r="C13" s="40" t="s">
        <v>37</v>
      </c>
      <c r="D13" s="48" t="str">
        <f t="shared" si="0"/>
        <v>Participar ativamente de processos democráticos, colaborando na tomada de decisões coletivas e contribuindo para que todos tenham voz, espaço para se expressar e igualdade de oportunidades para participar plenamente.</v>
      </c>
      <c r="E13" s="52" t="str">
        <f t="shared" si="1"/>
        <v>☐ Conhecer a Carta Pioneira e participar ativamente da vida democrática do clã.</v>
      </c>
      <c r="F13" s="51" t="str">
        <f t="shared" si="2"/>
        <v>? ações ou 1 especialidade (Ver lista)</v>
      </c>
    </row>
    <row r="14" spans="1:6" ht="41.4" x14ac:dyDescent="0.3">
      <c r="B14" s="71"/>
      <c r="C14" s="40" t="s">
        <v>40</v>
      </c>
      <c r="D14" s="48" t="str">
        <f t="shared" si="0"/>
        <v>Valorizar e compartilhar a herança cultural de sua comunidade e do seu país. Reconhecer e respeitar os saberes e tradições dos povos originários, promovendo sua importância na sociedade atual.</v>
      </c>
      <c r="E14" s="51" t="str">
        <f t="shared" si="1"/>
        <v>não há atividade fixas</v>
      </c>
      <c r="F14" s="51" t="str">
        <f t="shared" si="2"/>
        <v>? ações ou 1 especialidade (Ver lista)</v>
      </c>
    </row>
    <row r="15" spans="1:6" ht="41.4" x14ac:dyDescent="0.3">
      <c r="B15" s="71"/>
      <c r="C15" s="40" t="s">
        <v>43</v>
      </c>
      <c r="D15" s="48" t="str">
        <f t="shared" si="0"/>
        <v>Promover ações inclusivas, respeitando as diferenças e incentivando o diálogo empático entre as pessoas, independentemente de crença, etnia ou cultura, de modo a construir um ambiente de compreensão e respeito mútuo.</v>
      </c>
      <c r="E15" s="52" t="str">
        <f t="shared" si="1"/>
        <v>☐ Realizar um serviço voluntário de pelo menos trinta horas, contribuindo para resolver um problema relacionado à atual agenda global de desenvolvimento.</v>
      </c>
      <c r="F15" s="51" t="str">
        <f t="shared" si="2"/>
        <v>? ações ou 1 especialidade (Ver lista) ou 1 Insigna (ver lista)</v>
      </c>
    </row>
    <row r="16" spans="1:6" ht="55.2" x14ac:dyDescent="0.3">
      <c r="B16" s="72"/>
      <c r="C16" s="40" t="s">
        <v>46</v>
      </c>
      <c r="D16" s="48" t="str">
        <f t="shared" si="0"/>
        <v>Alinhas suas ações aos seus valores pessoais e aos princípios do Movimento Escoteiro, vivenciando a Promessa e a Lei Escoteira de forma autêntica, incorporando-os em cada escolha do dia a dia, sendo um exemplo de compromisso com a construção de um mundo melhor.</v>
      </c>
      <c r="E16" s="52" t="str">
        <f t="shared" si="1"/>
        <v>☐ Avaliar sua vivência sobre a Promessa e a Lei Escoteira e realizar a Investidura Pioneira.</v>
      </c>
      <c r="F16" s="51" t="str">
        <f t="shared" si="2"/>
        <v>? ações</v>
      </c>
    </row>
    <row r="17" spans="2:6" ht="55.2" x14ac:dyDescent="0.3">
      <c r="B17" s="58" t="s">
        <v>49</v>
      </c>
      <c r="C17" s="42" t="s">
        <v>50</v>
      </c>
      <c r="D17" s="32" t="str">
        <f t="shared" si="0"/>
        <v>Responsabilizar-se pelo cuidado com seu corpo, reconhecendo suas capacidades, enfrentando desafios e respeitando seus limites. Expressar sua sexualidade com autorrespeito e respeito ao próximo, valorizando a diversidade e a individualidade.</v>
      </c>
      <c r="E17" s="57" t="str">
        <f t="shared" si="1"/>
        <v>☐ Participar de uma capacitação em primeiros socorros, aplicando os aprendizados em simulações práticas.
☐ Participar de uma capacitação em respostas a desastres, aplicando os aprendizados em simulações práticas.</v>
      </c>
      <c r="F17" s="49" t="str">
        <f t="shared" si="2"/>
        <v>? ações ou 1 especialidade Saúde</v>
      </c>
    </row>
    <row r="18" spans="2:6" ht="41.4" x14ac:dyDescent="0.3">
      <c r="B18" s="59"/>
      <c r="C18" s="42" t="s">
        <v>53</v>
      </c>
      <c r="D18" s="32" t="str">
        <f t="shared" si="0"/>
        <v>Buscar compreender e vivenciar sua espiritualidade, encontrando sentido para sua vida por meio de suas crenças e valores. Procurar agir com coerência, incorporando seus valores de forma contínua nas escolhas do cotidiano e na sua atuação na comunidade.</v>
      </c>
      <c r="E18" s="49" t="str">
        <f t="shared" si="1"/>
        <v>☐ Integrar ao Projeto de Vida compromissos espirituais e éticos, avaliando periodicamente sua coerência com atitudes cotidianas.</v>
      </c>
      <c r="F18" s="49" t="str">
        <f t="shared" si="2"/>
        <v>? ações ou Insigna Dialogos inter-religioso</v>
      </c>
    </row>
    <row r="19" spans="2:6" ht="69" x14ac:dyDescent="0.3">
      <c r="B19" s="59"/>
      <c r="C19" s="42" t="s">
        <v>56</v>
      </c>
      <c r="D19" s="32" t="str">
        <f t="shared" si="0"/>
        <v>Cuidar do próprio bem-estar, adotando uma rotina de autocuidado que inclua a prática regular de atividades físicas, uma alimentação equilibrada e a manutenção da higiene pessoal e do ambiente ao seu redor.</v>
      </c>
      <c r="E19" s="57" t="str">
        <f t="shared" si="1"/>
        <v>☐ Implementar, em sua comunidade, iniciativas que abordem um dos seguintes temas:
- Alimentação saudável;
- Atividades físicas;
- Higiene.</v>
      </c>
      <c r="F19" s="49" t="str">
        <f t="shared" si="2"/>
        <v>? ações ou 1 especialidade (ver lista)</v>
      </c>
    </row>
    <row r="20" spans="2:6" ht="41.4" x14ac:dyDescent="0.3">
      <c r="B20" s="59"/>
      <c r="C20" s="42" t="s">
        <v>59</v>
      </c>
      <c r="D20" s="32" t="str">
        <f t="shared" si="0"/>
        <v>Manter hábitos que promovam o equilíbrio da saúde mental, adotando estratégias que favoreçam o bem-estar próprio e coletivo, contribuindo para a construção de ambientes mais saudáveis, empáticos e acolhedores.</v>
      </c>
      <c r="E20" s="57" t="str">
        <f t="shared" si="1"/>
        <v>☐ Participar de capacitação em primeiros socorros em saúde mental, praticando técnicas de escuta qualificada, apoio inicial e encaminhamento responsável em situações de crise.</v>
      </c>
      <c r="F20" s="49" t="str">
        <f t="shared" si="2"/>
        <v>? ações ou 1 especialidade (ver lista)</v>
      </c>
    </row>
    <row r="21" spans="2:6" ht="55.2" x14ac:dyDescent="0.3">
      <c r="B21" s="60"/>
      <c r="C21" s="42" t="s">
        <v>62</v>
      </c>
      <c r="D21" s="32" t="str">
        <f t="shared" si="0"/>
        <v>Construir vínculos saudáveis e relações interpessoais baseadas na empatia, no respeito e no crescimento mútuo, promovendo um ambiente positivo e acolhedor para todos.</v>
      </c>
      <c r="E21" s="57" t="str">
        <f t="shared" si="1"/>
        <v>☐ Participar de momentos regulares de celebração e confraternização no clã (Fogos de Conselho, encontros culturais, atividades de partilha), fortalecendo os vínculos afetivos.
☐ Praticar escuta ativa e feedback construtivo nas atividades do clã, fortalecendo a cooperação e o respeito mútuo.</v>
      </c>
      <c r="F21" s="49" t="str">
        <f t="shared" si="2"/>
        <v>? ações ou 1 especialidade (ver lista)</v>
      </c>
    </row>
  </sheetData>
  <mergeCells count="6">
    <mergeCell ref="B17:B21"/>
    <mergeCell ref="B2:B3"/>
    <mergeCell ref="C2:C3"/>
    <mergeCell ref="B4:B7"/>
    <mergeCell ref="B8:B11"/>
    <mergeCell ref="B12:B16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Geral</vt:lpstr>
      <vt:lpstr>Lobinho</vt:lpstr>
      <vt:lpstr>Escoteiro</vt:lpstr>
      <vt:lpstr>Sênior</vt:lpstr>
      <vt:lpstr>Pioneiro</vt:lpstr>
      <vt:lpstr>Geral!Area_de_impressao</vt:lpstr>
      <vt:lpstr>atividade.fixa</vt:lpstr>
      <vt:lpstr>atividade.variavel</vt:lpstr>
      <vt:lpstr>objetivos.gerais</vt:lpstr>
    </vt:vector>
  </TitlesOfParts>
  <Company>Grupo Escoteiro do Mar Nova Ericeira 063/SC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Novo programa educativo</dc:title>
  <dc:creator>Glauber Arruda Sant Ana</dc:creator>
  <cp:lastModifiedBy>Glauber Arruda Sant Ana</cp:lastModifiedBy>
  <cp:lastPrinted>2026-04-02T16:07:09Z</cp:lastPrinted>
  <dcterms:created xsi:type="dcterms:W3CDTF">2026-02-27T19:07:10Z</dcterms:created>
  <dcterms:modified xsi:type="dcterms:W3CDTF">2026-05-05T21:51:05Z</dcterms:modified>
</cp:coreProperties>
</file>