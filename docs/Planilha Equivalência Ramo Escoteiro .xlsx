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d70d1a1e11e1655f/Ambiente de Trabalho/Pasta de Backup Sync/Escoteiro para organizar/Conversão progressão novo programa/"/>
    </mc:Choice>
  </mc:AlternateContent>
  <xr:revisionPtr revIDLastSave="0" documentId="8_{77130E2F-67D9-784A-AD7E-D07DA9FFD600}" xr6:coauthVersionLast="47" xr6:coauthVersionMax="47" xr10:uidLastSave="{00000000-0000-0000-0000-000000000000}"/>
  <bookViews>
    <workbookView xWindow="-120" yWindow="-120" windowWidth="20730" windowHeight="11040" tabRatio="937" activeTab="1" xr2:uid="{8B581935-96B4-437A-94A4-E80D0829EBDF}"/>
  </bookViews>
  <sheets>
    <sheet name="Início" sheetId="7" r:id="rId1"/>
    <sheet name="Dados do Jovem" sheetId="9" r:id="rId2"/>
    <sheet name="Pistas e Trilha" sheetId="5" r:id="rId3"/>
    <sheet name="Rumo e Travessia" sheetId="8" r:id="rId4"/>
    <sheet name="Especialidades ou Insígnias" sheetId="6" r:id="rId5"/>
    <sheet name="Habilidades para a Vida" sheetId="1" r:id="rId6"/>
    <sheet name="Meio Ambiente" sheetId="2" r:id="rId7"/>
    <sheet name="Paz e Desenvolvimento" sheetId="3" r:id="rId8"/>
    <sheet name="Saúde e Bem Estar" sheetId="4" r:id="rId9"/>
  </sheets>
  <definedNames>
    <definedName name="_xlnm._FilterDatabase" localSheetId="4" hidden="1">'Especialidades ou Insígnias'!$A$6:$G$6</definedName>
    <definedName name="_xlnm.Print_Area" localSheetId="0">Início!$A$1:$A$22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3" i="6" l="1"/>
  <c r="G92" i="1"/>
  <c r="J92" i="1"/>
  <c r="C4" i="5"/>
  <c r="A8" i="5"/>
  <c r="A9" i="5"/>
  <c r="A10" i="5"/>
  <c r="A190" i="5"/>
  <c r="A189" i="5"/>
  <c r="A186" i="5"/>
  <c r="A185" i="5"/>
  <c r="A184" i="5"/>
  <c r="A183" i="5"/>
  <c r="A180" i="5"/>
  <c r="A179" i="5"/>
  <c r="A178" i="5"/>
  <c r="A175" i="5"/>
  <c r="A174" i="5"/>
  <c r="A173" i="5"/>
  <c r="A169" i="5"/>
  <c r="G82" i="2"/>
  <c r="A168" i="5"/>
  <c r="A167" i="5"/>
  <c r="A164" i="5"/>
  <c r="A163" i="5"/>
  <c r="A160" i="5"/>
  <c r="A159" i="5"/>
  <c r="A158" i="5"/>
  <c r="A157" i="5"/>
  <c r="A154" i="5"/>
  <c r="A153" i="5"/>
  <c r="A152" i="5"/>
  <c r="I76" i="3"/>
  <c r="A151" i="5"/>
  <c r="G76" i="3"/>
  <c r="A148" i="5"/>
  <c r="A147" i="5"/>
  <c r="A144" i="5"/>
  <c r="A143" i="5"/>
  <c r="A140" i="5"/>
  <c r="A139" i="5"/>
  <c r="A138" i="5"/>
  <c r="A135" i="5"/>
  <c r="G98" i="1"/>
  <c r="A134" i="5"/>
  <c r="G97" i="1"/>
  <c r="A133" i="5"/>
  <c r="G91" i="1"/>
  <c r="A132" i="5"/>
  <c r="A129" i="5"/>
  <c r="A128" i="5"/>
  <c r="A124" i="5"/>
  <c r="G23" i="1"/>
  <c r="A123" i="5"/>
  <c r="A122" i="5"/>
  <c r="A119" i="5"/>
  <c r="A118" i="5"/>
  <c r="A117" i="5"/>
  <c r="G181" i="4"/>
  <c r="A114" i="5"/>
  <c r="A113" i="5"/>
  <c r="A110" i="5"/>
  <c r="A109" i="5"/>
  <c r="A108" i="5"/>
  <c r="A107" i="5"/>
  <c r="A104" i="5"/>
  <c r="A103" i="5"/>
  <c r="A102" i="5"/>
  <c r="A101" i="5"/>
  <c r="A97" i="5"/>
  <c r="A96" i="5"/>
  <c r="A95" i="5"/>
  <c r="A92" i="5"/>
  <c r="A91" i="5"/>
  <c r="A88" i="5"/>
  <c r="A87" i="5"/>
  <c r="A84" i="5"/>
  <c r="A83" i="5"/>
  <c r="A80" i="5"/>
  <c r="A79" i="5"/>
  <c r="A78" i="5"/>
  <c r="A74" i="5"/>
  <c r="A73" i="5"/>
  <c r="A72" i="5"/>
  <c r="A69" i="5"/>
  <c r="A68" i="5"/>
  <c r="A67" i="5"/>
  <c r="A64" i="5"/>
  <c r="A63" i="5"/>
  <c r="A62" i="5"/>
  <c r="A59" i="5"/>
  <c r="G24" i="1"/>
  <c r="A58" i="5"/>
  <c r="A55" i="5"/>
  <c r="A54" i="5"/>
  <c r="A53" i="5"/>
  <c r="A52" i="5"/>
  <c r="A49" i="5"/>
  <c r="A48" i="5"/>
  <c r="A47" i="5"/>
  <c r="A46" i="5"/>
  <c r="A43" i="5"/>
  <c r="A42" i="5"/>
  <c r="A41" i="5"/>
  <c r="A37" i="5"/>
  <c r="A36" i="5"/>
  <c r="A33" i="5"/>
  <c r="A32" i="5"/>
  <c r="A31" i="5"/>
  <c r="A28" i="5"/>
  <c r="A27" i="5"/>
  <c r="A26" i="5"/>
  <c r="A25" i="5"/>
  <c r="A22" i="5"/>
  <c r="A21" i="5"/>
  <c r="A20" i="5"/>
  <c r="A19" i="5"/>
  <c r="A16" i="5"/>
  <c r="A15" i="5"/>
  <c r="A14" i="5"/>
  <c r="A13" i="5"/>
  <c r="J139" i="3"/>
  <c r="J138" i="3"/>
  <c r="J26" i="3"/>
  <c r="H104" i="2"/>
  <c r="H64" i="2"/>
  <c r="H38" i="2"/>
  <c r="J70" i="1"/>
  <c r="J69" i="1"/>
  <c r="J68" i="1"/>
  <c r="H198" i="6"/>
  <c r="H199" i="6"/>
  <c r="H200" i="6"/>
  <c r="H201" i="6"/>
  <c r="H202" i="6"/>
  <c r="H203" i="6"/>
  <c r="H204" i="6"/>
  <c r="H205" i="6"/>
  <c r="H206" i="6"/>
  <c r="H207" i="6"/>
  <c r="H208" i="6"/>
  <c r="H209" i="6"/>
  <c r="H210" i="6"/>
  <c r="H211" i="6"/>
  <c r="H212" i="6"/>
  <c r="H213" i="6"/>
  <c r="H214" i="6"/>
  <c r="H215" i="6"/>
  <c r="H216" i="6"/>
  <c r="H217" i="6"/>
  <c r="H218" i="6"/>
  <c r="H219" i="6"/>
  <c r="H220" i="6"/>
  <c r="H221" i="6"/>
  <c r="H222" i="6"/>
  <c r="H223" i="6"/>
  <c r="H224" i="6"/>
  <c r="H225" i="6"/>
  <c r="H226" i="6"/>
  <c r="H227" i="6"/>
  <c r="H228" i="6"/>
  <c r="H229" i="6"/>
  <c r="H230" i="6"/>
  <c r="H231" i="6"/>
  <c r="H232" i="6"/>
  <c r="H233" i="6"/>
  <c r="H234" i="6"/>
  <c r="H235" i="6"/>
  <c r="H236" i="6"/>
  <c r="H237" i="6"/>
  <c r="H238" i="6"/>
  <c r="H239" i="6"/>
  <c r="H240" i="6"/>
  <c r="H241" i="6"/>
  <c r="H242" i="6"/>
  <c r="H243" i="6"/>
  <c r="H244" i="6"/>
  <c r="H245" i="6"/>
  <c r="H246" i="6"/>
  <c r="H247" i="6"/>
  <c r="H248" i="6"/>
  <c r="H249" i="6"/>
  <c r="H250" i="6"/>
  <c r="H251" i="6"/>
  <c r="H252" i="6"/>
  <c r="H253" i="6"/>
  <c r="H254" i="6"/>
  <c r="H255" i="6"/>
  <c r="H256" i="6"/>
  <c r="H257" i="6"/>
  <c r="H258" i="6"/>
  <c r="H259" i="6"/>
  <c r="H260" i="6"/>
  <c r="H261" i="6"/>
  <c r="H262" i="6"/>
  <c r="H263" i="6"/>
  <c r="H264" i="6"/>
  <c r="H265" i="6"/>
  <c r="H266" i="6"/>
  <c r="H267" i="6"/>
  <c r="H268" i="6"/>
  <c r="H269" i="6"/>
  <c r="H270" i="6"/>
  <c r="H271" i="6"/>
  <c r="H272" i="6"/>
  <c r="H273" i="6"/>
  <c r="H274" i="6"/>
  <c r="H275" i="6"/>
  <c r="H276" i="6"/>
  <c r="H277" i="6"/>
  <c r="H278" i="6"/>
  <c r="H279" i="6"/>
  <c r="H280" i="6"/>
  <c r="H281" i="6"/>
  <c r="H282" i="6"/>
  <c r="H283" i="6"/>
  <c r="H284" i="6"/>
  <c r="H285" i="6"/>
  <c r="H286" i="6"/>
  <c r="H287" i="6"/>
  <c r="H288" i="6"/>
  <c r="H289" i="6"/>
  <c r="H290" i="6"/>
  <c r="H291" i="6"/>
  <c r="H292" i="6"/>
  <c r="H293" i="6"/>
  <c r="H294" i="6"/>
  <c r="H295" i="6"/>
  <c r="H296" i="6"/>
  <c r="H297" i="6"/>
  <c r="H298" i="6"/>
  <c r="H299" i="6"/>
  <c r="H300" i="6"/>
  <c r="H301" i="6"/>
  <c r="H302" i="6"/>
  <c r="H303" i="6"/>
  <c r="H304" i="6"/>
  <c r="H305" i="6"/>
  <c r="H306" i="6"/>
  <c r="H307" i="6"/>
  <c r="H308" i="6"/>
  <c r="H309" i="6"/>
  <c r="H310" i="6"/>
  <c r="H311" i="6"/>
  <c r="H312" i="6"/>
  <c r="H197" i="6"/>
  <c r="H196" i="6"/>
  <c r="H166" i="6"/>
  <c r="H167" i="6"/>
  <c r="H168" i="6"/>
  <c r="H169" i="6"/>
  <c r="H170" i="6"/>
  <c r="H171" i="6"/>
  <c r="H172" i="6"/>
  <c r="H173" i="6"/>
  <c r="H174" i="6"/>
  <c r="H175" i="6"/>
  <c r="H176" i="6"/>
  <c r="H177" i="6"/>
  <c r="H178" i="6"/>
  <c r="H179" i="6"/>
  <c r="H180" i="6"/>
  <c r="H181" i="6"/>
  <c r="H182" i="6"/>
  <c r="H183" i="6"/>
  <c r="H184" i="6"/>
  <c r="H185" i="6"/>
  <c r="H186" i="6"/>
  <c r="H187" i="6"/>
  <c r="H188" i="6"/>
  <c r="H189" i="6"/>
  <c r="H190" i="6"/>
  <c r="H191" i="6"/>
  <c r="H192" i="6"/>
  <c r="H193" i="6"/>
  <c r="H194" i="6"/>
  <c r="H165" i="6"/>
  <c r="H164" i="6"/>
  <c r="H118" i="6"/>
  <c r="H119" i="6"/>
  <c r="H120" i="6"/>
  <c r="H121" i="6"/>
  <c r="H122" i="6"/>
  <c r="H123" i="6"/>
  <c r="H124" i="6"/>
  <c r="H125" i="6"/>
  <c r="H126" i="6"/>
  <c r="H127" i="6"/>
  <c r="H128" i="6"/>
  <c r="H129" i="6"/>
  <c r="H130" i="6"/>
  <c r="H131" i="6"/>
  <c r="H132" i="6"/>
  <c r="H133" i="6"/>
  <c r="H134" i="6"/>
  <c r="H135" i="6"/>
  <c r="H136" i="6"/>
  <c r="H137" i="6"/>
  <c r="H138" i="6"/>
  <c r="H139" i="6"/>
  <c r="H140" i="6"/>
  <c r="H141" i="6"/>
  <c r="H142" i="6"/>
  <c r="H143" i="6"/>
  <c r="H144" i="6"/>
  <c r="H145" i="6"/>
  <c r="H146" i="6"/>
  <c r="H147" i="6"/>
  <c r="H148" i="6"/>
  <c r="H149" i="6"/>
  <c r="H150" i="6"/>
  <c r="H151" i="6"/>
  <c r="H152" i="6"/>
  <c r="H153" i="6"/>
  <c r="H154" i="6"/>
  <c r="H117" i="6"/>
  <c r="H116" i="6"/>
  <c r="H9" i="6"/>
  <c r="H10" i="6"/>
  <c r="H11" i="6"/>
  <c r="H12" i="6"/>
  <c r="H13" i="6"/>
  <c r="H14" i="6"/>
  <c r="H15" i="6"/>
  <c r="H16" i="6"/>
  <c r="H17" i="6"/>
  <c r="H18" i="6"/>
  <c r="H19" i="6"/>
  <c r="H20" i="6"/>
  <c r="H21" i="6"/>
  <c r="H22" i="6"/>
  <c r="H23" i="6"/>
  <c r="H24" i="6"/>
  <c r="H25" i="6"/>
  <c r="H26" i="6"/>
  <c r="H27" i="6"/>
  <c r="H28" i="6"/>
  <c r="H29" i="6"/>
  <c r="H30" i="6"/>
  <c r="H31" i="6"/>
  <c r="H32" i="6"/>
  <c r="H33" i="6"/>
  <c r="H34" i="6"/>
  <c r="H35" i="6"/>
  <c r="H36" i="6"/>
  <c r="H37" i="6"/>
  <c r="H38" i="6"/>
  <c r="H39" i="6"/>
  <c r="H40" i="6"/>
  <c r="H41" i="6"/>
  <c r="H42" i="6"/>
  <c r="H43" i="6"/>
  <c r="H44" i="6"/>
  <c r="H45" i="6"/>
  <c r="H46" i="6"/>
  <c r="H47" i="6"/>
  <c r="H48" i="6"/>
  <c r="H49" i="6"/>
  <c r="H50" i="6"/>
  <c r="H51" i="6"/>
  <c r="H52" i="6"/>
  <c r="H53" i="6"/>
  <c r="H54" i="6"/>
  <c r="H55" i="6"/>
  <c r="H56" i="6"/>
  <c r="H57" i="6"/>
  <c r="H58" i="6"/>
  <c r="H59" i="6"/>
  <c r="H60" i="6"/>
  <c r="H61" i="6"/>
  <c r="H62" i="6"/>
  <c r="H63" i="6"/>
  <c r="H64" i="6"/>
  <c r="H65" i="6"/>
  <c r="H66" i="6"/>
  <c r="H67" i="6"/>
  <c r="H68" i="6"/>
  <c r="H69" i="6"/>
  <c r="H70" i="6"/>
  <c r="H71" i="6"/>
  <c r="H72" i="6"/>
  <c r="H73" i="6"/>
  <c r="H74" i="6"/>
  <c r="H75" i="6"/>
  <c r="H76" i="6"/>
  <c r="H77" i="6"/>
  <c r="H78" i="6"/>
  <c r="H79" i="6"/>
  <c r="H80" i="6"/>
  <c r="H81" i="6"/>
  <c r="H82" i="6"/>
  <c r="H83" i="6"/>
  <c r="H84" i="6"/>
  <c r="H85" i="6"/>
  <c r="H86" i="6"/>
  <c r="H87" i="6"/>
  <c r="H88" i="6"/>
  <c r="H89" i="6"/>
  <c r="H90" i="6"/>
  <c r="H91" i="6"/>
  <c r="H92" i="6"/>
  <c r="H94" i="6"/>
  <c r="H95" i="6"/>
  <c r="H96" i="6"/>
  <c r="H97" i="6"/>
  <c r="H98" i="6"/>
  <c r="H99" i="6"/>
  <c r="H100" i="6"/>
  <c r="H101" i="6"/>
  <c r="H102" i="6"/>
  <c r="H103" i="6"/>
  <c r="H104" i="6"/>
  <c r="H105" i="6"/>
  <c r="H106" i="6"/>
  <c r="H107" i="6"/>
  <c r="H108" i="6"/>
  <c r="H109" i="6"/>
  <c r="H110" i="6"/>
  <c r="H111" i="6"/>
  <c r="H112" i="6"/>
  <c r="H113" i="6"/>
  <c r="H114" i="6"/>
  <c r="H8" i="6"/>
  <c r="H7" i="6"/>
  <c r="I22" i="4"/>
  <c r="I87" i="2"/>
  <c r="I82" i="2"/>
  <c r="I55" i="2"/>
  <c r="I97" i="1"/>
  <c r="J98" i="4"/>
  <c r="J97" i="1"/>
  <c r="J99" i="1"/>
  <c r="B97" i="1"/>
  <c r="F155" i="6"/>
  <c r="H313" i="6"/>
  <c r="G7" i="6"/>
  <c r="F195" i="6"/>
  <c r="F115" i="6"/>
  <c r="F157" i="6"/>
  <c r="F158" i="6"/>
  <c r="F159" i="6"/>
  <c r="F160" i="6"/>
  <c r="F161" i="6"/>
  <c r="F162" i="6"/>
  <c r="F163" i="6"/>
  <c r="F156" i="6"/>
  <c r="F53" i="6"/>
  <c r="G53"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58" i="6"/>
  <c r="G259" i="6"/>
  <c r="G260" i="6"/>
  <c r="G261" i="6"/>
  <c r="G262" i="6"/>
  <c r="G263" i="6"/>
  <c r="G264" i="6"/>
  <c r="G265" i="6"/>
  <c r="G266" i="6"/>
  <c r="G267" i="6"/>
  <c r="G268" i="6"/>
  <c r="G269" i="6"/>
  <c r="G270" i="6"/>
  <c r="G271" i="6"/>
  <c r="G272" i="6"/>
  <c r="G273" i="6"/>
  <c r="G274" i="6"/>
  <c r="G275" i="6"/>
  <c r="G276" i="6"/>
  <c r="G277" i="6"/>
  <c r="G278" i="6"/>
  <c r="G279" i="6"/>
  <c r="G280" i="6"/>
  <c r="G281" i="6"/>
  <c r="G282" i="6"/>
  <c r="G283" i="6"/>
  <c r="G284" i="6"/>
  <c r="G285" i="6"/>
  <c r="G286" i="6"/>
  <c r="G287" i="6"/>
  <c r="G288" i="6"/>
  <c r="G289" i="6"/>
  <c r="G290" i="6"/>
  <c r="G291" i="6"/>
  <c r="G292" i="6"/>
  <c r="G293" i="6"/>
  <c r="G294" i="6"/>
  <c r="G295" i="6"/>
  <c r="G296" i="6"/>
  <c r="G297" i="6"/>
  <c r="G298" i="6"/>
  <c r="G299" i="6"/>
  <c r="G300" i="6"/>
  <c r="G301" i="6"/>
  <c r="G302" i="6"/>
  <c r="G303" i="6"/>
  <c r="G304" i="6"/>
  <c r="G305" i="6"/>
  <c r="G306" i="6"/>
  <c r="G307" i="6"/>
  <c r="G308" i="6"/>
  <c r="G309" i="6"/>
  <c r="G310" i="6"/>
  <c r="G311" i="6"/>
  <c r="G312" i="6"/>
  <c r="G197" i="6"/>
  <c r="G196"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65" i="6"/>
  <c r="G164"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17" i="6"/>
  <c r="G116"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55" i="6"/>
  <c r="G54"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8" i="6"/>
  <c r="F224" i="6"/>
  <c r="F225" i="6"/>
  <c r="F226" i="6"/>
  <c r="F227" i="6"/>
  <c r="F228" i="6"/>
  <c r="F229" i="6"/>
  <c r="F230" i="6"/>
  <c r="F231" i="6"/>
  <c r="F232" i="6"/>
  <c r="F233" i="6"/>
  <c r="F234" i="6"/>
  <c r="F235" i="6"/>
  <c r="F236" i="6"/>
  <c r="F237" i="6"/>
  <c r="F238" i="6"/>
  <c r="F239" i="6"/>
  <c r="F240" i="6"/>
  <c r="F241" i="6"/>
  <c r="F242" i="6"/>
  <c r="F243" i="6"/>
  <c r="F244" i="6"/>
  <c r="F245" i="6"/>
  <c r="F246" i="6"/>
  <c r="F247" i="6"/>
  <c r="F248" i="6"/>
  <c r="F249" i="6"/>
  <c r="F250" i="6"/>
  <c r="F251" i="6"/>
  <c r="F252" i="6"/>
  <c r="F253" i="6"/>
  <c r="F254" i="6"/>
  <c r="F255" i="6"/>
  <c r="F256" i="6"/>
  <c r="F257" i="6"/>
  <c r="F258" i="6"/>
  <c r="F259" i="6"/>
  <c r="F260" i="6"/>
  <c r="F261" i="6"/>
  <c r="F262" i="6"/>
  <c r="F263" i="6"/>
  <c r="F264" i="6"/>
  <c r="F265" i="6"/>
  <c r="F266" i="6"/>
  <c r="F267" i="6"/>
  <c r="F268" i="6"/>
  <c r="F269" i="6"/>
  <c r="F270" i="6"/>
  <c r="F271" i="6"/>
  <c r="F272" i="6"/>
  <c r="F273" i="6"/>
  <c r="F274" i="6"/>
  <c r="F275" i="6"/>
  <c r="F276" i="6"/>
  <c r="F277" i="6"/>
  <c r="F278" i="6"/>
  <c r="F279" i="6"/>
  <c r="F280" i="6"/>
  <c r="F281" i="6"/>
  <c r="F282" i="6"/>
  <c r="F283" i="6"/>
  <c r="F284" i="6"/>
  <c r="F285" i="6"/>
  <c r="F286" i="6"/>
  <c r="F287" i="6"/>
  <c r="F288" i="6"/>
  <c r="F289" i="6"/>
  <c r="F290" i="6"/>
  <c r="F291" i="6"/>
  <c r="F292" i="6"/>
  <c r="F293" i="6"/>
  <c r="F294" i="6"/>
  <c r="F295" i="6"/>
  <c r="F296" i="6"/>
  <c r="F297" i="6"/>
  <c r="F298" i="6"/>
  <c r="F299" i="6"/>
  <c r="F300" i="6"/>
  <c r="F301" i="6"/>
  <c r="F302" i="6"/>
  <c r="F303" i="6"/>
  <c r="F304" i="6"/>
  <c r="F305" i="6"/>
  <c r="F306" i="6"/>
  <c r="F307" i="6"/>
  <c r="F308" i="6"/>
  <c r="F309" i="6"/>
  <c r="F310" i="6"/>
  <c r="F311" i="6"/>
  <c r="F312" i="6"/>
  <c r="F215" i="6"/>
  <c r="F216" i="6"/>
  <c r="F217" i="6"/>
  <c r="F218" i="6"/>
  <c r="F219" i="6"/>
  <c r="F220" i="6"/>
  <c r="F221" i="6"/>
  <c r="F222" i="6"/>
  <c r="F223" i="6"/>
  <c r="F206" i="6"/>
  <c r="F207" i="6"/>
  <c r="F208" i="6"/>
  <c r="F209" i="6"/>
  <c r="F210" i="6"/>
  <c r="F211" i="6"/>
  <c r="F212" i="6"/>
  <c r="F213" i="6"/>
  <c r="F214" i="6"/>
  <c r="F198" i="6"/>
  <c r="F199" i="6"/>
  <c r="F200" i="6"/>
  <c r="F201" i="6"/>
  <c r="F202" i="6"/>
  <c r="F203" i="6"/>
  <c r="F204" i="6"/>
  <c r="F205" i="6"/>
  <c r="F197" i="6"/>
  <c r="F196"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65" i="6"/>
  <c r="F164"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17" i="6"/>
  <c r="F116"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55" i="6"/>
  <c r="F54"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8" i="6"/>
  <c r="F7" i="6"/>
  <c r="G12" i="1"/>
  <c r="I90" i="1"/>
  <c r="A125" i="8"/>
  <c r="A85" i="5"/>
  <c r="A60" i="5"/>
  <c r="A56" i="5"/>
  <c r="G22" i="2"/>
  <c r="G81" i="4"/>
  <c r="G82" i="4"/>
  <c r="I81" i="4"/>
  <c r="G53" i="4"/>
  <c r="J186" i="4"/>
  <c r="J140" i="4"/>
  <c r="J139" i="4"/>
  <c r="J137" i="4"/>
  <c r="J136" i="4"/>
  <c r="J131" i="4"/>
  <c r="J87" i="4"/>
  <c r="I73" i="4"/>
  <c r="J73" i="4"/>
  <c r="J76" i="3"/>
  <c r="J45" i="3"/>
  <c r="G129" i="2"/>
  <c r="G125" i="2"/>
  <c r="G117" i="2"/>
  <c r="G21" i="2"/>
  <c r="I21" i="2"/>
  <c r="G18" i="2"/>
  <c r="J136" i="2"/>
  <c r="J84" i="2"/>
  <c r="J85" i="2"/>
  <c r="J86" i="2"/>
  <c r="J87" i="2"/>
  <c r="J88" i="2"/>
  <c r="J89" i="2"/>
  <c r="J82" i="2"/>
  <c r="J54" i="2"/>
  <c r="J55" i="2"/>
  <c r="J57" i="2"/>
  <c r="J25" i="2"/>
  <c r="J26" i="2"/>
  <c r="J27" i="2"/>
  <c r="J28" i="2"/>
  <c r="J29" i="2"/>
  <c r="J30" i="2"/>
  <c r="G11" i="2"/>
  <c r="J11" i="2"/>
  <c r="I12" i="2"/>
  <c r="J12" i="2"/>
  <c r="J23" i="2"/>
  <c r="G173" i="1"/>
  <c r="G137" i="1"/>
  <c r="I129" i="1"/>
  <c r="G129" i="1"/>
  <c r="G122" i="1"/>
  <c r="G102" i="1"/>
  <c r="G101" i="1"/>
  <c r="G93" i="1"/>
  <c r="G83" i="1"/>
  <c r="G27" i="1"/>
  <c r="I20" i="1"/>
  <c r="G16" i="1"/>
  <c r="I142" i="1"/>
  <c r="J136" i="1"/>
  <c r="I101" i="1"/>
  <c r="J100" i="1"/>
  <c r="G90" i="1"/>
  <c r="J90" i="1"/>
  <c r="G88" i="1"/>
  <c r="J88" i="1"/>
  <c r="J91" i="1"/>
  <c r="I12" i="1"/>
  <c r="I16" i="1"/>
  <c r="J105" i="1"/>
  <c r="J142" i="4"/>
  <c r="H59" i="2"/>
  <c r="J90" i="4"/>
  <c r="J91" i="4"/>
  <c r="J92" i="4"/>
  <c r="J93" i="4"/>
  <c r="J95" i="4"/>
  <c r="J94" i="4"/>
  <c r="J107" i="1"/>
  <c r="H60" i="2"/>
  <c r="G17" i="1"/>
  <c r="H96" i="2"/>
  <c r="J44" i="1"/>
  <c r="J21" i="3"/>
  <c r="G20" i="1"/>
  <c r="J22" i="3"/>
  <c r="H97" i="2"/>
  <c r="J108" i="1"/>
  <c r="J154" i="1"/>
  <c r="G26" i="4"/>
  <c r="J109" i="1"/>
  <c r="J33" i="4"/>
  <c r="A195" i="8"/>
  <c r="A191" i="8"/>
  <c r="A190" i="8"/>
  <c r="A186" i="8"/>
  <c r="A185" i="8"/>
  <c r="A181" i="8"/>
  <c r="A173" i="8"/>
  <c r="A167" i="8"/>
  <c r="A166" i="8"/>
  <c r="A161" i="8"/>
  <c r="A160" i="8"/>
  <c r="A156" i="8"/>
  <c r="A155" i="8"/>
  <c r="A151" i="8"/>
  <c r="A150" i="8"/>
  <c r="A148" i="8"/>
  <c r="A147" i="8"/>
  <c r="A142" i="8"/>
  <c r="A141" i="8"/>
  <c r="A137" i="8"/>
  <c r="A136" i="8"/>
  <c r="A132" i="8"/>
  <c r="A130" i="8"/>
  <c r="A126" i="8"/>
  <c r="A122" i="8"/>
  <c r="I181" i="4"/>
  <c r="J181" i="4"/>
  <c r="A121" i="8"/>
  <c r="A117" i="8"/>
  <c r="A116" i="8"/>
  <c r="A111" i="8"/>
  <c r="A110" i="8"/>
  <c r="A106" i="8"/>
  <c r="A104" i="8"/>
  <c r="A100" i="8"/>
  <c r="A99" i="8"/>
  <c r="A96" i="8"/>
  <c r="A95" i="8"/>
  <c r="A91" i="8"/>
  <c r="A90" i="8"/>
  <c r="A85" i="8"/>
  <c r="A84" i="8"/>
  <c r="A79" i="8"/>
  <c r="I173" i="1"/>
  <c r="A77" i="8"/>
  <c r="A72" i="8"/>
  <c r="A71" i="8"/>
  <c r="A66" i="8"/>
  <c r="A65" i="8"/>
  <c r="A61" i="8"/>
  <c r="A60" i="8"/>
  <c r="A56" i="8"/>
  <c r="A55" i="8"/>
  <c r="A50" i="8"/>
  <c r="A49" i="8"/>
  <c r="A44" i="8"/>
  <c r="A43" i="8"/>
  <c r="A38" i="8"/>
  <c r="I23" i="1"/>
  <c r="J25" i="1"/>
  <c r="B23" i="1"/>
  <c r="A36" i="8"/>
  <c r="A33" i="8"/>
  <c r="A32" i="8"/>
  <c r="A27" i="8"/>
  <c r="I138" i="4"/>
  <c r="J138" i="4"/>
  <c r="A26" i="8"/>
  <c r="A22" i="8"/>
  <c r="A21" i="8"/>
  <c r="A16" i="8"/>
  <c r="A15" i="8"/>
  <c r="A10" i="8"/>
  <c r="A9" i="8"/>
  <c r="A5" i="8"/>
  <c r="J146" i="4"/>
  <c r="J96" i="4"/>
  <c r="J153" i="4"/>
  <c r="J30" i="4"/>
  <c r="J103" i="1"/>
  <c r="G19" i="2"/>
  <c r="J19" i="2"/>
  <c r="H34" i="2"/>
  <c r="G21" i="1"/>
  <c r="J18" i="1"/>
  <c r="J12" i="1"/>
  <c r="H102" i="2"/>
  <c r="J106" i="1"/>
  <c r="H33" i="2"/>
  <c r="H32" i="2"/>
  <c r="G118" i="2"/>
  <c r="J118" i="2"/>
  <c r="G84" i="4"/>
  <c r="I131" i="1"/>
  <c r="I157" i="3"/>
  <c r="I151" i="3"/>
  <c r="I126" i="3"/>
  <c r="I115" i="3"/>
  <c r="I37" i="3"/>
  <c r="J37" i="3"/>
  <c r="I19" i="3"/>
  <c r="I18" i="3"/>
  <c r="J18" i="3"/>
  <c r="I17" i="3"/>
  <c r="I16" i="3"/>
  <c r="J16" i="3"/>
  <c r="I12" i="3"/>
  <c r="J12" i="3"/>
  <c r="I11" i="3"/>
  <c r="J11" i="3"/>
  <c r="I84" i="4"/>
  <c r="I82" i="4"/>
  <c r="J83" i="4"/>
  <c r="B81" i="4"/>
  <c r="I78" i="4"/>
  <c r="I77" i="4"/>
  <c r="I72" i="4"/>
  <c r="I57" i="4"/>
  <c r="I54" i="4"/>
  <c r="I53" i="4"/>
  <c r="I26" i="4"/>
  <c r="J26" i="4"/>
  <c r="I20" i="4"/>
  <c r="A38" i="5"/>
  <c r="J118" i="1"/>
  <c r="J165" i="1"/>
  <c r="J166" i="1"/>
  <c r="J167" i="1"/>
  <c r="G116" i="2"/>
  <c r="J116" i="2"/>
  <c r="G119" i="2"/>
  <c r="J119" i="2"/>
  <c r="G121" i="2"/>
  <c r="G123" i="2"/>
  <c r="J123" i="2"/>
  <c r="I122" i="2"/>
  <c r="H98" i="2"/>
  <c r="G17" i="2"/>
  <c r="J17" i="2"/>
  <c r="B16" i="1"/>
  <c r="H63" i="2"/>
  <c r="G50" i="2"/>
  <c r="J84" i="4"/>
  <c r="B84" i="4"/>
  <c r="G185" i="4"/>
  <c r="J185" i="4"/>
  <c r="G173" i="4"/>
  <c r="J189" i="4"/>
  <c r="B18" i="3"/>
  <c r="B21" i="3"/>
  <c r="J120" i="4"/>
  <c r="B120" i="4"/>
  <c r="J60" i="4"/>
  <c r="B60" i="4"/>
  <c r="J38" i="4"/>
  <c r="B38" i="4"/>
  <c r="G12" i="4"/>
  <c r="G15" i="4"/>
  <c r="I13" i="4"/>
  <c r="I12" i="4"/>
  <c r="J24" i="3"/>
  <c r="B24" i="3"/>
  <c r="B181" i="4"/>
  <c r="B138" i="4"/>
  <c r="B139" i="4"/>
  <c r="B140" i="4"/>
  <c r="B131" i="4"/>
  <c r="J54" i="4"/>
  <c r="B26" i="4"/>
  <c r="B76" i="3"/>
  <c r="B45" i="3"/>
  <c r="B37" i="3"/>
  <c r="B16" i="3"/>
  <c r="B12" i="3"/>
  <c r="B11" i="3"/>
  <c r="B136" i="2"/>
  <c r="B82" i="2"/>
  <c r="B85" i="2"/>
  <c r="B86" i="2"/>
  <c r="B87" i="2"/>
  <c r="B88" i="2"/>
  <c r="B54" i="2"/>
  <c r="B55" i="2"/>
  <c r="B25" i="2"/>
  <c r="B27" i="2"/>
  <c r="B28" i="2"/>
  <c r="B29" i="2"/>
  <c r="B30" i="2"/>
  <c r="B136" i="1"/>
  <c r="J131" i="1"/>
  <c r="B100" i="1"/>
  <c r="B91" i="1"/>
  <c r="B92" i="1"/>
  <c r="I83" i="1"/>
  <c r="J83" i="1"/>
  <c r="I182" i="4"/>
  <c r="G182" i="4"/>
  <c r="G180" i="4"/>
  <c r="I179" i="4"/>
  <c r="G56" i="4"/>
  <c r="G24" i="4"/>
  <c r="G22" i="4"/>
  <c r="G21" i="4"/>
  <c r="I128" i="3"/>
  <c r="I124" i="3"/>
  <c r="J124" i="3"/>
  <c r="I121" i="3"/>
  <c r="J121" i="3"/>
  <c r="I75" i="3"/>
  <c r="J75" i="3"/>
  <c r="I74" i="3"/>
  <c r="J74" i="3"/>
  <c r="I73" i="3"/>
  <c r="I69" i="3"/>
  <c r="I61" i="3"/>
  <c r="I66" i="3"/>
  <c r="G65" i="3"/>
  <c r="J65" i="3"/>
  <c r="G61" i="3"/>
  <c r="I44" i="3"/>
  <c r="I43" i="3"/>
  <c r="J50" i="2"/>
  <c r="G24" i="2"/>
  <c r="J24" i="2"/>
  <c r="J21" i="2"/>
  <c r="G20" i="2"/>
  <c r="B19" i="2"/>
  <c r="B17" i="2"/>
  <c r="J144" i="1"/>
  <c r="I137" i="1"/>
  <c r="G138" i="1"/>
  <c r="J138" i="1"/>
  <c r="I133" i="1"/>
  <c r="G134" i="1"/>
  <c r="B105" i="1"/>
  <c r="J102" i="1"/>
  <c r="B30" i="1"/>
  <c r="J22" i="1"/>
  <c r="J21" i="1"/>
  <c r="I11" i="4"/>
  <c r="A93" i="5"/>
  <c r="A90" i="5"/>
  <c r="A34" i="5"/>
  <c r="A30" i="5"/>
  <c r="J120" i="1"/>
  <c r="B68" i="1"/>
  <c r="G95" i="1"/>
  <c r="I27" i="1"/>
  <c r="J27" i="1"/>
  <c r="I28" i="1"/>
  <c r="J28" i="1"/>
  <c r="I169" i="1"/>
  <c r="J101" i="4"/>
  <c r="J100" i="4"/>
  <c r="J36" i="4"/>
  <c r="B36" i="4"/>
  <c r="J161" i="4"/>
  <c r="J162" i="4"/>
  <c r="J143" i="4"/>
  <c r="J157" i="4"/>
  <c r="B157" i="4"/>
  <c r="J156" i="4"/>
  <c r="B156" i="4"/>
  <c r="J155" i="4"/>
  <c r="B155" i="4"/>
  <c r="J154" i="4"/>
  <c r="B154" i="4"/>
  <c r="J152" i="4"/>
  <c r="B152" i="4"/>
  <c r="J151" i="4"/>
  <c r="B151" i="4"/>
  <c r="J150" i="4"/>
  <c r="B150" i="4"/>
  <c r="J149" i="4"/>
  <c r="B149" i="4"/>
  <c r="J148" i="4"/>
  <c r="B148" i="4"/>
  <c r="J147" i="4"/>
  <c r="B147" i="4"/>
  <c r="J145" i="4"/>
  <c r="B145" i="4"/>
  <c r="J144" i="4"/>
  <c r="B144" i="4"/>
  <c r="B136" i="4"/>
  <c r="B137" i="4"/>
  <c r="J119" i="4"/>
  <c r="J115" i="4"/>
  <c r="B115" i="4"/>
  <c r="B90" i="4"/>
  <c r="J114" i="4"/>
  <c r="B114" i="4"/>
  <c r="J117" i="4"/>
  <c r="B117" i="4"/>
  <c r="J116" i="4"/>
  <c r="B116" i="4"/>
  <c r="J113" i="4"/>
  <c r="B113" i="4"/>
  <c r="J112" i="4"/>
  <c r="B112" i="4"/>
  <c r="J111" i="4"/>
  <c r="B111" i="4"/>
  <c r="J110" i="4"/>
  <c r="B110" i="4"/>
  <c r="J109" i="4"/>
  <c r="B109" i="4"/>
  <c r="J108" i="4"/>
  <c r="B108" i="4"/>
  <c r="J107" i="4"/>
  <c r="B107" i="4"/>
  <c r="J106" i="4"/>
  <c r="B106" i="4"/>
  <c r="J105" i="4"/>
  <c r="B105" i="4"/>
  <c r="J104" i="4"/>
  <c r="B104" i="4"/>
  <c r="J103" i="4"/>
  <c r="B103" i="4"/>
  <c r="J102" i="4"/>
  <c r="J99" i="4"/>
  <c r="B99" i="4"/>
  <c r="B98" i="4"/>
  <c r="J97" i="4"/>
  <c r="B97" i="4"/>
  <c r="B96" i="4"/>
  <c r="B95" i="4"/>
  <c r="B94" i="4"/>
  <c r="B93" i="4"/>
  <c r="B92" i="4"/>
  <c r="B91" i="4"/>
  <c r="J61" i="4"/>
  <c r="B61" i="4"/>
  <c r="J37" i="4"/>
  <c r="B37" i="4"/>
  <c r="J28" i="4"/>
  <c r="B28" i="4"/>
  <c r="J29" i="4"/>
  <c r="B29" i="4"/>
  <c r="J31" i="4"/>
  <c r="B31" i="4"/>
  <c r="J32" i="4"/>
  <c r="B32" i="4"/>
  <c r="J34" i="4"/>
  <c r="B34" i="4"/>
  <c r="J165" i="3"/>
  <c r="J102" i="3"/>
  <c r="J85" i="3"/>
  <c r="B85" i="3"/>
  <c r="J121" i="1"/>
  <c r="J162" i="3"/>
  <c r="B162" i="3"/>
  <c r="J161" i="3"/>
  <c r="B161" i="3"/>
  <c r="B154" i="3"/>
  <c r="B139" i="3"/>
  <c r="J140" i="3"/>
  <c r="B138" i="3"/>
  <c r="J135" i="3"/>
  <c r="B135" i="3"/>
  <c r="J134" i="3"/>
  <c r="B134" i="3"/>
  <c r="J133" i="3"/>
  <c r="B133" i="3"/>
  <c r="J132" i="3"/>
  <c r="B132" i="3"/>
  <c r="J131" i="3"/>
  <c r="B131" i="3"/>
  <c r="J130" i="3"/>
  <c r="B130" i="3"/>
  <c r="J104" i="3"/>
  <c r="B104" i="3"/>
  <c r="J103" i="3"/>
  <c r="B103" i="3"/>
  <c r="J99" i="3"/>
  <c r="B99" i="3"/>
  <c r="J98" i="3"/>
  <c r="B98" i="3"/>
  <c r="J97" i="3"/>
  <c r="B97" i="3"/>
  <c r="J96" i="3"/>
  <c r="B96" i="3"/>
  <c r="J95" i="3"/>
  <c r="B95" i="3"/>
  <c r="J94" i="3"/>
  <c r="B94" i="3"/>
  <c r="J93" i="3"/>
  <c r="B93" i="3"/>
  <c r="J92" i="3"/>
  <c r="B92" i="3"/>
  <c r="J91" i="3"/>
  <c r="B91" i="3"/>
  <c r="J90" i="3"/>
  <c r="B90" i="3"/>
  <c r="J89" i="3"/>
  <c r="B89" i="3"/>
  <c r="J88" i="3"/>
  <c r="B88" i="3"/>
  <c r="J87" i="3"/>
  <c r="B87" i="3"/>
  <c r="J86" i="3"/>
  <c r="B86" i="3"/>
  <c r="J84" i="3"/>
  <c r="B84" i="3"/>
  <c r="J83" i="3"/>
  <c r="B83" i="3"/>
  <c r="J82" i="3"/>
  <c r="B82" i="3"/>
  <c r="J81" i="3"/>
  <c r="B81" i="3"/>
  <c r="J80" i="3"/>
  <c r="B80" i="3"/>
  <c r="J79" i="3"/>
  <c r="B79" i="3"/>
  <c r="J78" i="3"/>
  <c r="B78" i="3"/>
  <c r="J48" i="3"/>
  <c r="B48" i="3"/>
  <c r="J49" i="3"/>
  <c r="B49" i="3"/>
  <c r="J50" i="3"/>
  <c r="B50" i="3"/>
  <c r="J25" i="3"/>
  <c r="B25" i="3"/>
  <c r="B22" i="3"/>
  <c r="H153" i="2"/>
  <c r="B153" i="2"/>
  <c r="H139" i="2"/>
  <c r="B139" i="2"/>
  <c r="H91" i="2"/>
  <c r="B91" i="2"/>
  <c r="B59" i="2"/>
  <c r="B38" i="2"/>
  <c r="H37" i="2"/>
  <c r="B37" i="2"/>
  <c r="B32" i="2"/>
  <c r="B70" i="1"/>
  <c r="B186" i="4"/>
  <c r="B87" i="4"/>
  <c r="H149" i="2"/>
  <c r="B149" i="2"/>
  <c r="I137" i="2"/>
  <c r="J137" i="2"/>
  <c r="I135" i="2"/>
  <c r="J135" i="2"/>
  <c r="I134" i="2"/>
  <c r="J134" i="2"/>
  <c r="I129" i="2"/>
  <c r="I125" i="2"/>
  <c r="J125" i="2"/>
  <c r="I121" i="2"/>
  <c r="J121" i="2"/>
  <c r="I120" i="2"/>
  <c r="J120" i="2"/>
  <c r="I117" i="2"/>
  <c r="J117" i="2"/>
  <c r="I83" i="2"/>
  <c r="J83" i="2"/>
  <c r="I80" i="2"/>
  <c r="J80" i="2"/>
  <c r="I53" i="2"/>
  <c r="J53" i="2"/>
  <c r="G52" i="2"/>
  <c r="J52" i="2"/>
  <c r="I51" i="2"/>
  <c r="J51" i="2"/>
  <c r="I18" i="2"/>
  <c r="J18" i="2"/>
  <c r="H152" i="2"/>
  <c r="B152" i="2"/>
  <c r="H151" i="2"/>
  <c r="B151" i="2"/>
  <c r="H150" i="2"/>
  <c r="B150" i="2"/>
  <c r="H146" i="2"/>
  <c r="B146" i="2"/>
  <c r="H145" i="2"/>
  <c r="B145" i="2"/>
  <c r="H144" i="2"/>
  <c r="B144" i="2"/>
  <c r="H143" i="2"/>
  <c r="B143" i="2"/>
  <c r="H142" i="2"/>
  <c r="B142" i="2"/>
  <c r="H141" i="2"/>
  <c r="B141" i="2"/>
  <c r="H140" i="2"/>
  <c r="B140" i="2"/>
  <c r="B104" i="2"/>
  <c r="H103" i="2"/>
  <c r="B103" i="2"/>
  <c r="B102" i="2"/>
  <c r="H101" i="2"/>
  <c r="B101" i="2"/>
  <c r="B98" i="2"/>
  <c r="B97" i="2"/>
  <c r="B96" i="2"/>
  <c r="H95" i="2"/>
  <c r="B95" i="2"/>
  <c r="H94" i="2"/>
  <c r="B94" i="2"/>
  <c r="H93" i="2"/>
  <c r="B93" i="2"/>
  <c r="H92" i="2"/>
  <c r="B92" i="2"/>
  <c r="H61" i="2"/>
  <c r="B61" i="2"/>
  <c r="B60" i="2"/>
  <c r="B34" i="2"/>
  <c r="B33" i="2"/>
  <c r="B84" i="2"/>
  <c r="B89" i="2"/>
  <c r="B57" i="2"/>
  <c r="B26" i="2"/>
  <c r="G176" i="1"/>
  <c r="I176" i="1"/>
  <c r="I141" i="1"/>
  <c r="I140" i="1"/>
  <c r="J140" i="1"/>
  <c r="I130" i="1"/>
  <c r="J130" i="1"/>
  <c r="I128" i="1"/>
  <c r="J128" i="1"/>
  <c r="I123" i="1"/>
  <c r="J123" i="1"/>
  <c r="I122" i="1"/>
  <c r="J122" i="1"/>
  <c r="I95" i="1"/>
  <c r="I94" i="1"/>
  <c r="I93" i="1"/>
  <c r="A199" i="8"/>
  <c r="A196" i="8"/>
  <c r="I122" i="3"/>
  <c r="I177" i="1"/>
  <c r="B178" i="8"/>
  <c r="A179" i="8"/>
  <c r="A174" i="8"/>
  <c r="I70" i="3"/>
  <c r="I46" i="3"/>
  <c r="I178" i="1"/>
  <c r="I174" i="1"/>
  <c r="J174" i="1"/>
  <c r="I135" i="1"/>
  <c r="J135" i="1"/>
  <c r="I85" i="4"/>
  <c r="I86" i="4"/>
  <c r="A191" i="5"/>
  <c r="A188" i="5"/>
  <c r="G123" i="3"/>
  <c r="A187" i="5"/>
  <c r="A182" i="5"/>
  <c r="G177" i="1"/>
  <c r="A181" i="5"/>
  <c r="A177" i="5"/>
  <c r="A176" i="5"/>
  <c r="A172" i="5"/>
  <c r="A170" i="5"/>
  <c r="A166" i="5"/>
  <c r="A165" i="5"/>
  <c r="A162" i="5"/>
  <c r="G116" i="3"/>
  <c r="J116" i="3"/>
  <c r="A161" i="5"/>
  <c r="A156" i="5"/>
  <c r="A155" i="5"/>
  <c r="A150" i="5"/>
  <c r="G72" i="3"/>
  <c r="J72" i="3"/>
  <c r="B72" i="3"/>
  <c r="A149" i="5"/>
  <c r="A146" i="5"/>
  <c r="G19" i="1"/>
  <c r="J19" i="1"/>
  <c r="A145" i="5"/>
  <c r="A142" i="5"/>
  <c r="G17" i="3"/>
  <c r="J17" i="3"/>
  <c r="A141" i="5"/>
  <c r="A137" i="5"/>
  <c r="A136" i="5"/>
  <c r="A131" i="5"/>
  <c r="A130" i="5"/>
  <c r="A127" i="5"/>
  <c r="G115" i="3"/>
  <c r="A125" i="5"/>
  <c r="A121" i="5"/>
  <c r="A120" i="5"/>
  <c r="A116" i="5"/>
  <c r="A115" i="5"/>
  <c r="A112" i="5"/>
  <c r="A111" i="5"/>
  <c r="A106" i="5"/>
  <c r="G38" i="3"/>
  <c r="J38" i="3"/>
  <c r="A105" i="5"/>
  <c r="A100" i="5"/>
  <c r="G132" i="4"/>
  <c r="J132" i="4"/>
  <c r="B132" i="4"/>
  <c r="A98" i="5"/>
  <c r="A94" i="5"/>
  <c r="G94" i="1"/>
  <c r="A89" i="5"/>
  <c r="A86" i="5"/>
  <c r="A82" i="5"/>
  <c r="G151" i="3"/>
  <c r="A81" i="5"/>
  <c r="A77" i="5"/>
  <c r="G179" i="1"/>
  <c r="A75" i="5"/>
  <c r="A71" i="5"/>
  <c r="A70" i="5"/>
  <c r="A66" i="5"/>
  <c r="A65" i="5"/>
  <c r="A61" i="5"/>
  <c r="A57" i="5"/>
  <c r="A51" i="5"/>
  <c r="A50" i="5"/>
  <c r="A45" i="5"/>
  <c r="A44" i="5"/>
  <c r="A40" i="5"/>
  <c r="A35" i="5"/>
  <c r="A29" i="5"/>
  <c r="A24" i="5"/>
  <c r="G130" i="2"/>
  <c r="A23" i="5"/>
  <c r="A18" i="5"/>
  <c r="A17" i="5"/>
  <c r="A11" i="5"/>
  <c r="A7" i="5"/>
  <c r="G86" i="4"/>
  <c r="J111" i="1"/>
  <c r="J112" i="1"/>
  <c r="J113" i="1"/>
  <c r="J116" i="1"/>
  <c r="J160" i="1"/>
  <c r="J163" i="1"/>
  <c r="J23" i="1"/>
  <c r="J153" i="1"/>
  <c r="B153" i="1"/>
  <c r="J155" i="1"/>
  <c r="B155" i="1"/>
  <c r="J156" i="1"/>
  <c r="B156" i="1"/>
  <c r="J157" i="1"/>
  <c r="B157" i="1"/>
  <c r="J145" i="1"/>
  <c r="B145" i="1"/>
  <c r="J146" i="1"/>
  <c r="B146" i="1"/>
  <c r="J147" i="1"/>
  <c r="B147" i="1"/>
  <c r="J148" i="1"/>
  <c r="B148" i="1"/>
  <c r="J149" i="1"/>
  <c r="B149" i="1"/>
  <c r="J150" i="1"/>
  <c r="B150" i="1"/>
  <c r="J151" i="1"/>
  <c r="B151" i="1"/>
  <c r="J152" i="1"/>
  <c r="B152" i="1"/>
  <c r="B106" i="1"/>
  <c r="B107" i="1"/>
  <c r="B108" i="1"/>
  <c r="B109" i="1"/>
  <c r="J61" i="1"/>
  <c r="B61" i="1"/>
  <c r="J62" i="1"/>
  <c r="B62" i="1"/>
  <c r="J63" i="1"/>
  <c r="B63" i="1"/>
  <c r="J64" i="1"/>
  <c r="B64" i="1"/>
  <c r="J65" i="1"/>
  <c r="B65" i="1"/>
  <c r="J46" i="1"/>
  <c r="B46" i="1"/>
  <c r="J47" i="1"/>
  <c r="B47" i="1"/>
  <c r="J48" i="1"/>
  <c r="B48" i="1"/>
  <c r="J49" i="1"/>
  <c r="B49" i="1"/>
  <c r="J50" i="1"/>
  <c r="B50" i="1"/>
  <c r="J51" i="1"/>
  <c r="B51" i="1"/>
  <c r="J52" i="1"/>
  <c r="B52" i="1"/>
  <c r="J53" i="1"/>
  <c r="B53" i="1"/>
  <c r="J54" i="1"/>
  <c r="B54" i="1"/>
  <c r="J55" i="1"/>
  <c r="B55" i="1"/>
  <c r="J56" i="1"/>
  <c r="B56" i="1"/>
  <c r="J57" i="1"/>
  <c r="B57" i="1"/>
  <c r="J58" i="1"/>
  <c r="B58" i="1"/>
  <c r="J59" i="1"/>
  <c r="B59" i="1"/>
  <c r="J60" i="1"/>
  <c r="B60" i="1"/>
  <c r="J32" i="1"/>
  <c r="B32" i="1"/>
  <c r="J33" i="1"/>
  <c r="B33" i="1"/>
  <c r="J34" i="1"/>
  <c r="B34" i="1"/>
  <c r="J35" i="1"/>
  <c r="B35" i="1"/>
  <c r="J36" i="1"/>
  <c r="B36" i="1"/>
  <c r="J37" i="1"/>
  <c r="B37" i="1"/>
  <c r="J38" i="1"/>
  <c r="B38" i="1"/>
  <c r="J39" i="1"/>
  <c r="B39" i="1"/>
  <c r="J40" i="1"/>
  <c r="B40" i="1"/>
  <c r="J41" i="1"/>
  <c r="B41" i="1"/>
  <c r="J42" i="1"/>
  <c r="B42" i="1"/>
  <c r="J43" i="1"/>
  <c r="B43" i="1"/>
  <c r="J45" i="1"/>
  <c r="B45" i="1"/>
  <c r="J31" i="1"/>
  <c r="B31" i="1"/>
  <c r="G184" i="4"/>
  <c r="J184" i="4"/>
  <c r="G183" i="4"/>
  <c r="J183" i="4"/>
  <c r="G178" i="4"/>
  <c r="J178" i="4"/>
  <c r="G177" i="4"/>
  <c r="J177" i="4"/>
  <c r="G88" i="4"/>
  <c r="J88" i="4"/>
  <c r="G79" i="4"/>
  <c r="G78" i="4"/>
  <c r="G77" i="4"/>
  <c r="J77" i="4"/>
  <c r="G72" i="4"/>
  <c r="J72" i="4"/>
  <c r="G57" i="4"/>
  <c r="G52" i="4"/>
  <c r="J52" i="4"/>
  <c r="G51" i="4"/>
  <c r="J51" i="4"/>
  <c r="G50" i="4"/>
  <c r="J50" i="4"/>
  <c r="G25" i="4"/>
  <c r="J25" i="4"/>
  <c r="G23" i="4"/>
  <c r="J23" i="4"/>
  <c r="G20" i="4"/>
  <c r="J20" i="4"/>
  <c r="G19" i="4"/>
  <c r="J19" i="4"/>
  <c r="G159" i="3"/>
  <c r="J159" i="3"/>
  <c r="G158" i="3"/>
  <c r="J158" i="3"/>
  <c r="G157" i="3"/>
  <c r="J157" i="3"/>
  <c r="G156" i="3"/>
  <c r="J156" i="3"/>
  <c r="G155" i="3"/>
  <c r="J155" i="3"/>
  <c r="G126" i="3"/>
  <c r="J126" i="3"/>
  <c r="G125" i="3"/>
  <c r="J125" i="3"/>
  <c r="G71" i="3"/>
  <c r="J71" i="3"/>
  <c r="G70" i="3"/>
  <c r="G68" i="3"/>
  <c r="J68" i="3"/>
  <c r="G67" i="3"/>
  <c r="J67" i="3"/>
  <c r="G66" i="3"/>
  <c r="G44" i="3"/>
  <c r="G19" i="3"/>
  <c r="J19" i="3"/>
  <c r="G133" i="2"/>
  <c r="J133" i="2"/>
  <c r="G132" i="2"/>
  <c r="J132" i="2"/>
  <c r="G131" i="2"/>
  <c r="J131" i="2"/>
  <c r="G180" i="1"/>
  <c r="J180" i="1"/>
  <c r="G175" i="1"/>
  <c r="J175" i="1"/>
  <c r="G87" i="1"/>
  <c r="J87" i="1"/>
  <c r="G26" i="1"/>
  <c r="J26" i="1"/>
  <c r="G56" i="2"/>
  <c r="J56" i="2"/>
  <c r="H62" i="2"/>
  <c r="G76" i="2"/>
  <c r="J76" i="2"/>
  <c r="A76" i="2"/>
  <c r="J160" i="4"/>
  <c r="B143" i="4"/>
  <c r="J158" i="4"/>
  <c r="J66" i="1"/>
  <c r="B102" i="3"/>
  <c r="J105" i="3"/>
  <c r="B63" i="2"/>
  <c r="H65" i="2"/>
  <c r="J23" i="3"/>
  <c r="J115" i="3"/>
  <c r="J117" i="3"/>
  <c r="J80" i="4"/>
  <c r="B78" i="4"/>
  <c r="J44" i="3"/>
  <c r="J177" i="1"/>
  <c r="B177" i="1"/>
  <c r="J176" i="1"/>
  <c r="J96" i="1"/>
  <c r="B69" i="1"/>
  <c r="J71" i="1"/>
  <c r="J73" i="3"/>
  <c r="B73" i="3"/>
  <c r="J69" i="3"/>
  <c r="B69" i="3"/>
  <c r="J66" i="3"/>
  <c r="B66" i="3"/>
  <c r="J43" i="3"/>
  <c r="J151" i="3"/>
  <c r="A151" i="3"/>
  <c r="J46" i="3"/>
  <c r="J122" i="3"/>
  <c r="B122" i="3"/>
  <c r="J61" i="3"/>
  <c r="B61" i="3"/>
  <c r="J128" i="3"/>
  <c r="B128" i="3"/>
  <c r="J70" i="3"/>
  <c r="B70" i="3"/>
  <c r="J180" i="4"/>
  <c r="B180" i="4"/>
  <c r="J179" i="4"/>
  <c r="B179" i="4"/>
  <c r="J182" i="4"/>
  <c r="B182" i="4"/>
  <c r="J173" i="4"/>
  <c r="B173" i="4"/>
  <c r="J86" i="4"/>
  <c r="B86" i="4"/>
  <c r="J21" i="4"/>
  <c r="B21" i="4"/>
  <c r="J53" i="4"/>
  <c r="J55" i="4"/>
  <c r="B53" i="4"/>
  <c r="J22" i="4"/>
  <c r="B22" i="4"/>
  <c r="J57" i="4"/>
  <c r="B57" i="4"/>
  <c r="J24" i="4"/>
  <c r="B24" i="4"/>
  <c r="J56" i="4"/>
  <c r="B56" i="4"/>
  <c r="J14" i="4"/>
  <c r="B12" i="4"/>
  <c r="J11" i="4"/>
  <c r="B11" i="4"/>
  <c r="J129" i="2"/>
  <c r="J20" i="2"/>
  <c r="B20" i="2"/>
  <c r="J169" i="1"/>
  <c r="A169" i="1"/>
  <c r="J133" i="1"/>
  <c r="B133" i="1"/>
  <c r="J134" i="1"/>
  <c r="B134" i="1"/>
  <c r="J139" i="1"/>
  <c r="J173" i="1"/>
  <c r="B173" i="1"/>
  <c r="A83" i="1"/>
  <c r="H105" i="2"/>
  <c r="J20" i="1"/>
  <c r="J27" i="3"/>
  <c r="B65" i="3"/>
  <c r="B121" i="3"/>
  <c r="J13" i="3"/>
  <c r="A11" i="3"/>
  <c r="B12" i="1"/>
  <c r="J39" i="4"/>
  <c r="B26" i="3"/>
  <c r="J13" i="4"/>
  <c r="J94" i="1"/>
  <c r="I123" i="3"/>
  <c r="I127" i="3"/>
  <c r="J93" i="1"/>
  <c r="I179" i="1"/>
  <c r="B117" i="2"/>
  <c r="I89" i="1"/>
  <c r="I130" i="2"/>
  <c r="I15" i="4"/>
  <c r="G127" i="3"/>
  <c r="G85" i="4"/>
  <c r="B50" i="4"/>
  <c r="B73" i="4"/>
  <c r="B184" i="4"/>
  <c r="B77" i="4"/>
  <c r="B88" i="4"/>
  <c r="B51" i="4"/>
  <c r="B178" i="4"/>
  <c r="B52" i="4"/>
  <c r="B19" i="4"/>
  <c r="B23" i="4"/>
  <c r="B177" i="4"/>
  <c r="J12" i="4"/>
  <c r="B20" i="4"/>
  <c r="B183" i="4"/>
  <c r="B21" i="2"/>
  <c r="J95" i="1"/>
  <c r="J129" i="1"/>
  <c r="J132" i="1"/>
  <c r="B27" i="1"/>
  <c r="B88" i="1"/>
  <c r="B135" i="1"/>
  <c r="J142" i="1"/>
  <c r="B142" i="1"/>
  <c r="J141" i="1"/>
  <c r="B141" i="1"/>
  <c r="B87" i="1"/>
  <c r="B174" i="1"/>
  <c r="J137" i="1"/>
  <c r="B175" i="1"/>
  <c r="B90" i="1"/>
  <c r="B123" i="1"/>
  <c r="B180" i="1"/>
  <c r="B140" i="1"/>
  <c r="B26" i="1"/>
  <c r="B128" i="1"/>
  <c r="B75" i="3"/>
  <c r="B38" i="3"/>
  <c r="B67" i="3"/>
  <c r="B156" i="3"/>
  <c r="B124" i="3"/>
  <c r="B157" i="3"/>
  <c r="B155" i="3"/>
  <c r="B125" i="3"/>
  <c r="B71" i="3"/>
  <c r="B159" i="3"/>
  <c r="B126" i="3"/>
  <c r="B158" i="3"/>
  <c r="B134" i="2"/>
  <c r="B80" i="2"/>
  <c r="B133" i="2"/>
  <c r="B53" i="2"/>
  <c r="B135" i="2"/>
  <c r="B118" i="2"/>
  <c r="B11" i="2"/>
  <c r="B51" i="2"/>
  <c r="B120" i="2"/>
  <c r="J13" i="2"/>
  <c r="A11" i="2"/>
  <c r="B131" i="2"/>
  <c r="B132" i="2"/>
  <c r="B24" i="2"/>
  <c r="B25" i="4"/>
  <c r="B74" i="3"/>
  <c r="B137" i="2"/>
  <c r="B119" i="2"/>
  <c r="B52" i="2"/>
  <c r="B50" i="2"/>
  <c r="B28" i="1"/>
  <c r="B185" i="4"/>
  <c r="H154" i="2"/>
  <c r="B101" i="1"/>
  <c r="B144" i="1"/>
  <c r="B20" i="1"/>
  <c r="B19" i="1"/>
  <c r="J121" i="4"/>
  <c r="J133" i="4"/>
  <c r="A131" i="4"/>
  <c r="A12" i="5"/>
  <c r="G122" i="2"/>
  <c r="J124" i="2"/>
  <c r="J126" i="2"/>
  <c r="G178" i="1"/>
  <c r="J178" i="1"/>
  <c r="B189" i="4"/>
  <c r="B119" i="4"/>
  <c r="B100" i="4"/>
  <c r="J62" i="4"/>
  <c r="B72" i="4"/>
  <c r="B165" i="3"/>
  <c r="J141" i="3"/>
  <c r="B140" i="3"/>
  <c r="H39" i="2"/>
  <c r="B64" i="2"/>
  <c r="B125" i="2"/>
  <c r="B18" i="2"/>
  <c r="G39" i="3"/>
  <c r="I81" i="2"/>
  <c r="B56" i="2"/>
  <c r="B76" i="2"/>
  <c r="A136" i="4"/>
  <c r="B128" i="4"/>
  <c r="G127" i="4"/>
  <c r="J187" i="4"/>
  <c r="A177" i="4"/>
  <c r="B43" i="3"/>
  <c r="J51" i="3"/>
  <c r="A43" i="3"/>
  <c r="B129" i="2"/>
  <c r="H35" i="2"/>
  <c r="A17" i="2"/>
  <c r="B8" i="2"/>
  <c r="I7" i="2"/>
  <c r="J158" i="1"/>
  <c r="A128" i="1"/>
  <c r="A173" i="4"/>
  <c r="J100" i="3"/>
  <c r="A65" i="3"/>
  <c r="B151" i="3"/>
  <c r="A61" i="3"/>
  <c r="B169" i="1"/>
  <c r="J127" i="3"/>
  <c r="B127" i="3"/>
  <c r="J39" i="3"/>
  <c r="B46" i="3"/>
  <c r="J123" i="3"/>
  <c r="B123" i="3"/>
  <c r="J85" i="4"/>
  <c r="B85" i="4"/>
  <c r="J15" i="4"/>
  <c r="J16" i="4"/>
  <c r="A11" i="4"/>
  <c r="J122" i="2"/>
  <c r="B122" i="2"/>
  <c r="J81" i="2"/>
  <c r="J130" i="2"/>
  <c r="B130" i="2"/>
  <c r="J89" i="1"/>
  <c r="J179" i="1"/>
  <c r="B179" i="1"/>
  <c r="B17" i="3"/>
  <c r="A16" i="3"/>
  <c r="B8" i="3"/>
  <c r="G7" i="3"/>
  <c r="A16" i="1"/>
  <c r="B122" i="1"/>
  <c r="J124" i="1"/>
  <c r="A122" i="1"/>
  <c r="B137" i="1"/>
  <c r="B116" i="2"/>
  <c r="A115" i="3"/>
  <c r="B115" i="3"/>
  <c r="J58" i="4"/>
  <c r="A50" i="4"/>
  <c r="B46" i="4"/>
  <c r="G45" i="4"/>
  <c r="J74" i="4"/>
  <c r="A72" i="4"/>
  <c r="J35" i="4"/>
  <c r="A19" i="4"/>
  <c r="B12" i="2"/>
  <c r="B44" i="3"/>
  <c r="B19" i="3"/>
  <c r="J163" i="3"/>
  <c r="B68" i="3"/>
  <c r="B83" i="2"/>
  <c r="B176" i="1"/>
  <c r="B121" i="2"/>
  <c r="B160" i="4"/>
  <c r="B83" i="1"/>
  <c r="B93" i="1"/>
  <c r="B89" i="1"/>
  <c r="J110" i="1"/>
  <c r="A87" i="1"/>
  <c r="B79" i="1"/>
  <c r="I78" i="1"/>
  <c r="A155" i="3"/>
  <c r="B148" i="3"/>
  <c r="G147" i="3"/>
  <c r="J40" i="3"/>
  <c r="A37" i="3"/>
  <c r="B34" i="3"/>
  <c r="G33" i="3"/>
  <c r="H147" i="2"/>
  <c r="A129" i="2"/>
  <c r="B81" i="2"/>
  <c r="H99" i="2"/>
  <c r="J118" i="4"/>
  <c r="B58" i="3"/>
  <c r="G57" i="3"/>
  <c r="B39" i="3"/>
  <c r="B15" i="4"/>
  <c r="J181" i="1"/>
  <c r="A173" i="1"/>
  <c r="B165" i="1"/>
  <c r="I164" i="1"/>
  <c r="J136" i="3"/>
  <c r="A121" i="3"/>
  <c r="B112" i="3"/>
  <c r="G111" i="3"/>
  <c r="B8" i="4"/>
  <c r="G7" i="4"/>
  <c r="A116" i="2"/>
  <c r="A50" i="2"/>
  <c r="B46" i="2"/>
  <c r="I45" i="2"/>
  <c r="B170" i="4"/>
  <c r="G169" i="4"/>
  <c r="B178" i="1"/>
  <c r="B129" i="1"/>
  <c r="E80" i="1"/>
  <c r="A80" i="2"/>
  <c r="B72" i="2"/>
  <c r="I71" i="2"/>
  <c r="A77" i="4"/>
  <c r="B69" i="4"/>
  <c r="G68" i="4"/>
  <c r="G3" i="4"/>
  <c r="B112" i="2"/>
  <c r="I111" i="2"/>
  <c r="G3" i="3"/>
  <c r="B118" i="1"/>
  <c r="I117" i="1"/>
  <c r="I3" i="2"/>
  <c r="E119" i="1"/>
  <c r="I11" i="1"/>
  <c r="J11" i="1"/>
  <c r="J13" i="1"/>
  <c r="A11" i="1"/>
  <c r="B8" i="1"/>
  <c r="I7" i="1"/>
  <c r="I3" i="1"/>
  <c r="B4" i="9"/>
  <c r="B6" i="9"/>
  <c r="B7" i="9"/>
  <c r="B1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Fernando Mendes</author>
  </authors>
  <commentList>
    <comment ref="B1" authorId="0" shapeId="0" xr:uid="{214EFDF4-CFC8-43D6-A9D8-921516D0D60C}">
      <text>
        <r>
          <rPr>
            <sz val="9"/>
            <color indexed="81"/>
            <rFont val="Segoe UI"/>
            <family val="2"/>
          </rPr>
          <t>Escreva aqui o nome do(a) jovem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Fernando Mendes</author>
  </authors>
  <commentList>
    <comment ref="C3" authorId="0" shapeId="0" xr:uid="{AA1E8910-77BA-4148-940F-615C98D984FA}">
      <text>
        <r>
          <rPr>
            <b/>
            <sz val="9"/>
            <color indexed="81"/>
            <rFont val="Segoe UI"/>
            <family val="2"/>
          </rPr>
          <t>Clique aqui para abrir a caixa de seleção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Fernando Mendes</author>
  </authors>
  <commentList>
    <comment ref="A3" authorId="0" shapeId="0" xr:uid="{09E24328-D88D-4399-A61B-4BDC9B3CC75E}">
      <text>
        <r>
          <rPr>
            <b/>
            <sz val="9"/>
            <color indexed="81"/>
            <rFont val="Segoe UI"/>
            <family val="2"/>
          </rPr>
          <t>Fernando Mendes:</t>
        </r>
        <r>
          <rPr>
            <sz val="9"/>
            <color indexed="81"/>
            <rFont val="Segoe UI"/>
            <family val="2"/>
          </rPr>
          <t xml:space="preserve">
Para fins de equiparação utilizou-se o seguinte critério, especialidade em:
n1 no antigo = necessário verificar exatamente quais os itens que podem ser marcados no novo programa;
n2 no antigo = n1 no novo programa;
n3 no antigo = n2 no novo programa;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Fernando Mendes</author>
  </authors>
  <commentList>
    <comment ref="C11" authorId="0" shapeId="0" xr:uid="{814830BB-5600-4086-95EA-5876CEDA495C}">
      <text>
        <r>
          <rPr>
            <sz val="9"/>
            <color indexed="81"/>
            <rFont val="Segoe UI"/>
            <family val="2"/>
          </rPr>
          <t>Conquistar uma especialidade</t>
        </r>
      </text>
    </comment>
    <comment ref="C12" authorId="0" shapeId="0" xr:uid="{7A601B59-61FF-43BC-97C5-AA776A6B0559}">
      <text>
        <r>
          <rPr>
            <sz val="9"/>
            <color indexed="81"/>
            <rFont val="Segoe UI"/>
            <family val="2"/>
          </rPr>
          <t>P21 ou P22</t>
        </r>
      </text>
    </comment>
    <comment ref="C16" authorId="0" shapeId="0" xr:uid="{89E16761-499A-46DD-A95E-351230AE12EA}">
      <text>
        <r>
          <rPr>
            <sz val="9"/>
            <color indexed="81"/>
            <rFont val="Segoe UI"/>
            <family val="2"/>
          </rPr>
          <t>P37 ou
R42 ou
Especialidade  Entrega de Mensagens</t>
        </r>
      </text>
    </comment>
    <comment ref="C19" authorId="0" shapeId="0" xr:uid="{65B4DB5C-E7DA-4419-9099-BA249AAE8CA7}">
      <text>
        <r>
          <rPr>
            <sz val="9"/>
            <color indexed="81"/>
            <rFont val="Segoe UI"/>
            <family val="2"/>
          </rPr>
          <t>P82</t>
        </r>
      </text>
    </comment>
    <comment ref="C20" authorId="0" shapeId="0" xr:uid="{3E373AA3-E092-4B37-8225-6B45C536C787}">
      <text>
        <r>
          <rPr>
            <sz val="9"/>
            <color indexed="81"/>
            <rFont val="Segoe UI"/>
            <family val="2"/>
          </rPr>
          <t>Especialidade Internet ou Especialidade Radioamadorismo ou 
R41</t>
        </r>
      </text>
    </comment>
    <comment ref="C23" authorId="0" shapeId="0" xr:uid="{2BB740A0-0EF9-4DD0-8C1E-423B9B75D151}">
      <text>
        <r>
          <rPr>
            <sz val="9"/>
            <color indexed="81"/>
            <rFont val="Segoe UI"/>
            <family val="2"/>
          </rPr>
          <t>P70 ou P33 ou
R21 a 24</t>
        </r>
      </text>
    </comment>
    <comment ref="C26" authorId="0" shapeId="0" xr:uid="{6B7BF3F6-1C46-4FB6-9F8C-26C955E2C07B}">
      <text>
        <r>
          <rPr>
            <sz val="9"/>
            <color indexed="81"/>
            <rFont val="Segoe UI"/>
            <family val="2"/>
          </rPr>
          <t>P38</t>
        </r>
      </text>
    </comment>
    <comment ref="C27" authorId="0" shapeId="0" xr:uid="{901616A4-0ACA-4836-8F76-ADEFCEB6BE6B}">
      <text>
        <r>
          <rPr>
            <sz val="9"/>
            <color indexed="81"/>
            <rFont val="Segoe UI"/>
            <family val="2"/>
          </rPr>
          <t>P61 ou R27</t>
        </r>
      </text>
    </comment>
    <comment ref="C28" authorId="0" shapeId="0" xr:uid="{295ED65D-3AE8-41B4-B926-FCA0BF87EF5E}">
      <text>
        <r>
          <rPr>
            <sz val="9"/>
            <color indexed="81"/>
            <rFont val="Segoe UI"/>
            <family val="2"/>
          </rPr>
          <t>R91</t>
        </r>
      </text>
    </comment>
    <comment ref="C83" authorId="0" shapeId="0" xr:uid="{A021735D-C7A5-42AA-86A0-83288CDC3A1A}">
      <text>
        <r>
          <rPr>
            <sz val="9"/>
            <color indexed="81"/>
            <rFont val="Segoe UI"/>
            <family val="2"/>
          </rPr>
          <t>P11 ou R11</t>
        </r>
      </text>
    </comment>
    <comment ref="C87" authorId="0" shapeId="0" xr:uid="{0B81219B-C07D-4F0D-96F5-A20FDDF07208}">
      <text>
        <r>
          <rPr>
            <sz val="9"/>
            <color indexed="81"/>
            <rFont val="Segoe UI"/>
            <family val="2"/>
          </rPr>
          <t>P30</t>
        </r>
      </text>
    </comment>
    <comment ref="C88" authorId="0" shapeId="0" xr:uid="{6E092B4A-82DD-41A5-905D-EB3F10E68222}">
      <text>
        <r>
          <rPr>
            <sz val="9"/>
            <color indexed="81"/>
            <rFont val="Segoe UI"/>
            <family val="2"/>
          </rPr>
          <t>P96</t>
        </r>
      </text>
    </comment>
    <comment ref="C89" authorId="0" shapeId="0" xr:uid="{E7100ED0-4F77-4309-9EC1-DD6BA966C6AE}">
      <text>
        <r>
          <rPr>
            <sz val="9"/>
            <color indexed="81"/>
            <rFont val="Segoe UI"/>
            <family val="2"/>
          </rPr>
          <t>R12 ao 14</t>
        </r>
      </text>
    </comment>
    <comment ref="C90" authorId="0" shapeId="0" xr:uid="{01A67CAC-9AF2-4C8E-87A0-79BD598C0B7D}">
      <text>
        <r>
          <rPr>
            <sz val="9"/>
            <color indexed="81"/>
            <rFont val="Segoe UI"/>
            <family val="2"/>
          </rPr>
          <t>P82 ou P83</t>
        </r>
      </text>
    </comment>
    <comment ref="C91" authorId="0" shapeId="0" xr:uid="{9269CC2B-29C7-4704-8010-C240004BADC2}">
      <text>
        <r>
          <rPr>
            <sz val="9"/>
            <color indexed="81"/>
            <rFont val="Segoe UI"/>
            <family val="2"/>
          </rPr>
          <t>P74</t>
        </r>
      </text>
    </comment>
    <comment ref="C92" authorId="0" shapeId="0" xr:uid="{97EEC4AE-8E17-4118-98C5-7B33A1A25045}">
      <text>
        <r>
          <rPr>
            <sz val="9"/>
            <color indexed="81"/>
            <rFont val="Segoe UI"/>
            <family val="2"/>
          </rPr>
          <t>Especialidade Educação Financeira</t>
        </r>
      </text>
    </comment>
    <comment ref="C93" authorId="0" shapeId="0" xr:uid="{83E32C24-D366-4A91-B6AF-1817349D6F63}">
      <text>
        <r>
          <rPr>
            <sz val="9"/>
            <color indexed="81"/>
            <rFont val="Segoe UI"/>
            <family val="2"/>
          </rPr>
          <t>P45 ou P52 ou P75 ou R51 ou R52 ou R53</t>
        </r>
      </text>
    </comment>
    <comment ref="C97" authorId="0" shapeId="0" xr:uid="{AA510331-DE5B-4291-914C-141F6D34EFFA}">
      <text>
        <r>
          <rPr>
            <sz val="9"/>
            <color indexed="81"/>
            <rFont val="Segoe UI"/>
            <family val="2"/>
          </rPr>
          <t>P75 ou P76 ou R51</t>
        </r>
      </text>
    </comment>
    <comment ref="C100" authorId="0" shapeId="0" xr:uid="{7005CA12-FC4A-42B6-A433-620BC1023215}">
      <text>
        <r>
          <rPr>
            <sz val="9"/>
            <color indexed="81"/>
            <rFont val="Segoe UI"/>
            <family val="2"/>
          </rPr>
          <t>Equivalência não encontrada no programa antigo</t>
        </r>
      </text>
    </comment>
    <comment ref="C101" authorId="0" shapeId="0" xr:uid="{6BA25AF1-D05C-423E-BC2C-E49F7FF8F72A}">
      <text>
        <r>
          <rPr>
            <sz val="9"/>
            <color indexed="81"/>
            <rFont val="Segoe UI"/>
            <family val="2"/>
          </rPr>
          <t>P29 ou P60 ou R67</t>
        </r>
      </text>
    </comment>
    <comment ref="C122" authorId="0" shapeId="0" xr:uid="{1ECEB0F7-D168-439D-ACA6-651E28CBD12C}">
      <text>
        <r>
          <rPr>
            <sz val="9"/>
            <color indexed="81"/>
            <rFont val="Segoe UI"/>
            <family val="2"/>
          </rPr>
          <t>P50 ou R36</t>
        </r>
      </text>
    </comment>
    <comment ref="C123" authorId="0" shapeId="0" xr:uid="{F174D496-3251-44D2-98B6-A9477F29F867}">
      <text>
        <r>
          <rPr>
            <sz val="9"/>
            <color indexed="81"/>
            <rFont val="Segoe UI"/>
            <family val="2"/>
          </rPr>
          <t>R44</t>
        </r>
      </text>
    </comment>
    <comment ref="C128" authorId="0" shapeId="0" xr:uid="{7E20D026-8BBF-4D79-8C0E-17FD492B4C3F}">
      <text>
        <r>
          <rPr>
            <sz val="9"/>
            <color indexed="81"/>
            <rFont val="Segoe UI"/>
            <family val="2"/>
          </rPr>
          <t>R32</t>
        </r>
      </text>
    </comment>
    <comment ref="C129" authorId="0" shapeId="0" xr:uid="{C171AFE8-83F8-4966-9EB3-06A56A3ED6A5}">
      <text>
        <r>
          <rPr>
            <sz val="9"/>
            <color indexed="81"/>
            <rFont val="Segoe UI"/>
            <family val="2"/>
          </rPr>
          <t>P36 ou R36 ou R38 ou R61</t>
        </r>
      </text>
    </comment>
    <comment ref="C133" authorId="0" shapeId="0" xr:uid="{72754391-BA81-4637-A3EB-6A3C41B38B4A}">
      <text>
        <r>
          <rPr>
            <sz val="9"/>
            <color indexed="81"/>
            <rFont val="Segoe UI"/>
            <family val="2"/>
          </rPr>
          <t>R62</t>
        </r>
      </text>
    </comment>
    <comment ref="C134" authorId="0" shapeId="0" xr:uid="{6AF13111-0D7A-415A-82E1-8929E141B126}">
      <text>
        <r>
          <rPr>
            <sz val="9"/>
            <color indexed="81"/>
            <rFont val="Segoe UI"/>
            <family val="2"/>
          </rPr>
          <t>P9</t>
        </r>
      </text>
    </comment>
    <comment ref="C135" authorId="0" shapeId="0" xr:uid="{59725C7C-5B02-4219-98E2-C1F9048902B2}">
      <text>
        <r>
          <rPr>
            <sz val="9"/>
            <color indexed="81"/>
            <rFont val="Segoe UI"/>
            <family val="2"/>
          </rPr>
          <t>R39 ao R42</t>
        </r>
      </text>
    </comment>
    <comment ref="C136" authorId="0" shapeId="0" xr:uid="{3ECEF13D-FDCD-4A2A-814F-CB4103A45ADD}">
      <text>
        <r>
          <rPr>
            <sz val="9"/>
            <color indexed="81"/>
            <rFont val="Segoe UI"/>
            <family val="2"/>
          </rPr>
          <t>Não encontrado itens equivalentes no programa antigo</t>
        </r>
      </text>
    </comment>
    <comment ref="C137" authorId="0" shapeId="0" xr:uid="{8AA79BB3-BAA1-4A07-AAE8-DA1088B6DD2B}">
      <text>
        <r>
          <rPr>
            <sz val="9"/>
            <color indexed="81"/>
            <rFont val="Segoe UI"/>
            <family val="2"/>
          </rPr>
          <t>P8 ou P9 ou R8</t>
        </r>
      </text>
    </comment>
    <comment ref="C140" authorId="0" shapeId="0" xr:uid="{93F78FB8-BBF4-41D2-8530-370D564036A3}">
      <text>
        <r>
          <rPr>
            <sz val="9"/>
            <color indexed="81"/>
            <rFont val="Segoe UI"/>
            <family val="2"/>
          </rPr>
          <t>R54</t>
        </r>
      </text>
    </comment>
    <comment ref="C141" authorId="0" shapeId="0" xr:uid="{45C4A7E1-7DE4-406A-8B04-62F2EA02984B}">
      <text>
        <r>
          <rPr>
            <sz val="9"/>
            <color indexed="81"/>
            <rFont val="Segoe UI"/>
            <family val="2"/>
          </rPr>
          <t>R29</t>
        </r>
      </text>
    </comment>
    <comment ref="C142" authorId="0" shapeId="0" xr:uid="{BA188102-D76C-4D5F-93B4-8E18E92DDFFF}">
      <text>
        <r>
          <rPr>
            <sz val="9"/>
            <color indexed="81"/>
            <rFont val="Segoe UI"/>
            <family val="2"/>
          </rPr>
          <t>R62</t>
        </r>
      </text>
    </comment>
    <comment ref="C169" authorId="0" shapeId="0" xr:uid="{A3810A40-9F3F-45A5-A549-97DE7E7DF86C}">
      <text>
        <r>
          <rPr>
            <sz val="9"/>
            <color indexed="81"/>
            <rFont val="Segoe UI"/>
            <family val="2"/>
          </rPr>
          <t>R71</t>
        </r>
      </text>
    </comment>
    <comment ref="C173" authorId="0" shapeId="0" xr:uid="{9CECE4BE-FB9D-4323-8331-F82CA0EAF83F}">
      <text>
        <r>
          <rPr>
            <sz val="9"/>
            <color indexed="81"/>
            <rFont val="Segoe UI"/>
            <family val="2"/>
          </rPr>
          <t>P31 ou R47 ao 50</t>
        </r>
      </text>
    </comment>
    <comment ref="C174" authorId="0" shapeId="0" xr:uid="{69E20826-DCF9-483D-AD97-2A65A394E7C9}">
      <text>
        <r>
          <rPr>
            <sz val="9"/>
            <color indexed="81"/>
            <rFont val="Segoe UI"/>
            <family val="2"/>
          </rPr>
          <t>R63 ao 65</t>
        </r>
      </text>
    </comment>
    <comment ref="C175" authorId="0" shapeId="0" xr:uid="{9B7E9BEA-DA9E-4E57-B292-626D17B5EA3E}">
      <text>
        <r>
          <rPr>
            <sz val="9"/>
            <color indexed="81"/>
            <rFont val="Segoe UI"/>
            <family val="2"/>
          </rPr>
          <t>P57</t>
        </r>
      </text>
    </comment>
    <comment ref="C176" authorId="0" shapeId="0" xr:uid="{33BD1EDB-C959-4741-8A18-4280D07CD36F}">
      <text>
        <r>
          <rPr>
            <sz val="9"/>
            <color indexed="81"/>
            <rFont val="Segoe UI"/>
            <family val="2"/>
          </rPr>
          <t>P20 ou R20</t>
        </r>
      </text>
    </comment>
    <comment ref="C177" authorId="0" shapeId="0" xr:uid="{01A7C6BB-6058-4D17-9907-190ACCA4A1E4}">
      <text>
        <r>
          <rPr>
            <sz val="9"/>
            <color indexed="81"/>
            <rFont val="Segoe UI"/>
            <family val="2"/>
          </rPr>
          <t>P103 ou R106 ao R108</t>
        </r>
      </text>
    </comment>
    <comment ref="C178" authorId="0" shapeId="0" xr:uid="{37D8908E-9014-4665-A1A5-8DDE15A3C3C6}">
      <text>
        <r>
          <rPr>
            <sz val="9"/>
            <color indexed="81"/>
            <rFont val="Segoe UI"/>
            <family val="2"/>
          </rPr>
          <t>P52 ou R66 ao R69</t>
        </r>
      </text>
    </comment>
    <comment ref="C179" authorId="0" shapeId="0" xr:uid="{835F62F6-3457-42B4-8CCD-32AD8CFF89C0}">
      <text>
        <r>
          <rPr>
            <sz val="9"/>
            <color indexed="81"/>
            <rFont val="Segoe UI"/>
            <family val="2"/>
          </rPr>
          <t>P43 ou R47 ao R50</t>
        </r>
      </text>
    </comment>
    <comment ref="C180" authorId="0" shapeId="0" xr:uid="{E1BD01BD-DBCB-49F9-897B-52C0512A1F29}">
      <text>
        <r>
          <rPr>
            <sz val="9"/>
            <color indexed="81"/>
            <rFont val="Segoe UI"/>
            <family val="2"/>
          </rPr>
          <t>P51</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Fernando Mendes</author>
  </authors>
  <commentList>
    <comment ref="C11" authorId="0" shapeId="0" xr:uid="{76CB3ACB-9355-4064-8238-5B72733AEC43}">
      <text>
        <r>
          <rPr>
            <sz val="9"/>
            <color indexed="81"/>
            <rFont val="Segoe UI"/>
            <family val="2"/>
          </rPr>
          <t>P8</t>
        </r>
      </text>
    </comment>
    <comment ref="C12" authorId="0" shapeId="0" xr:uid="{DE57C9CA-3732-4C33-B289-50B77123BD97}">
      <text>
        <r>
          <rPr>
            <sz val="9"/>
            <color indexed="81"/>
            <rFont val="Segoe UI"/>
            <family val="2"/>
          </rPr>
          <t>R13</t>
        </r>
      </text>
    </comment>
    <comment ref="C17" authorId="0" shapeId="0" xr:uid="{EA14105C-0087-428E-A30D-2BBE48E15DBA}">
      <text>
        <r>
          <rPr>
            <sz val="9"/>
            <color indexed="81"/>
            <rFont val="Segoe UI"/>
            <family val="2"/>
          </rPr>
          <t>Especialidade Energia</t>
        </r>
      </text>
    </comment>
    <comment ref="C18" authorId="0" shapeId="0" xr:uid="{EDD7D80B-9AA6-4E4D-9732-FD68F0632756}">
      <text>
        <r>
          <rPr>
            <sz val="9"/>
            <color indexed="81"/>
            <rFont val="Segoe UI"/>
            <family val="2"/>
          </rPr>
          <t>P1</t>
        </r>
      </text>
    </comment>
    <comment ref="C19" authorId="0" shapeId="0" xr:uid="{4479A0AE-0D18-44A1-B0FE-33EB4BA58423}">
      <text>
        <r>
          <rPr>
            <sz val="9"/>
            <color indexed="81"/>
            <rFont val="Segoe UI"/>
            <family val="2"/>
          </rPr>
          <t>Especialiade Energia</t>
        </r>
      </text>
    </comment>
    <comment ref="C20" authorId="0" shapeId="0" xr:uid="{3B071FB9-3A95-4F9A-9C89-68C4AA01FF54}">
      <text>
        <r>
          <rPr>
            <sz val="9"/>
            <color indexed="81"/>
            <rFont val="Segoe UI"/>
            <family val="2"/>
          </rPr>
          <t>Especialidade Reparos Domésticos</t>
        </r>
      </text>
    </comment>
    <comment ref="C21" authorId="0" shapeId="0" xr:uid="{B73B5558-79DC-4364-8A19-46ECE48A8E76}">
      <text>
        <r>
          <rPr>
            <sz val="9"/>
            <color indexed="81"/>
            <rFont val="Segoe UI"/>
            <family val="2"/>
          </rPr>
          <t>P94 ou P1+R1</t>
        </r>
      </text>
    </comment>
    <comment ref="C24" authorId="0" shapeId="0" xr:uid="{E7C372A4-D473-49DF-AB36-9CDDFE2109CB}">
      <text>
        <r>
          <rPr>
            <sz val="9"/>
            <color indexed="81"/>
            <rFont val="Segoe UI"/>
            <family val="2"/>
          </rPr>
          <t>Especialidade de Compostagem</t>
        </r>
      </text>
    </comment>
    <comment ref="C25" authorId="0" shapeId="0" xr:uid="{AF4482F8-AE09-4965-A8C3-0DD287150A2B}">
      <text>
        <r>
          <rPr>
            <sz val="9"/>
            <color indexed="81"/>
            <rFont val="Segoe UI"/>
            <family val="2"/>
          </rPr>
          <t>Não encontrado itens equivalentes no programa antigo</t>
        </r>
      </text>
    </comment>
    <comment ref="C26" authorId="0" shapeId="0" xr:uid="{BB03C669-6BFF-4659-A5ED-C3C019B98250}">
      <text>
        <r>
          <rPr>
            <sz val="9"/>
            <color indexed="81"/>
            <rFont val="Segoe UI"/>
            <family val="2"/>
          </rPr>
          <t>Não encontrado itens equivalentes no programa antigo</t>
        </r>
      </text>
    </comment>
    <comment ref="C27" authorId="0" shapeId="0" xr:uid="{5D18830A-2652-4AC7-8A10-51BFB6C8D325}">
      <text>
        <r>
          <rPr>
            <sz val="9"/>
            <color indexed="81"/>
            <rFont val="Segoe UI"/>
            <family val="2"/>
          </rPr>
          <t>Não encontrado itens equivalentes no programa antigo</t>
        </r>
      </text>
    </comment>
    <comment ref="C28" authorId="0" shapeId="0" xr:uid="{6A63E75A-B58C-47CC-9E03-7512F07BA501}">
      <text>
        <r>
          <rPr>
            <sz val="9"/>
            <color indexed="81"/>
            <rFont val="Segoe UI"/>
            <family val="2"/>
          </rPr>
          <t>Não encontrado itens equivalentes no programa antigo</t>
        </r>
      </text>
    </comment>
    <comment ref="C29" authorId="0" shapeId="0" xr:uid="{7F8AF692-B8FB-4D39-AFB6-11309375945D}">
      <text>
        <r>
          <rPr>
            <sz val="9"/>
            <color indexed="81"/>
            <rFont val="Segoe UI"/>
            <family val="2"/>
          </rPr>
          <t>Não encontrado itens equivalentes no programa antigo</t>
        </r>
      </text>
    </comment>
    <comment ref="C30" authorId="0" shapeId="0" xr:uid="{E27B9793-F908-4F6A-A300-50DB90AFA6C1}">
      <text>
        <r>
          <rPr>
            <sz val="9"/>
            <color indexed="81"/>
            <rFont val="Segoe UI"/>
            <family val="2"/>
          </rPr>
          <t>Não encontrado itens equivalentes no programa antigo</t>
        </r>
      </text>
    </comment>
    <comment ref="C50" authorId="0" shapeId="0" xr:uid="{1A849D67-31D2-45A7-9A52-3EF5E590ABD6}">
      <text>
        <r>
          <rPr>
            <sz val="9"/>
            <color indexed="81"/>
            <rFont val="Segoe UI"/>
            <family val="2"/>
          </rPr>
          <t>Especialidade de Metereologia</t>
        </r>
      </text>
    </comment>
    <comment ref="C51" authorId="0" shapeId="0" xr:uid="{A9E0765C-B63D-4D39-994D-57574387ED71}">
      <text>
        <r>
          <rPr>
            <sz val="9"/>
            <color indexed="81"/>
            <rFont val="Segoe UI"/>
            <family val="2"/>
          </rPr>
          <t>R39</t>
        </r>
      </text>
    </comment>
    <comment ref="C52" authorId="0" shapeId="0" xr:uid="{93EFDBC6-FB08-467D-BA8B-4515043B5BD3}">
      <text>
        <r>
          <rPr>
            <sz val="9"/>
            <color indexed="81"/>
            <rFont val="Segoe UI"/>
            <family val="2"/>
          </rPr>
          <t>P96</t>
        </r>
      </text>
    </comment>
    <comment ref="C53" authorId="0" shapeId="0" xr:uid="{0DEE2959-749F-4479-AB13-685385C0607D}">
      <text>
        <r>
          <rPr>
            <sz val="9"/>
            <color indexed="81"/>
            <rFont val="Segoe UI"/>
            <family val="2"/>
          </rPr>
          <t>R100</t>
        </r>
      </text>
    </comment>
    <comment ref="C54" authorId="0" shapeId="0" xr:uid="{00AEB585-E152-4CA0-8006-ADEC3318A7C5}">
      <text>
        <r>
          <rPr>
            <sz val="9"/>
            <color indexed="81"/>
            <rFont val="Segoe UI"/>
            <family val="2"/>
          </rPr>
          <t>Não encontrado itens equivalentes no programa antigo</t>
        </r>
      </text>
    </comment>
    <comment ref="C55" authorId="0" shapeId="0" xr:uid="{212195CD-721B-4DD5-B886-07FB8B77202E}">
      <text>
        <r>
          <rPr>
            <sz val="9"/>
            <color indexed="81"/>
            <rFont val="Segoe UI"/>
            <family val="2"/>
          </rPr>
          <t>R101</t>
        </r>
      </text>
    </comment>
    <comment ref="C56" authorId="0" shapeId="0" xr:uid="{E6F4A15E-89EF-4C05-8C19-041DC68B1B82}">
      <text>
        <r>
          <rPr>
            <sz val="9"/>
            <color indexed="81"/>
            <rFont val="Segoe UI"/>
            <family val="2"/>
          </rPr>
          <t>P94 ao P96</t>
        </r>
      </text>
    </comment>
    <comment ref="C57" authorId="0" shapeId="0" xr:uid="{364AE64E-667C-4AE8-B029-B0F61712E62D}">
      <text>
        <r>
          <rPr>
            <sz val="9"/>
            <color indexed="81"/>
            <rFont val="Segoe UI"/>
            <family val="2"/>
          </rPr>
          <t>Não encontrado itens equivalentes no programa antigo</t>
        </r>
      </text>
    </comment>
    <comment ref="C76" authorId="0" shapeId="0" xr:uid="{39294771-AF48-4520-88B4-BEF8E80F6D15}">
      <text>
        <r>
          <rPr>
            <sz val="9"/>
            <color indexed="81"/>
            <rFont val="Segoe UI"/>
            <family val="2"/>
          </rPr>
          <t>P94 + 95 +96</t>
        </r>
      </text>
    </comment>
    <comment ref="C80" authorId="0" shapeId="0" xr:uid="{50ED588A-3372-4FC7-9374-EC89149A0AFD}">
      <text>
        <r>
          <rPr>
            <sz val="9"/>
            <color indexed="81"/>
            <rFont val="Segoe UI"/>
            <family val="2"/>
          </rPr>
          <t>R4</t>
        </r>
      </text>
    </comment>
    <comment ref="C81" authorId="0" shapeId="0" xr:uid="{34DE68EA-4966-4296-BE6F-BE763F3B685E}">
      <text>
        <r>
          <rPr>
            <sz val="9"/>
            <color indexed="81"/>
            <rFont val="Segoe UI"/>
            <family val="2"/>
          </rPr>
          <t>R100 a R102</t>
        </r>
      </text>
    </comment>
    <comment ref="C82" authorId="0" shapeId="0" xr:uid="{7D7C1EA2-AC6F-4DBF-9C8A-E7B36B372C50}">
      <text>
        <r>
          <rPr>
            <sz val="9"/>
            <color indexed="81"/>
            <rFont val="Segoe UI"/>
            <family val="2"/>
          </rPr>
          <t>P96</t>
        </r>
      </text>
    </comment>
    <comment ref="C83" authorId="0" shapeId="0" xr:uid="{33F4FA22-805F-46A7-94F5-38F287B41EF1}">
      <text>
        <r>
          <rPr>
            <sz val="9"/>
            <color indexed="81"/>
            <rFont val="Segoe UI"/>
            <family val="2"/>
          </rPr>
          <t>R102</t>
        </r>
      </text>
    </comment>
    <comment ref="C84" authorId="0" shapeId="0" xr:uid="{4ACEB355-1606-4F68-A69B-2216635AFBC2}">
      <text>
        <r>
          <rPr>
            <sz val="9"/>
            <color indexed="81"/>
            <rFont val="Segoe UI"/>
            <family val="2"/>
          </rPr>
          <t>Não encontrado itens equivalentes no programa antigo</t>
        </r>
      </text>
    </comment>
    <comment ref="C85" authorId="0" shapeId="0" xr:uid="{396F29CF-2D4B-4012-B1DB-415A897A64AA}">
      <text>
        <r>
          <rPr>
            <sz val="9"/>
            <color indexed="81"/>
            <rFont val="Segoe UI"/>
            <family val="2"/>
          </rPr>
          <t>Não encontrado itens equivalentes no programa antigo</t>
        </r>
      </text>
    </comment>
    <comment ref="C86" authorId="0" shapeId="0" xr:uid="{3FE8F7DC-32BA-4756-A501-5B5A24EE1CBE}">
      <text>
        <r>
          <rPr>
            <sz val="9"/>
            <color indexed="81"/>
            <rFont val="Segoe UI"/>
            <family val="2"/>
          </rPr>
          <t>Não encontrado itens equivalentes no programa antigo</t>
        </r>
      </text>
    </comment>
    <comment ref="C87" authorId="0" shapeId="0" xr:uid="{F9DB023E-002B-4A99-BAEC-61FF0E41F631}">
      <text>
        <r>
          <rPr>
            <sz val="9"/>
            <color indexed="81"/>
            <rFont val="Segoe UI"/>
            <family val="2"/>
          </rPr>
          <t>R100</t>
        </r>
      </text>
    </comment>
    <comment ref="C88" authorId="0" shapeId="0" xr:uid="{17D48DA6-4762-41B1-8C40-E76EB8B5D1E1}">
      <text>
        <r>
          <rPr>
            <sz val="9"/>
            <color indexed="81"/>
            <rFont val="Segoe UI"/>
            <family val="2"/>
          </rPr>
          <t>Não encontrado itens equivalentes no programa antigo</t>
        </r>
      </text>
    </comment>
    <comment ref="C89" authorId="0" shapeId="0" xr:uid="{EA20A2B5-0A1D-4846-ADC9-07BF0CA7053B}">
      <text>
        <r>
          <rPr>
            <sz val="9"/>
            <color indexed="81"/>
            <rFont val="Segoe UI"/>
            <family val="2"/>
          </rPr>
          <t>Não encontrado itens equivalentes no programa antigo</t>
        </r>
      </text>
    </comment>
    <comment ref="C116" authorId="0" shapeId="0" xr:uid="{8D397883-BD42-4211-AFFD-AA6BB5A5B0D6}">
      <text>
        <r>
          <rPr>
            <sz val="9"/>
            <color indexed="81"/>
            <rFont val="Segoe UI"/>
            <family val="2"/>
          </rPr>
          <t>R43</t>
        </r>
      </text>
    </comment>
    <comment ref="C117" authorId="0" shapeId="0" xr:uid="{4E88C9DC-16C5-4A26-85F1-1F768EF75944}">
      <text>
        <r>
          <rPr>
            <sz val="9"/>
            <color indexed="81"/>
            <rFont val="Segoe UI"/>
            <family val="2"/>
          </rPr>
          <t>P40 ou R43</t>
        </r>
      </text>
    </comment>
    <comment ref="C118" authorId="0" shapeId="0" xr:uid="{AE64C07D-71EA-4449-AEF8-4BCD52B0FA09}">
      <text>
        <r>
          <rPr>
            <sz val="9"/>
            <color indexed="81"/>
            <rFont val="Segoe UI"/>
            <family val="2"/>
          </rPr>
          <t>Especialidade de Acampamento</t>
        </r>
      </text>
    </comment>
    <comment ref="C119" authorId="0" shapeId="0" xr:uid="{E9E88A4C-88CA-4B70-9527-90C05CB58C49}">
      <text>
        <r>
          <rPr>
            <sz val="9"/>
            <color indexed="81"/>
            <rFont val="Segoe UI"/>
            <family val="2"/>
          </rPr>
          <t>P41</t>
        </r>
      </text>
    </comment>
    <comment ref="C120" authorId="0" shapeId="0" xr:uid="{1C2F85DD-CCE4-4EF0-A9F1-682C957B0090}">
      <text>
        <r>
          <rPr>
            <sz val="9"/>
            <color indexed="81"/>
            <rFont val="Segoe UI"/>
            <family val="2"/>
          </rPr>
          <t>R14</t>
        </r>
      </text>
    </comment>
    <comment ref="C121" authorId="0" shapeId="0" xr:uid="{E3BD4B2C-7E5E-4543-BAB8-787CAC26E85B}">
      <text>
        <r>
          <rPr>
            <sz val="9"/>
            <color indexed="81"/>
            <rFont val="Segoe UI"/>
            <family val="2"/>
          </rPr>
          <t>P1 ou R1</t>
        </r>
      </text>
    </comment>
    <comment ref="C122" authorId="0" shapeId="0" xr:uid="{17E41E2C-9CD0-4AD9-A698-65F9D55B9AAA}">
      <text>
        <r>
          <rPr>
            <sz val="9"/>
            <color indexed="81"/>
            <rFont val="Segoe UI"/>
            <family val="2"/>
          </rPr>
          <t xml:space="preserve">P1 ou P94 ou R1 </t>
        </r>
      </text>
    </comment>
    <comment ref="C125" authorId="0" shapeId="0" xr:uid="{40E9F17D-218E-4363-95EB-6ED75D47EF2A}">
      <text>
        <r>
          <rPr>
            <sz val="9"/>
            <color indexed="81"/>
            <rFont val="Segoe UI"/>
            <family val="2"/>
          </rPr>
          <t>P22 ou R23</t>
        </r>
      </text>
    </comment>
    <comment ref="C129" authorId="0" shapeId="0" xr:uid="{7217DFF3-6DA3-4842-8ECD-ADB2F4A4BD43}">
      <text>
        <r>
          <rPr>
            <sz val="9"/>
            <color indexed="81"/>
            <rFont val="Segoe UI"/>
            <family val="2"/>
          </rPr>
          <t>P21 ou R21</t>
        </r>
      </text>
    </comment>
    <comment ref="C130" authorId="0" shapeId="0" xr:uid="{E2A15E11-7CF1-46E2-8FCC-3EE0CBD7A51A}">
      <text>
        <r>
          <rPr>
            <sz val="9"/>
            <color indexed="81"/>
            <rFont val="Segoe UI"/>
            <family val="2"/>
          </rPr>
          <t>P12 a P15  ou  R12 a R14</t>
        </r>
      </text>
    </comment>
    <comment ref="C131" authorId="0" shapeId="0" xr:uid="{10C1288D-FA14-4E2C-AEF2-67034F4525ED}">
      <text>
        <r>
          <rPr>
            <sz val="9"/>
            <color indexed="81"/>
            <rFont val="Segoe UI"/>
            <family val="2"/>
          </rPr>
          <t>P14</t>
        </r>
      </text>
    </comment>
    <comment ref="C132" authorId="0" shapeId="0" xr:uid="{E3C293C8-67D2-4006-A4A1-73E3CEA021D9}">
      <text>
        <r>
          <rPr>
            <sz val="9"/>
            <color indexed="81"/>
            <rFont val="Segoe UI"/>
            <family val="2"/>
          </rPr>
          <t>P23</t>
        </r>
      </text>
    </comment>
    <comment ref="C133" authorId="0" shapeId="0" xr:uid="{D1583F55-FFEF-4023-847B-B3959D7265B3}">
      <text>
        <r>
          <rPr>
            <sz val="9"/>
            <color indexed="81"/>
            <rFont val="Segoe UI"/>
            <family val="2"/>
          </rPr>
          <t>P42</t>
        </r>
      </text>
    </comment>
    <comment ref="C134" authorId="0" shapeId="0" xr:uid="{2EB3EA9A-F8CD-4412-B0F0-2952FE15BA40}">
      <text>
        <r>
          <rPr>
            <sz val="9"/>
            <color indexed="81"/>
            <rFont val="Segoe UI"/>
            <family val="2"/>
          </rPr>
          <t>R46</t>
        </r>
      </text>
    </comment>
    <comment ref="C135" authorId="0" shapeId="0" xr:uid="{B382ADB7-7444-4738-B38F-2F3CBEE75FED}">
      <text>
        <r>
          <rPr>
            <sz val="9"/>
            <color indexed="81"/>
            <rFont val="Segoe UI"/>
            <family val="2"/>
          </rPr>
          <t>R45</t>
        </r>
      </text>
    </comment>
    <comment ref="C136" authorId="0" shapeId="0" xr:uid="{EF247394-6E13-4B84-A08D-4ED0A78DE6AA}">
      <text>
        <r>
          <rPr>
            <sz val="9"/>
            <color indexed="81"/>
            <rFont val="Segoe UI"/>
            <family val="2"/>
          </rPr>
          <t>Não encontrado itens equivalentes no programa antigo</t>
        </r>
      </text>
    </comment>
    <comment ref="C137" authorId="0" shapeId="0" xr:uid="{E54112D3-2B55-42AE-AE02-5D1DFDFFCBED}">
      <text>
        <r>
          <rPr>
            <sz val="9"/>
            <color indexed="81"/>
            <rFont val="Segoe UI"/>
            <family val="2"/>
          </rPr>
          <t>R43</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Fernando Mendes</author>
  </authors>
  <commentList>
    <comment ref="C11" authorId="0" shapeId="0" xr:uid="{29E94A96-6219-4341-9EFD-230B951621C4}">
      <text>
        <r>
          <rPr>
            <sz val="9"/>
            <color indexed="81"/>
            <rFont val="Segoe UI"/>
            <family val="2"/>
          </rPr>
          <t>R91</t>
        </r>
      </text>
    </comment>
    <comment ref="C12" authorId="0" shapeId="0" xr:uid="{279157FD-A498-4D81-8A56-7D6667202742}">
      <text>
        <r>
          <rPr>
            <sz val="9"/>
            <color indexed="81"/>
            <rFont val="Segoe UI"/>
            <family val="2"/>
          </rPr>
          <t>R4 a R7</t>
        </r>
      </text>
    </comment>
    <comment ref="C16" authorId="0" shapeId="0" xr:uid="{EF345F1F-D2E4-4276-86F8-24BA820D2D86}">
      <text>
        <r>
          <rPr>
            <sz val="9"/>
            <color indexed="81"/>
            <rFont val="Segoe UI"/>
            <family val="2"/>
          </rPr>
          <t>R33</t>
        </r>
      </text>
    </comment>
    <comment ref="C17" authorId="0" shapeId="0" xr:uid="{B3CE11AA-1547-4CCA-9BC2-4B350DCDFE0C}">
      <text>
        <r>
          <rPr>
            <sz val="9"/>
            <color indexed="81"/>
            <rFont val="Segoe UI"/>
            <family val="2"/>
          </rPr>
          <t>P80 e 81  OU  R70</t>
        </r>
      </text>
    </comment>
    <comment ref="C18" authorId="0" shapeId="0" xr:uid="{07E9A50D-7866-4558-B3F4-9BA906C29742}">
      <text>
        <r>
          <rPr>
            <sz val="9"/>
            <color indexed="81"/>
            <rFont val="Segoe UI"/>
            <family val="2"/>
          </rPr>
          <t>R60</t>
        </r>
      </text>
    </comment>
    <comment ref="C19" authorId="0" shapeId="0" xr:uid="{DFBAF2FA-B30D-4E50-A00B-1B391C711DE7}">
      <text>
        <r>
          <rPr>
            <sz val="9"/>
            <color indexed="81"/>
            <rFont val="Segoe UI"/>
            <family val="2"/>
          </rPr>
          <t>P80 e 81  OU  R70</t>
        </r>
      </text>
    </comment>
    <comment ref="C37" authorId="0" shapeId="0" xr:uid="{EC8FE36B-ABEF-4027-921A-9797A320E28B}">
      <text>
        <r>
          <rPr>
            <sz val="9"/>
            <color indexed="81"/>
            <rFont val="Segoe UI"/>
            <family val="2"/>
          </rPr>
          <t>R67</t>
        </r>
      </text>
    </comment>
    <comment ref="C38" authorId="0" shapeId="0" xr:uid="{2A6CD902-1796-483F-8F17-8B3A297ED0F9}">
      <text>
        <r>
          <rPr>
            <sz val="9"/>
            <color indexed="81"/>
            <rFont val="Segoe UI"/>
            <family val="2"/>
          </rPr>
          <t>P59 a 62</t>
        </r>
      </text>
    </comment>
    <comment ref="C39" authorId="0" shapeId="0" xr:uid="{C8A544C9-C738-497F-B16A-3D4145863663}">
      <text>
        <r>
          <rPr>
            <sz val="9"/>
            <color indexed="81"/>
            <rFont val="Segoe UI"/>
            <family val="2"/>
          </rPr>
          <t>P52 a 54</t>
        </r>
      </text>
    </comment>
    <comment ref="C43" authorId="0" shapeId="0" xr:uid="{11CED3B9-0F33-4B3D-8A59-38C64DF62AA5}">
      <text>
        <r>
          <rPr>
            <sz val="9"/>
            <color indexed="81"/>
            <rFont val="Segoe UI"/>
            <family val="2"/>
          </rPr>
          <t>R82</t>
        </r>
      </text>
    </comment>
    <comment ref="C44" authorId="0" shapeId="0" xr:uid="{280BCD19-222F-480E-A26C-8FE9AC62CDF0}">
      <text>
        <r>
          <rPr>
            <sz val="9"/>
            <color indexed="81"/>
            <rFont val="Segoe UI"/>
            <family val="2"/>
          </rPr>
          <t>P79 ou R84</t>
        </r>
      </text>
    </comment>
    <comment ref="C45" authorId="0" shapeId="0" xr:uid="{731074A2-BA76-48FB-9389-652A14B8F2D3}">
      <text>
        <r>
          <rPr>
            <sz val="9"/>
            <color indexed="81"/>
            <rFont val="Segoe UI"/>
            <family val="2"/>
          </rPr>
          <t>Não encontrado itens equivalentes no programa antigo</t>
        </r>
      </text>
    </comment>
    <comment ref="C46" authorId="0" shapeId="0" xr:uid="{13B6A2CD-4AAE-4715-9E96-E91A777646A5}">
      <text>
        <r>
          <rPr>
            <sz val="9"/>
            <color indexed="81"/>
            <rFont val="Segoe UI"/>
            <family val="2"/>
          </rPr>
          <t>R81 a 83</t>
        </r>
      </text>
    </comment>
    <comment ref="C61" authorId="0" shapeId="0" xr:uid="{D4DB8C3D-1150-4AC8-91EA-B6B3EC5B714E}">
      <text>
        <r>
          <rPr>
            <sz val="9"/>
            <color indexed="81"/>
            <rFont val="Segoe UI"/>
            <family val="2"/>
          </rPr>
          <t>P47</t>
        </r>
      </text>
    </comment>
    <comment ref="C65" authorId="0" shapeId="0" xr:uid="{D70B0916-5163-4F68-8F75-65B731693C7B}">
      <text>
        <r>
          <rPr>
            <sz val="9"/>
            <color indexed="81"/>
            <rFont val="Segoe UI"/>
            <family val="2"/>
          </rPr>
          <t>Especialidade Genealogia</t>
        </r>
      </text>
    </comment>
    <comment ref="C66" authorId="0" shapeId="0" xr:uid="{1723B8A1-0770-41A9-A86C-C3AC7991D077}">
      <text>
        <r>
          <rPr>
            <sz val="9"/>
            <color indexed="81"/>
            <rFont val="Segoe UI"/>
            <family val="2"/>
          </rPr>
          <t>P47 ou R81</t>
        </r>
      </text>
    </comment>
    <comment ref="C67" authorId="0" shapeId="0" xr:uid="{027A8D65-2224-452A-BE46-B4FD3834B6B7}">
      <text>
        <r>
          <rPr>
            <sz val="9"/>
            <color indexed="81"/>
            <rFont val="Segoe UI"/>
            <family val="2"/>
          </rPr>
          <t>P67</t>
        </r>
      </text>
    </comment>
    <comment ref="C68" authorId="0" shapeId="0" xr:uid="{08FA2F5D-2350-481A-9E7F-628C3A4C31BB}">
      <text>
        <r>
          <rPr>
            <sz val="9"/>
            <color indexed="81"/>
            <rFont val="Segoe UI"/>
            <family val="2"/>
          </rPr>
          <t>P84</t>
        </r>
      </text>
    </comment>
    <comment ref="C69" authorId="0" shapeId="0" xr:uid="{AA52115A-D082-49F2-9A50-1E56736B4349}">
      <text>
        <r>
          <rPr>
            <sz val="9"/>
            <color indexed="81"/>
            <rFont val="Segoe UI"/>
            <family val="2"/>
          </rPr>
          <t>R90</t>
        </r>
      </text>
    </comment>
    <comment ref="C70" authorId="0" shapeId="0" xr:uid="{C00D75A2-CCE6-4F4E-814C-B2AADBB6BBD4}">
      <text>
        <r>
          <rPr>
            <sz val="9"/>
            <color indexed="81"/>
            <rFont val="Segoe UI"/>
            <family val="2"/>
          </rPr>
          <t>P85  OU   R99</t>
        </r>
      </text>
    </comment>
    <comment ref="C71" authorId="0" shapeId="0" xr:uid="{7936F5F5-55F1-4518-A642-D2765EDC9A3A}">
      <text>
        <r>
          <rPr>
            <sz val="9"/>
            <color indexed="81"/>
            <rFont val="Segoe UI"/>
            <family val="2"/>
          </rPr>
          <t>P86</t>
        </r>
      </text>
    </comment>
    <comment ref="C72" authorId="0" shapeId="0" xr:uid="{BDDEC2DC-F9EB-42C6-9955-A97D7933A727}">
      <text>
        <r>
          <rPr>
            <sz val="9"/>
            <color indexed="81"/>
            <rFont val="Segoe UI"/>
            <family val="2"/>
          </rPr>
          <t>P84 a 87</t>
        </r>
      </text>
    </comment>
    <comment ref="C73" authorId="0" shapeId="0" xr:uid="{DFF8A812-443D-4548-A102-5F33E1BCF28D}">
      <text>
        <r>
          <rPr>
            <sz val="9"/>
            <color indexed="81"/>
            <rFont val="Segoe UI"/>
            <family val="2"/>
          </rPr>
          <t>R92</t>
        </r>
      </text>
    </comment>
    <comment ref="C74" authorId="0" shapeId="0" xr:uid="{008AC8E6-DE44-49CE-B9E0-AF7BCBC9E56B}">
      <text>
        <r>
          <rPr>
            <sz val="9"/>
            <color indexed="81"/>
            <rFont val="Segoe UI"/>
            <family val="2"/>
          </rPr>
          <t>R93</t>
        </r>
      </text>
    </comment>
    <comment ref="C75" authorId="0" shapeId="0" xr:uid="{7AEF287A-1B92-4258-B7C9-6A1D8DAB3BB6}">
      <text>
        <r>
          <rPr>
            <sz val="9"/>
            <color indexed="81"/>
            <rFont val="Segoe UI"/>
            <family val="2"/>
          </rPr>
          <t>R94</t>
        </r>
      </text>
    </comment>
    <comment ref="C76" authorId="0" shapeId="0" xr:uid="{34837962-2575-4AF2-BD94-DE102A9C68A7}">
      <text>
        <r>
          <rPr>
            <sz val="9"/>
            <color indexed="81"/>
            <rFont val="Segoe UI"/>
            <family val="2"/>
          </rPr>
          <t xml:space="preserve">P84 ou P85
</t>
        </r>
      </text>
    </comment>
    <comment ref="C115" authorId="0" shapeId="0" xr:uid="{E09C3592-C04E-481E-92FA-33D474DE7211}">
      <text>
        <r>
          <rPr>
            <sz val="9"/>
            <color indexed="81"/>
            <rFont val="Segoe UI"/>
            <family val="2"/>
          </rPr>
          <t>P71 e 72   OU    P92 e 93   OU  R78 a 80</t>
        </r>
      </text>
    </comment>
    <comment ref="C121" authorId="0" shapeId="0" xr:uid="{6D5E88B0-1BBB-4873-AB14-0F10479CB2D5}">
      <text>
        <r>
          <rPr>
            <sz val="9"/>
            <color indexed="81"/>
            <rFont val="Segoe UI"/>
            <family val="2"/>
          </rPr>
          <t>R111</t>
        </r>
      </text>
    </comment>
    <comment ref="C122" authorId="0" shapeId="0" xr:uid="{3775D529-3388-4F24-9B7A-7E3F43ED0AA5}">
      <text>
        <r>
          <rPr>
            <sz val="9"/>
            <color indexed="81"/>
            <rFont val="Segoe UI"/>
            <family val="2"/>
          </rPr>
          <t>R112 e 113</t>
        </r>
      </text>
    </comment>
    <comment ref="C123" authorId="0" shapeId="0" xr:uid="{9DD58CA4-9AF0-4929-AF1C-334A1E1AB930}">
      <text>
        <r>
          <rPr>
            <sz val="9"/>
            <color indexed="81"/>
            <rFont val="Segoe UI"/>
            <family val="2"/>
          </rPr>
          <t>P107 e 108   OU  R 112 e 113</t>
        </r>
      </text>
    </comment>
    <comment ref="C124" authorId="0" shapeId="0" xr:uid="{3B60B568-CFC9-4DA5-84FF-0DD4BFDEADE6}">
      <text>
        <r>
          <rPr>
            <sz val="9"/>
            <color indexed="81"/>
            <rFont val="Segoe UI"/>
            <family val="2"/>
          </rPr>
          <t>R68</t>
        </r>
      </text>
    </comment>
    <comment ref="C125" authorId="0" shapeId="0" xr:uid="{0F130D6F-93CE-416A-96C8-AB3222B340E7}">
      <text>
        <r>
          <rPr>
            <sz val="9"/>
            <color indexed="81"/>
            <rFont val="Segoe UI"/>
            <family val="2"/>
          </rPr>
          <t>P107</t>
        </r>
      </text>
    </comment>
    <comment ref="C126" authorId="0" shapeId="0" xr:uid="{84A40EC3-EBF4-4067-9B50-01086F527F20}">
      <text>
        <r>
          <rPr>
            <sz val="9"/>
            <color indexed="81"/>
            <rFont val="Segoe UI"/>
            <family val="2"/>
          </rPr>
          <t>P100  ou  R111</t>
        </r>
      </text>
    </comment>
    <comment ref="C127" authorId="0" shapeId="0" xr:uid="{A216BBDA-0D16-48A0-AFE4-C3F3851A4FA7}">
      <text>
        <r>
          <rPr>
            <sz val="9"/>
            <color indexed="81"/>
            <rFont val="Segoe UI"/>
            <family val="2"/>
          </rPr>
          <t>P107 e 108   OU   R112 e 113</t>
        </r>
      </text>
    </comment>
    <comment ref="C128" authorId="0" shapeId="0" xr:uid="{BB8CD485-32DF-4F99-AEAD-7F98260F7454}">
      <text>
        <r>
          <rPr>
            <sz val="9"/>
            <color indexed="81"/>
            <rFont val="Segoe UI"/>
            <family val="2"/>
          </rPr>
          <t>R113</t>
        </r>
      </text>
    </comment>
    <comment ref="C151" authorId="0" shapeId="0" xr:uid="{415D8FD4-E27B-4F32-9182-63C9B8E74004}">
      <text>
        <r>
          <rPr>
            <sz val="9"/>
            <color indexed="81"/>
            <rFont val="Segoe UI"/>
            <family val="2"/>
          </rPr>
          <t>P46 e 47  ou  R56</t>
        </r>
      </text>
    </comment>
    <comment ref="C155" authorId="0" shapeId="0" xr:uid="{C7B96666-D60C-4D05-B836-D1866D70F105}">
      <text>
        <r>
          <rPr>
            <sz val="9"/>
            <color indexed="81"/>
            <rFont val="Segoe UI"/>
            <family val="2"/>
          </rPr>
          <t>P44</t>
        </r>
      </text>
    </comment>
    <comment ref="C156" authorId="0" shapeId="0" xr:uid="{EE5F332A-6B17-42AA-83EA-752950D88D87}">
      <text>
        <r>
          <rPr>
            <sz val="9"/>
            <color indexed="81"/>
            <rFont val="Segoe UI"/>
            <family val="2"/>
          </rPr>
          <t>P46</t>
        </r>
      </text>
    </comment>
    <comment ref="C157" authorId="0" shapeId="0" xr:uid="{B1D9EFF2-7E91-48C5-B26B-17FEA323A99C}">
      <text>
        <r>
          <rPr>
            <sz val="9"/>
            <color indexed="81"/>
            <rFont val="Segoe UI"/>
            <family val="2"/>
          </rPr>
          <t>P63  OU  R55</t>
        </r>
      </text>
    </comment>
    <comment ref="C158" authorId="0" shapeId="0" xr:uid="{3352BD64-B0E4-423A-B5FB-6003B1D0D42D}">
      <text>
        <r>
          <rPr>
            <sz val="9"/>
            <color indexed="81"/>
            <rFont val="Segoe UI"/>
            <family val="2"/>
          </rPr>
          <t>P88</t>
        </r>
      </text>
    </comment>
    <comment ref="C159" authorId="0" shapeId="0" xr:uid="{F4E0E68E-21C1-4F32-8055-8FB539FC4890}">
      <text>
        <r>
          <rPr>
            <sz val="9"/>
            <color indexed="81"/>
            <rFont val="Segoe UI"/>
            <family val="2"/>
          </rPr>
          <t>P36</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Fernando Mendes</author>
  </authors>
  <commentList>
    <comment ref="C11" authorId="0" shapeId="0" xr:uid="{0B5BF67B-8575-474F-BB45-5EE9F095B025}">
      <text>
        <r>
          <rPr>
            <sz val="9"/>
            <color indexed="81"/>
            <rFont val="Segoe UI"/>
            <family val="2"/>
          </rPr>
          <t>Especialidade de 1º socorros</t>
        </r>
      </text>
    </comment>
    <comment ref="C12" authorId="0" shapeId="0" xr:uid="{95D900C5-236A-41FF-B8BF-4A698E7E9D94}">
      <text>
        <r>
          <rPr>
            <sz val="9"/>
            <color indexed="81"/>
            <rFont val="Segoe UI"/>
            <family val="2"/>
          </rPr>
          <t>Especialidade de 1º socorros   ou    P5    ou R4 a R7</t>
        </r>
      </text>
    </comment>
    <comment ref="C15" authorId="0" shapeId="0" xr:uid="{C63AAD6A-B2AC-4ECB-9525-14BACD16A82F}">
      <text>
        <r>
          <rPr>
            <sz val="9"/>
            <color indexed="81"/>
            <rFont val="Segoe UI"/>
            <family val="2"/>
          </rPr>
          <t>P6   ou   R1 a R3</t>
        </r>
      </text>
    </comment>
    <comment ref="C19" authorId="0" shapeId="0" xr:uid="{78DA7C73-A7CF-4667-BAE8-18EA33715EA5}">
      <text>
        <r>
          <rPr>
            <sz val="9"/>
            <color indexed="81"/>
            <rFont val="Segoe UI"/>
            <family val="2"/>
          </rPr>
          <t>P3</t>
        </r>
      </text>
    </comment>
    <comment ref="C20" authorId="0" shapeId="0" xr:uid="{793F512A-A1B0-4235-AE4F-BABF8D8B0FA7}">
      <text>
        <r>
          <rPr>
            <sz val="9"/>
            <color indexed="81"/>
            <rFont val="Segoe UI"/>
            <family val="2"/>
          </rPr>
          <t>P55  ou   R2</t>
        </r>
      </text>
    </comment>
    <comment ref="C21" authorId="0" shapeId="0" xr:uid="{FBE5D98E-CC5E-4FAE-919A-1471EF41859E}">
      <text>
        <r>
          <rPr>
            <sz val="9"/>
            <color indexed="81"/>
            <rFont val="Segoe UI"/>
            <family val="2"/>
          </rPr>
          <t>Especialidade de 1º socorros</t>
        </r>
      </text>
    </comment>
    <comment ref="C22" authorId="0" shapeId="0" xr:uid="{AF561EBE-8BBD-4DB7-8769-7D91A4BC09EB}">
      <text>
        <r>
          <rPr>
            <sz val="9"/>
            <color indexed="81"/>
            <rFont val="Segoe UI"/>
            <family val="2"/>
          </rPr>
          <t>Especialidade de salvamento    ou   R6</t>
        </r>
      </text>
    </comment>
    <comment ref="C23" authorId="0" shapeId="0" xr:uid="{B9F7BFE8-3C1C-4ED4-BC68-706FA9B8AC8B}">
      <text>
        <r>
          <rPr>
            <sz val="9"/>
            <color indexed="81"/>
            <rFont val="Segoe UI"/>
            <family val="2"/>
          </rPr>
          <t>P7</t>
        </r>
      </text>
    </comment>
    <comment ref="C24" authorId="0" shapeId="0" xr:uid="{2FDFECD7-1DCE-4BD6-89F9-9F7AFE81FE5B}">
      <text>
        <r>
          <rPr>
            <sz val="9"/>
            <color indexed="81"/>
            <rFont val="Segoe UI"/>
            <family val="2"/>
          </rPr>
          <t>Especialidade de 1º socorros</t>
        </r>
      </text>
    </comment>
    <comment ref="C25" authorId="0" shapeId="0" xr:uid="{C88A03EC-0FCF-4780-980C-2900C24A0B89}">
      <text>
        <r>
          <rPr>
            <sz val="9"/>
            <color indexed="81"/>
            <rFont val="Segoe UI"/>
            <family val="2"/>
          </rPr>
          <t>P4</t>
        </r>
      </text>
    </comment>
    <comment ref="C26" authorId="0" shapeId="0" xr:uid="{2CAC2140-812D-438D-8C70-2A99AE036E71}">
      <text>
        <r>
          <rPr>
            <sz val="9"/>
            <color indexed="81"/>
            <rFont val="Segoe UI"/>
            <family val="2"/>
          </rPr>
          <t>R7 ou Especialidade de 1º socorros</t>
        </r>
      </text>
    </comment>
    <comment ref="C50" authorId="0" shapeId="0" xr:uid="{ACDCF260-7169-4A65-B202-89185BA40739}">
      <text>
        <r>
          <rPr>
            <sz val="9"/>
            <color indexed="81"/>
            <rFont val="Segoe UI"/>
            <family val="2"/>
          </rPr>
          <t>P99</t>
        </r>
      </text>
    </comment>
    <comment ref="C51" authorId="0" shapeId="0" xr:uid="{285554EE-EDE7-4381-AF16-668FA78F1517}">
      <text>
        <r>
          <rPr>
            <sz val="9"/>
            <color indexed="81"/>
            <rFont val="Segoe UI"/>
            <family val="2"/>
          </rPr>
          <t>P102</t>
        </r>
      </text>
    </comment>
    <comment ref="C52" authorId="0" shapeId="0" xr:uid="{79F6F939-544C-4DF5-9C72-B0093DC2DCFA}">
      <text>
        <r>
          <rPr>
            <sz val="9"/>
            <color indexed="81"/>
            <rFont val="Segoe UI"/>
            <family val="2"/>
          </rPr>
          <t>P98</t>
        </r>
      </text>
    </comment>
    <comment ref="C53" authorId="0" shapeId="0" xr:uid="{278F39F5-8E00-4B5B-B5A0-4C1E5B36DEC1}">
      <text>
        <r>
          <rPr>
            <sz val="9"/>
            <color indexed="81"/>
            <rFont val="Segoe UI"/>
            <family val="2"/>
          </rPr>
          <t>P105  ou  R103  ou  R109</t>
        </r>
      </text>
    </comment>
    <comment ref="C56" authorId="0" shapeId="0" xr:uid="{4965537A-B5F2-4A64-BDD8-AFC3782A084E}">
      <text>
        <r>
          <rPr>
            <sz val="9"/>
            <color indexed="81"/>
            <rFont val="Segoe UI"/>
            <family val="2"/>
          </rPr>
          <t>P108</t>
        </r>
      </text>
    </comment>
    <comment ref="C57" authorId="0" shapeId="0" xr:uid="{E9E08433-DB5B-406E-88BD-5D417C1A4331}">
      <text>
        <r>
          <rPr>
            <sz val="9"/>
            <color indexed="81"/>
            <rFont val="Segoe UI"/>
            <family val="2"/>
          </rPr>
          <t>P103  ou  R106</t>
        </r>
      </text>
    </comment>
    <comment ref="C72" authorId="0" shapeId="0" xr:uid="{4A712E56-8599-43C1-A1A3-8F45D92DC589}">
      <text>
        <r>
          <rPr>
            <sz val="9"/>
            <color indexed="81"/>
            <rFont val="Segoe UI"/>
            <family val="2"/>
          </rPr>
          <t>P12 ou R13</t>
        </r>
      </text>
    </comment>
    <comment ref="C73" authorId="0" shapeId="0" xr:uid="{5263C9CB-399A-4674-85E3-959B7F7AB672}">
      <text>
        <r>
          <rPr>
            <sz val="9"/>
            <color indexed="81"/>
            <rFont val="Segoe UI"/>
            <family val="2"/>
          </rPr>
          <t>R14</t>
        </r>
      </text>
    </comment>
    <comment ref="C77" authorId="0" shapeId="0" xr:uid="{55B0DD01-50AC-412C-882F-041FBE3B845E}">
      <text>
        <r>
          <rPr>
            <sz val="9"/>
            <color indexed="81"/>
            <rFont val="Segoe UI"/>
            <family val="2"/>
          </rPr>
          <t>P8 ou R10</t>
        </r>
      </text>
    </comment>
    <comment ref="C78" authorId="0" shapeId="0" xr:uid="{E1CDEFBF-7AEF-421F-B2E4-9176E8888E0D}">
      <text>
        <r>
          <rPr>
            <sz val="9"/>
            <color indexed="81"/>
            <rFont val="Segoe UI"/>
            <family val="2"/>
          </rPr>
          <t>P10 ou P53 ou R8</t>
        </r>
      </text>
    </comment>
    <comment ref="C81" authorId="0" shapeId="0" xr:uid="{AAB36F00-CA0E-4000-9B5E-8206AEA8445B}">
      <text>
        <r>
          <rPr>
            <sz val="9"/>
            <color indexed="81"/>
            <rFont val="Segoe UI"/>
            <family val="2"/>
          </rPr>
          <t>Três dentre os seguintes itens: P16 P17 R15 R16</t>
        </r>
      </text>
    </comment>
    <comment ref="C84" authorId="0" shapeId="0" xr:uid="{60BBB157-2862-4A38-AC48-E94F3DE62567}">
      <text>
        <r>
          <rPr>
            <sz val="9"/>
            <color indexed="81"/>
            <rFont val="Segoe UI"/>
            <family val="2"/>
          </rPr>
          <t>P19 ou R19</t>
        </r>
      </text>
    </comment>
    <comment ref="C85" authorId="0" shapeId="0" xr:uid="{AB735799-7EA5-493D-BEA9-5A00025E5E1A}">
      <text>
        <r>
          <rPr>
            <sz val="9"/>
            <color indexed="81"/>
            <rFont val="Segoe UI"/>
            <family val="2"/>
          </rPr>
          <t>P12 a P15   ou    R12 a R14</t>
        </r>
      </text>
    </comment>
    <comment ref="C86" authorId="0" shapeId="0" xr:uid="{B95A5D83-E104-4C0F-81A6-10C99C43E7DC}">
      <text>
        <r>
          <rPr>
            <sz val="9"/>
            <color indexed="81"/>
            <rFont val="Segoe UI"/>
            <family val="2"/>
          </rPr>
          <t>P1 a P3  ou  R1 a R3</t>
        </r>
      </text>
    </comment>
    <comment ref="C87" authorId="0" shapeId="0" xr:uid="{36141B4F-7E10-45E4-B47F-B8A21682AF54}">
      <text>
        <r>
          <rPr>
            <sz val="9"/>
            <color indexed="81"/>
            <rFont val="Segoe UI"/>
            <family val="2"/>
          </rPr>
          <t>Não encontrado itens equivalentes no programa antigo</t>
        </r>
      </text>
    </comment>
    <comment ref="C88" authorId="0" shapeId="0" xr:uid="{3C65D4F8-7AC3-499E-9F84-A9A65A02910C}">
      <text>
        <r>
          <rPr>
            <sz val="9"/>
            <color indexed="81"/>
            <rFont val="Segoe UI"/>
            <family val="2"/>
          </rPr>
          <t>P66</t>
        </r>
      </text>
    </comment>
    <comment ref="C131" authorId="0" shapeId="0" xr:uid="{9904DDCF-2BC5-45AF-868F-FB04D73B577F}">
      <text>
        <r>
          <rPr>
            <sz val="9"/>
            <color indexed="81"/>
            <rFont val="Segoe UI"/>
            <family val="2"/>
          </rPr>
          <t>Não encontrado itens equivalentes no programa antigo</t>
        </r>
      </text>
    </comment>
    <comment ref="C132" authorId="0" shapeId="0" xr:uid="{14ECFE39-03EE-4809-9EF2-6C119B35BEB0}">
      <text>
        <r>
          <rPr>
            <sz val="9"/>
            <color indexed="81"/>
            <rFont val="Segoe UI"/>
            <family val="2"/>
          </rPr>
          <t>P55 a P58</t>
        </r>
      </text>
    </comment>
    <comment ref="C136" authorId="0" shapeId="0" xr:uid="{5ACC99AE-B6BA-4356-BCBE-7270C8B629CE}">
      <text>
        <r>
          <rPr>
            <sz val="9"/>
            <color indexed="81"/>
            <rFont val="Segoe UI"/>
            <family val="2"/>
          </rPr>
          <t>Não encontrado itens equivalentes no programa antigo</t>
        </r>
      </text>
    </comment>
    <comment ref="C137" authorId="0" shapeId="0" xr:uid="{B0D2632C-F158-478B-8B86-C4391259DE85}">
      <text>
        <r>
          <rPr>
            <sz val="9"/>
            <color indexed="81"/>
            <rFont val="Segoe UI"/>
            <family val="2"/>
          </rPr>
          <t xml:space="preserve">Não encontrado itens equivalentes no programa antigo
</t>
        </r>
      </text>
    </comment>
    <comment ref="C138" authorId="0" shapeId="0" xr:uid="{A5D305E7-2A0C-4F49-BA8A-E4E352B065CB}">
      <text>
        <r>
          <rPr>
            <sz val="9"/>
            <color indexed="81"/>
            <rFont val="Segoe UI"/>
            <family val="2"/>
          </rPr>
          <t xml:space="preserve">R15 a 18
</t>
        </r>
      </text>
    </comment>
    <comment ref="C139" authorId="0" shapeId="0" xr:uid="{08D13F5D-9A86-4D6F-9FC2-6050C8E133BF}">
      <text>
        <r>
          <rPr>
            <sz val="9"/>
            <color indexed="81"/>
            <rFont val="Segoe UI"/>
            <family val="2"/>
          </rPr>
          <t xml:space="preserve">Não encontrado itens equivalentes no programa antigo
</t>
        </r>
      </text>
    </comment>
    <comment ref="C140" authorId="0" shapeId="0" xr:uid="{812B7912-B7AB-4BCA-A304-61ED7E1B5187}">
      <text>
        <r>
          <rPr>
            <sz val="9"/>
            <color indexed="81"/>
            <rFont val="Segoe UI"/>
            <family val="2"/>
          </rPr>
          <t xml:space="preserve">Não encontrado itens equivalentes no programa antigo
</t>
        </r>
      </text>
    </comment>
    <comment ref="C160" authorId="0" shapeId="0" xr:uid="{956F8E32-9847-4345-B1B3-D0A823C80DC1}">
      <text>
        <r>
          <rPr>
            <sz val="9"/>
            <color indexed="81"/>
            <rFont val="Segoe UI"/>
            <family val="2"/>
          </rPr>
          <t>Especialidade nova, devido junção de Prevenção ao Alcoolismo e Prevenção ao uso de drogras.
Por equiparação consideramos para validar este item se o jovem possuir tanto especialodades de prevenção ao alcoolismo quanto prevenção ao uso de drogas (uma das duas já é o suficiente para validar por equiparação este item)</t>
        </r>
      </text>
    </comment>
    <comment ref="C173" authorId="0" shapeId="0" xr:uid="{4EA0763B-F63C-4D8F-BE68-9D9F2CBB4D35}">
      <text>
        <r>
          <rPr>
            <sz val="9"/>
            <color indexed="81"/>
            <rFont val="Segoe UI"/>
            <family val="2"/>
          </rPr>
          <t>Especialidade Prevenção ao Bullying</t>
        </r>
      </text>
    </comment>
    <comment ref="C177" authorId="0" shapeId="0" xr:uid="{9040B307-D601-4C02-BE69-8E1634AB9A1C}">
      <text>
        <r>
          <rPr>
            <sz val="9"/>
            <color indexed="81"/>
            <rFont val="Segoe UI"/>
            <family val="2"/>
          </rPr>
          <t>P20</t>
        </r>
      </text>
    </comment>
    <comment ref="C178" authorId="0" shapeId="0" xr:uid="{45F47EB2-A693-4C09-866B-03857A40C372}">
      <text>
        <r>
          <rPr>
            <sz val="9"/>
            <color indexed="81"/>
            <rFont val="Segoe UI"/>
            <family val="2"/>
          </rPr>
          <t>P64</t>
        </r>
      </text>
    </comment>
    <comment ref="C179" authorId="0" shapeId="0" xr:uid="{351C4B7C-4D63-4839-887E-DE908C6A2DC8}">
      <text>
        <r>
          <rPr>
            <sz val="9"/>
            <color indexed="81"/>
            <rFont val="Segoe UI"/>
            <family val="2"/>
          </rPr>
          <t>R38</t>
        </r>
      </text>
    </comment>
    <comment ref="C180" authorId="0" shapeId="0" xr:uid="{79E8BDF0-AC42-4A31-BE5A-1D1E8E943804}">
      <text>
        <r>
          <rPr>
            <sz val="9"/>
            <color indexed="81"/>
            <rFont val="Segoe UI"/>
            <family val="2"/>
          </rPr>
          <t>P33</t>
        </r>
      </text>
    </comment>
    <comment ref="C181" authorId="0" shapeId="0" xr:uid="{7584038C-16A2-4CD2-BAD0-4AC817D08B72}">
      <text>
        <r>
          <rPr>
            <sz val="9"/>
            <color indexed="81"/>
            <rFont val="Segoe UI"/>
            <family val="2"/>
          </rPr>
          <t>P65  ou  R73+R74</t>
        </r>
      </text>
    </comment>
    <comment ref="C182" authorId="0" shapeId="0" xr:uid="{57A54889-28B8-4614-AAC6-C2A2D89D565F}">
      <text>
        <r>
          <rPr>
            <sz val="9"/>
            <color indexed="81"/>
            <rFont val="Segoe UI"/>
            <family val="2"/>
          </rPr>
          <t>P90  ou  R95</t>
        </r>
      </text>
    </comment>
    <comment ref="C183" authorId="0" shapeId="0" xr:uid="{2FE431B3-5254-4F0B-8C66-6AC6C03CD66D}">
      <text>
        <r>
          <rPr>
            <sz val="9"/>
            <color indexed="81"/>
            <rFont val="Segoe UI"/>
            <family val="2"/>
          </rPr>
          <t>P63</t>
        </r>
      </text>
    </comment>
    <comment ref="C184" authorId="0" shapeId="0" xr:uid="{33C97EBA-5276-49EE-8CCB-5C1FDBE643D3}">
      <text>
        <r>
          <rPr>
            <sz val="9"/>
            <color indexed="81"/>
            <rFont val="Segoe UI"/>
            <family val="2"/>
          </rPr>
          <t>P66</t>
        </r>
      </text>
    </comment>
    <comment ref="C185" authorId="0" shapeId="0" xr:uid="{9D6BD0E0-AC90-44C4-88ED-4ABC7ABDB1FA}">
      <text>
        <r>
          <rPr>
            <sz val="9"/>
            <color indexed="81"/>
            <rFont val="Segoe UI"/>
            <family val="2"/>
          </rPr>
          <t>P69</t>
        </r>
      </text>
    </comment>
    <comment ref="C186" authorId="0" shapeId="0" xr:uid="{CCE85BF8-3F2E-436F-8600-9ADB2FAC8E99}">
      <text>
        <r>
          <rPr>
            <b/>
            <sz val="9"/>
            <color indexed="81"/>
            <rFont val="Segoe UI"/>
            <family val="2"/>
          </rPr>
          <t xml:space="preserve"> </t>
        </r>
        <r>
          <rPr>
            <sz val="9"/>
            <color indexed="81"/>
            <rFont val="Segoe UI"/>
            <family val="2"/>
          </rPr>
          <t>Não encontrado itens equivalentes no programa antigo</t>
        </r>
      </text>
    </comment>
  </commentList>
</comments>
</file>

<file path=xl/sharedStrings.xml><?xml version="1.0" encoding="utf-8"?>
<sst xmlns="http://schemas.openxmlformats.org/spreadsheetml/2006/main" count="1694" uniqueCount="1137">
  <si>
    <t>rumo 91</t>
  </si>
  <si>
    <t>pista 30</t>
  </si>
  <si>
    <t>pista 50</t>
  </si>
  <si>
    <t>rumo 44</t>
  </si>
  <si>
    <t>rumo 32</t>
  </si>
  <si>
    <t>rumo 54</t>
  </si>
  <si>
    <t>rumo 29</t>
  </si>
  <si>
    <t>rumo 62</t>
  </si>
  <si>
    <t>pista 57</t>
  </si>
  <si>
    <t>pista 51</t>
  </si>
  <si>
    <t>pista 8</t>
  </si>
  <si>
    <t>rumo 13</t>
  </si>
  <si>
    <t>rumo 39</t>
  </si>
  <si>
    <t>pista 96</t>
  </si>
  <si>
    <t>rumo 100</t>
  </si>
  <si>
    <t>pista 94 a 96</t>
  </si>
  <si>
    <t>rumo 4</t>
  </si>
  <si>
    <t>rumo 100 a 102</t>
  </si>
  <si>
    <t>rumo 102</t>
  </si>
  <si>
    <t>rumo 43</t>
  </si>
  <si>
    <t>pista 41</t>
  </si>
  <si>
    <t>rumo 14</t>
  </si>
  <si>
    <t>pista 14</t>
  </si>
  <si>
    <t>pista 23</t>
  </si>
  <si>
    <t>pista 42</t>
  </si>
  <si>
    <t>rumo 46</t>
  </si>
  <si>
    <t>rumo 45</t>
  </si>
  <si>
    <t>rumo 4 a 7</t>
  </si>
  <si>
    <t>rumo 33</t>
  </si>
  <si>
    <t>rumo 60</t>
  </si>
  <si>
    <t>pista 67</t>
  </si>
  <si>
    <t>pista 84</t>
  </si>
  <si>
    <t>rumo 90</t>
  </si>
  <si>
    <t>pista 86</t>
  </si>
  <si>
    <t>rumo 92</t>
  </si>
  <si>
    <t>rumo 93</t>
  </si>
  <si>
    <t>rumo 94</t>
  </si>
  <si>
    <t>rumo 112 a 113</t>
  </si>
  <si>
    <t>rumo 111</t>
  </si>
  <si>
    <t>Pista 107</t>
  </si>
  <si>
    <t>pistas 4</t>
  </si>
  <si>
    <t>pistas 3</t>
  </si>
  <si>
    <t>rumo 113</t>
  </si>
  <si>
    <t>Pistas 44</t>
  </si>
  <si>
    <t>Pistas 46</t>
  </si>
  <si>
    <t>Pistas 63</t>
  </si>
  <si>
    <t>Pistas 88</t>
  </si>
  <si>
    <t>Pistas 36</t>
  </si>
  <si>
    <t>Pistas 5</t>
  </si>
  <si>
    <t>Rumo 7</t>
  </si>
  <si>
    <t>Pistas 7</t>
  </si>
  <si>
    <t>Pistas 99</t>
  </si>
  <si>
    <t>Pistas 102</t>
  </si>
  <si>
    <t>Pistas 98</t>
  </si>
  <si>
    <t>Pistas 66</t>
  </si>
  <si>
    <t>Pistas 20</t>
  </si>
  <si>
    <t>Pistas 64</t>
  </si>
  <si>
    <t>Participar de pelo menos 5 atividades ao ar livre  da patrulha (jornadas, excursões, acampamentos de patrulha ou tropa) utilizando normas de baixo impacto ambiental.</t>
  </si>
  <si>
    <t>FÍSICO</t>
  </si>
  <si>
    <t>Conhecer e aplicar normas de limpeza no tratamento e na conservação de alimentos nas atividades de patrulha.</t>
  </si>
  <si>
    <t>Aferir seu passo duplo, conhecer as medidas de seu corpo e aplicar-las em avaliações e medições.</t>
  </si>
  <si>
    <t>Percebo que meu corpo está mudando, e faço atividades que o ajudam a ser forte e sadio, evitando aquilo que pode me fazer mal.</t>
  </si>
  <si>
    <t>Participo das atividades organizadas por minha patrulha cuidando para não colocar em risco minha saúde e a de meus companheiros.</t>
  </si>
  <si>
    <t>Conhecer os elementos que compõem a caixa de primeiros socorros da patrulha.</t>
  </si>
  <si>
    <t>Conhecer as ações iniciais que devem ser tomadas num acidente e saber como cuidar de ferimentos leves; bandagens e transporte de feridos, pequenos cortes e insetos</t>
  </si>
  <si>
    <t xml:space="preserve"> Aplicar medidas de segurança nas atividades de patrulha e tropa.</t>
  </si>
  <si>
    <t>Saber como prevenir os males da exposição ao sol: insolação, desidratação, queimaduras, câncer de pele.</t>
  </si>
  <si>
    <t>Mantenho limpo e arrumado o ambiente em que faço minhas coisas, e cuido da minha higiene e apresentação pessoal.</t>
  </si>
  <si>
    <t>Manter hábitos de higiene individual, demonstrar cuidado com o vestuário ou uniforme escoteiro e utilizar corretamente os distintivos e emblemas.</t>
  </si>
  <si>
    <t>Classificar o lixo em diferentes categorias e saber como tratar os diferentes tipos de resíduos de acampamentos ou excursões utilizando “engenhocas” para melhorar a higiene e o conforto nos acampamentos.</t>
  </si>
  <si>
    <t>Participar da manutenção do canto de patrulha, conhecer os materiais de sua patrulha e contribuir para a sua conservação, organização e limpeza.</t>
  </si>
  <si>
    <t xml:space="preserve"> Montar corretamente uma mochila para um acampamento de 3 dias e manter seu equipamento pessoal em bom estado.</t>
  </si>
  <si>
    <t>Como alimentos saudáveis, nas horas certas, e cuido da limpeza ao preparar refeições.</t>
  </si>
  <si>
    <t xml:space="preserve"> Montar o cardápio de uma jornada e durante as atividades de sua patrulha, fazer as refeições de maneira equilibrada.</t>
  </si>
  <si>
    <t>Colaborar na elaboração de alimentos (como cozinheiro ou copeiro) em pelo menos três atividades ao ar livre da patrulha; (jornadas, excursões ou acampamento de patrulha).</t>
  </si>
  <si>
    <t xml:space="preserve"> Montar uma solução para purificação de água em acampamentos</t>
  </si>
  <si>
    <t xml:space="preserve"> Utilizar diversos tipos de fogos de acampamento, de maneira adequada e segura.</t>
  </si>
  <si>
    <t>Dedico ao estudo tempo suficiente, e uso meu tempo livre para participar de atividades recreativas e variadas.</t>
  </si>
  <si>
    <t>Organizar seu tempo utilizando uma agenda ou instrumento similar.</t>
  </si>
  <si>
    <t>Realizar, dentro do prazo, as suas tarefas escolares</t>
  </si>
  <si>
    <t xml:space="preserve"> Frequentar regularmente as atividades e reuniões da sua patrulha e da tropa.</t>
  </si>
  <si>
    <t>Pratico atividades físicas regularmente e participo de muitos jogos, respeitando as suas regras e os demais participantes.</t>
  </si>
  <si>
    <t>Realizar regularmente uma atividade física ou o esporte que escolheu.</t>
  </si>
  <si>
    <t xml:space="preserve"> Participar de diversos jogos com sua patrulha e tropa respeitando as regras e aos demais participantes.</t>
  </si>
  <si>
    <t>INTELECTUAL</t>
  </si>
  <si>
    <t>Interesso-me pelo que se passa a minha volta e estou sempre disposto a aprender coisas novas.</t>
  </si>
  <si>
    <t>Traçar e seguir sinais de pista em um percurso de pelo menos 500 metros em área de campo, e pelo menos 1.000 metros em área urbana.</t>
  </si>
  <si>
    <t xml:space="preserve"> Utilizar um mapa e uma bússola para orientar-se.</t>
  </si>
  <si>
    <t xml:space="preserve"> Aplicar as técnicas de “tocaia” em um jogo com sua patrulha ou tropa.</t>
  </si>
  <si>
    <t>Sei buscar informações que me ajudam a analisar problemas e encontrar soluções, procurando minhas próprias leituras e relacionando com as coisas que me acontecem.</t>
  </si>
  <si>
    <t>Explorar com sua patrulha ou tropa a comunidade onde vive, identificando problemas e buscando soluções.</t>
  </si>
  <si>
    <t>Estimar altura e distâncias utilizando distintos métodos.</t>
  </si>
  <si>
    <t>Ler um livro e após a leitura apresentar um resumo a patrulha.</t>
  </si>
  <si>
    <t>Saber utilizar alguma técnica de previsão do tempo por indícios naturais.</t>
  </si>
  <si>
    <t>Participo das atividades decididas por meu grupo de amigos, contribuindo nas  discussões, manifestando minhas ideias e experiências.</t>
  </si>
  <si>
    <t xml:space="preserve"> Participar de, pelo menos, dois jogos democráticos de sua tropa.</t>
  </si>
  <si>
    <t>Participar ativamente de seu conselho de patrulha contribuindo com ideias e pontos de vista.</t>
  </si>
  <si>
    <t xml:space="preserve"> Participar da organização e planejamento de uma excursão de patrulha; e contribuir com ideias para as atividades de patrulha ou tropa.</t>
  </si>
  <si>
    <t xml:space="preserve"> Avaliar as atividades juntamente com sua patrulha ou tropa.</t>
  </si>
  <si>
    <t>Conheço as especialidades e as utilizo sempre que necessário.</t>
  </si>
  <si>
    <t>Demonstrar que utiliza as especialidades que conquista para colaborar em sua patrulha, casa ou escola.</t>
  </si>
  <si>
    <t>Ajudar um escoteiro da patrulha a conquistar uma especialidade.</t>
  </si>
  <si>
    <t>Participo com entusiasmo das atividades artísticas de minha tropa.</t>
  </si>
  <si>
    <t>Participar de um fogo de conselho e de uma apresentação com sua patrulha.</t>
  </si>
  <si>
    <t xml:space="preserve"> Construir, com sucata, um instrumento musical.</t>
  </si>
  <si>
    <t xml:space="preserve"> Conhecer e cantar algumas canções e danças tradicionais do Movimento Escoteiro e de sua tropa, em especial, o Hino Alerta.</t>
  </si>
  <si>
    <t>Conheço várias técnicas de comunicação e sei utilizar algumas delas.</t>
  </si>
  <si>
    <t>Ler e escrever mensagens usando um código secreto de sua patrulha.</t>
  </si>
  <si>
    <t>Utilizar corretamente um rádio comunicador numa atividade de sua patrulha.</t>
  </si>
  <si>
    <t xml:space="preserve"> Montar um blog, lista de e-mails ou projeto similar que contribua para melhorar a comunicação em sua patrulha ou tropa.</t>
  </si>
  <si>
    <t>Procuro desenvolver minhas habilidades manuais.</t>
  </si>
  <si>
    <t>Participar ativamente da construção de pioneiras num acampamento de tropa, aplicando pelo menos os seguintes nós e amarras: direito, volta do fiel ou volta da ribeira, nó de escota, amarra quadrada e diagonal.</t>
  </si>
  <si>
    <t xml:space="preserve"> Saber utilizar e conservar as ferramentas típicas de uma patrulha (machadinha, facão, etc.) e demonstrar os cuidados básicos com os utensílios de campo (como lampiões e fogareiros).</t>
  </si>
  <si>
    <t>Participar da construção de um fogão suspenso ou forno de acampamento.</t>
  </si>
  <si>
    <t>CARÁTER</t>
  </si>
  <si>
    <t>Procuro me conhecer cada vez mais, analisando as críticas que recebo e definindo ações para melhorar dia a dia.</t>
  </si>
  <si>
    <t>Propor objetivos e ações para melhorar em alguns aspectos da sua vida.</t>
  </si>
  <si>
    <t>Participar da avaliação de sua progressão pessoal e das de seus companheiros em conselho de patrulha.</t>
  </si>
  <si>
    <t>Avaliar o seu desempenho e o de seus companheiros nos cargos de patrulha.</t>
  </si>
  <si>
    <t>Compreendo a Lei e a Promessa Escoteira, e estou sempre disposto a aplicá-las em minha vida.</t>
  </si>
  <si>
    <t>Explicar o significado da Lei e da Promessa Escoteiras aos novos integrantes da sua patrulha.</t>
  </si>
  <si>
    <t>Participar corretamente das cerimônias com os símbolos nacionais e saber cantar o Hino Nacional.</t>
  </si>
  <si>
    <t>Sei o que significa lealdade e procuro agir desta forma com os outros e comigo mesmo.</t>
  </si>
  <si>
    <t>Explicar, a partir do seu ponto de vista, o que significa ser leal.</t>
  </si>
  <si>
    <t>Aplicar o conceito de lealdade em jogos e atividades de sua patrulha e tropa.</t>
  </si>
  <si>
    <t>Procuro ser alegre, mesmo nos momentos difíceis, compartilho minha alegria com os outros respeitando a todos.</t>
  </si>
  <si>
    <t>Participar como animador em um acampamento de sua patrulha.</t>
  </si>
  <si>
    <t>Conhecer  historias de pessoas que se sobrepuseram em momentos difíceis e os relatar aos seus companheiros de patrulha.</t>
  </si>
  <si>
    <t>Escuto os conselhos que recebo do meu grupo de amigos e respeito as decisões que tomamos, mesmo quando penso de maneira diferente.</t>
  </si>
  <si>
    <t>Respeitar e apoiar as decisões tomadas no conselho de patrulha, ainda que não esteja de acordo.</t>
  </si>
  <si>
    <t xml:space="preserve"> Ajudar a melhorar a organização de seu conselho de patrulha.</t>
  </si>
  <si>
    <t>Participar da eleição do monitor da sua patrulha.</t>
  </si>
  <si>
    <t>AFETIVO</t>
  </si>
  <si>
    <t>Compreendo meus sentimentos e sei a quem procurar quando estou triste e confuso.</t>
  </si>
  <si>
    <t xml:space="preserve"> Pesquisar os malefícios de drogas e entorpecentes.</t>
  </si>
  <si>
    <t>Contribuir na manutenção de livro de patrulha.</t>
  </si>
  <si>
    <t>Participar de um turno de ronda em um acampamento de tropa.</t>
  </si>
  <si>
    <t xml:space="preserve"> Registrar, em algum tipo de diario ou arquivo, os principais momentos da sua historia pessoal.</t>
  </si>
  <si>
    <t>Escuto a opinião dos outros e, se não concordo digo isso com respeito, mantendo ou não minha posição conforme minhas convicções.</t>
  </si>
  <si>
    <t>Participar de um debate sobre um filme ou um documentário com temática ambiental ou social.</t>
  </si>
  <si>
    <t>Participar ativamente nas assembleias expressando sua opinião de forma respeitosa.</t>
  </si>
  <si>
    <t>Propor temas para debater em seu conselho de patrulha</t>
  </si>
  <si>
    <t xml:space="preserve"> Participar da avaliação de um acampamento de tropa</t>
  </si>
  <si>
    <t>Trato a todos com generosidade e gentileza.</t>
  </si>
  <si>
    <t>Auxiliar  a um novo integrante da patrulha a se ambientar.</t>
  </si>
  <si>
    <t>Convidar sua patrulha para uma reunião em sua residência.</t>
  </si>
  <si>
    <t>Entendo que homens e mulheres são iguais em direitos e deveres.</t>
  </si>
  <si>
    <t>Participar de atividades nas quais se promove a igualdade de direitos e deveres entre as pessoas.</t>
  </si>
  <si>
    <t>Compartilhar por igual com seus irmãos as tarefas domésticas.</t>
  </si>
  <si>
    <t xml:space="preserve"> Investigar sobre mulheres que se destacaram na história de nosso país.</t>
  </si>
  <si>
    <t>Procuro participar com minha família de atividades dentro e fora do grupo escoteiro.</t>
  </si>
  <si>
    <t>Participar de uma cerimônia com a presença dos pais, responsáveis ou irmãos.</t>
  </si>
  <si>
    <t xml:space="preserve"> Participar de uma atividade de sua patrulha junto aos seus pais, responsáveis, irmãos.</t>
  </si>
  <si>
    <t>Solicitar ajuda dos seus pais ou familiares para capacitar a patrulha em algum tema de interesse (por exemplo: cozinha, mecânica, pintura, etc.).</t>
  </si>
  <si>
    <t>Entendo o que são os Direitos Humanos e procuro respeitá-los.</t>
  </si>
  <si>
    <t>SOCIAL</t>
  </si>
  <si>
    <t xml:space="preserve"> Investigar sobre a vida de pessoas que lutaram pelos direitos humanos no Brasil e no mundo, e apresentar para a Tropa</t>
  </si>
  <si>
    <t xml:space="preserve"> Participar de atividades nas quais se divulga a Declaração Universal dos Direitos Humanos.</t>
  </si>
  <si>
    <t>Participo da definição das metas e decisões nas diferentes equipes que participo, assumindo as responsabilidades que me cabem.</t>
  </si>
  <si>
    <t xml:space="preserve"> Assumir distintas responsabilidades nas atividades de sua patrulha e sua tropa.</t>
  </si>
  <si>
    <t>Colaborar para definição de metas da sua patrulha.</t>
  </si>
  <si>
    <t xml:space="preserve"> Assumir e desempenhar satisfatoriamente um cargo na patrulha.</t>
  </si>
  <si>
    <t>Participar das decisões que toma seu conselho de patrulha, contribuindo com ideias, votando e assumindo responsabilidades em distintas tarefas, atividades e projetos</t>
  </si>
  <si>
    <t>Colaboro na elaboração das normas dos diferentes grupos que participo, cumprindo aquilo com que me comprometo.</t>
  </si>
  <si>
    <t xml:space="preserve"> Participar ativamente de uma Assembleia de Tropa, analisando as normas de convivência e propondo melhorias.</t>
  </si>
  <si>
    <t>Estudar sobre a organização do Escotismo brasileiro e apresentar o resultado para sua patrulha ou tropa.</t>
  </si>
  <si>
    <t>Conhecer a estrutura de um grupo escoteiro.</t>
  </si>
  <si>
    <t>Procuro fazer todos os dias uma boa ação e estou sempre disposto a participar de atividades de serviço ao próximo.</t>
  </si>
  <si>
    <t>Realizar boas ações individuais e participar de boas ações coletivas com sua patrulha ou tropa.</t>
  </si>
  <si>
    <t>Participar de um MutCom.</t>
  </si>
  <si>
    <t>Conheço o bairro onde moro e sei onde encontrar os principais serviços públicos.</t>
  </si>
  <si>
    <t>Fazer um croqui da área onde reside, identificando os serviços públicos de seu bairro.</t>
  </si>
  <si>
    <t>Conhecer a localização e número de telefone dos distintos serviços públicos de seu bairro.</t>
  </si>
  <si>
    <t>Procuro conhecer a cultura do meu país.</t>
  </si>
  <si>
    <t>Participar, junto com sua patrulha, de uma comemoração típica de sua região.</t>
  </si>
  <si>
    <t>Participar de um jantar festivo na tropa, representando um estado diferente do seu.</t>
  </si>
  <si>
    <t xml:space="preserve"> Pesquisar e colocar em prática alguns jogos e atividades típicas dos habitantes da região onde você vive.</t>
  </si>
  <si>
    <t xml:space="preserve"> Participar de um evento cívico, com sua patrulha ou tropa.</t>
  </si>
  <si>
    <t>Conheço os principais símbolos da fraternidade escoteira mundial e procuro participar de atividades que reúnam escoteiros de diferentes lugares.</t>
  </si>
  <si>
    <t>Explicar aos novos integrantes de sua patrulha os significados da flor de lis e saudação escoteira.</t>
  </si>
  <si>
    <t xml:space="preserve"> Conhecer a história de seu grupo escoteiro e seus símbolos.</t>
  </si>
  <si>
    <t xml:space="preserve"> Participar de uma atividade, distrital, regional e ou Jamboree Nacional.</t>
  </si>
  <si>
    <t>Participar de um JOTI ou JOTA.</t>
  </si>
  <si>
    <t>Participo de atividades voltadas para a paz e a compreensão entre os seres humanos.</t>
  </si>
  <si>
    <t>Participar de uma atividade da sua patrulha e/ou tropa em que se promova a paz e compreensão entre as pessoas.</t>
  </si>
  <si>
    <t>Pesquisar sobre a vida de pessoas que trabalharam pela paz no Brasil e apresentar o resultado para sua patrulha ou tropa.</t>
  </si>
  <si>
    <t>Conheço os diferentes ecossistemas de meu país e me preocupo em participar de projetos ambientais.</t>
  </si>
  <si>
    <t>Participar de um projeto ambiental com sua patrulha ou tropa e aplicar as normas de acampamento de baixo impacto em acampamentos e excursões.</t>
  </si>
  <si>
    <t>Realizar levantamento de pegadas de animais de sua região.</t>
  </si>
  <si>
    <t xml:space="preserve"> Participar de uma excursão urbana com motivo ecológico</t>
  </si>
  <si>
    <t>ESPITIRITUAL</t>
  </si>
  <si>
    <t>Participo de atividades de reflexão e celebrações religiosas.</t>
  </si>
  <si>
    <t xml:space="preserve"> Fazer orações rotineiras na tropa ou patrulha, inclusive a “oração do escoteiro”.</t>
  </si>
  <si>
    <t>Participar das celebrações de sua confissão religiosa</t>
  </si>
  <si>
    <t xml:space="preserve"> Realizar reflexões junto a sua patrulha nas excursões e acampamentos.</t>
  </si>
  <si>
    <t>Conheço e procuro aplicar os ensinamentos de minha fé em tudo o que faço.</t>
  </si>
  <si>
    <t>Participar de uma atividade de serviço comunitário com os integrantes de sua comunidade religiosa.</t>
  </si>
  <si>
    <t>Aplicar os ensinamentos de sua confissão religiosa nas coisas que faz no seu dia-a-dia.</t>
  </si>
  <si>
    <t xml:space="preserve"> Apresentar à tropa um pequeno relato de ensinamentos da sua confissão religiosa.</t>
  </si>
  <si>
    <t>Entendo a oração como forma de me relacionar com Deus  e procuro fazê-la todos os dias.</t>
  </si>
  <si>
    <t xml:space="preserve"> Participar da construção de um espaço de reflexão em um acampamento de tropa.</t>
  </si>
  <si>
    <t>Orar utilizando uma oração própria da tropa ou de sua patrulha.</t>
  </si>
  <si>
    <t xml:space="preserve"> Praticar a oração como forma de relacionar-se com Deus.</t>
  </si>
  <si>
    <t xml:space="preserve"> Organizar ou contribuir com um livreto de orações para a sua patrulha.</t>
  </si>
  <si>
    <t>Entendo que existem diferentes religiões em meu país, e que devo conviver fraternalmente com todas as pessoas, independentemente da sua religião.</t>
  </si>
  <si>
    <t>Conhecer as diferentes confissões religiosas as quais pertencem seus amigos de patrulha, tropa, escola de comunidade.</t>
  </si>
  <si>
    <t xml:space="preserve"> Pesquisar os principais pontos de uma confissão religiosa diferente da sua e apresentar para a tropa.</t>
  </si>
  <si>
    <t xml:space="preserve"> rumo 11</t>
  </si>
  <si>
    <t>pistas 11</t>
  </si>
  <si>
    <t>pista 45</t>
  </si>
  <si>
    <t>pista 75</t>
  </si>
  <si>
    <t>pistas 36</t>
  </si>
  <si>
    <t>rumo 36</t>
  </si>
  <si>
    <t>rumo 61</t>
  </si>
  <si>
    <t>rumo 38</t>
  </si>
  <si>
    <t>rumo 20</t>
  </si>
  <si>
    <t>pista 52 a 54</t>
  </si>
  <si>
    <t>pista 1</t>
  </si>
  <si>
    <t>rumo 1</t>
  </si>
  <si>
    <t>pista 40</t>
  </si>
  <si>
    <t xml:space="preserve">pista 94 </t>
  </si>
  <si>
    <t>pista 22</t>
  </si>
  <si>
    <t>rumo 23</t>
  </si>
  <si>
    <t>pista 21</t>
  </si>
  <si>
    <t xml:space="preserve"> rumo 21</t>
  </si>
  <si>
    <t>pista 12 a 15</t>
  </si>
  <si>
    <t>rumo 12 a 14</t>
  </si>
  <si>
    <t xml:space="preserve">pista 80 e 81 </t>
  </si>
  <si>
    <t>rumo 70</t>
  </si>
  <si>
    <t xml:space="preserve">pista 59 a 62 </t>
  </si>
  <si>
    <t>pista 52 a  54</t>
  </si>
  <si>
    <t xml:space="preserve">pista 79 </t>
  </si>
  <si>
    <t>rumo 84</t>
  </si>
  <si>
    <t>pista 47</t>
  </si>
  <si>
    <t>rumo 81</t>
  </si>
  <si>
    <t>pista 85</t>
  </si>
  <si>
    <t>rumo 99</t>
  </si>
  <si>
    <t>rumo 78 a 80</t>
  </si>
  <si>
    <t>pista 92 e 93</t>
  </si>
  <si>
    <t>pista 71 e 72</t>
  </si>
  <si>
    <t>pistas 107 e 108</t>
  </si>
  <si>
    <t xml:space="preserve"> rumo 112 e 113</t>
  </si>
  <si>
    <t>pistas 100</t>
  </si>
  <si>
    <t>Rumo 55</t>
  </si>
  <si>
    <t>Rumo 4 a 7</t>
  </si>
  <si>
    <t xml:space="preserve">Pistas 6 </t>
  </si>
  <si>
    <t>Rumo 1 a 3</t>
  </si>
  <si>
    <t>Pistas 55</t>
  </si>
  <si>
    <t>Rumo 2</t>
  </si>
  <si>
    <t>Pistas 105</t>
  </si>
  <si>
    <t>Pistas 103</t>
  </si>
  <si>
    <t>Rumo 106</t>
  </si>
  <si>
    <t>Rumo 13</t>
  </si>
  <si>
    <t>Pistas 12</t>
  </si>
  <si>
    <t>pistas 8</t>
  </si>
  <si>
    <t>Rumo 8</t>
  </si>
  <si>
    <t>Pistas 10</t>
  </si>
  <si>
    <t>Pistas 53</t>
  </si>
  <si>
    <t xml:space="preserve">Pistas 16 </t>
  </si>
  <si>
    <t>Pistas 19</t>
  </si>
  <si>
    <t>Rumo 19</t>
  </si>
  <si>
    <t>Pistas 17</t>
  </si>
  <si>
    <t>Rumo 16</t>
  </si>
  <si>
    <t>Rumo 15</t>
  </si>
  <si>
    <t>Rumo 103</t>
  </si>
  <si>
    <t>Rumo 109</t>
  </si>
  <si>
    <t>Acampamento</t>
  </si>
  <si>
    <t>Acampamento de Mínimo Impacto</t>
  </si>
  <si>
    <t>Administração</t>
  </si>
  <si>
    <t>Aeromodelismo</t>
  </si>
  <si>
    <t>Agricultura</t>
  </si>
  <si>
    <t>Alfabetização</t>
  </si>
  <si>
    <t>Almoxarifado</t>
  </si>
  <si>
    <t>Anatomia Humana</t>
  </si>
  <si>
    <t>Animação da Fé</t>
  </si>
  <si>
    <t>Anime</t>
  </si>
  <si>
    <t>Aquariofilia</t>
  </si>
  <si>
    <t>Aquicultura</t>
  </si>
  <si>
    <t>Arco e Flecha</t>
  </si>
  <si>
    <t>Arqueologia</t>
  </si>
  <si>
    <t>Arquitetura</t>
  </si>
  <si>
    <t>Arte da Marinharia</t>
  </si>
  <si>
    <t>Arte Digital</t>
  </si>
  <si>
    <t>Arte em Origami</t>
  </si>
  <si>
    <t>Artes Cênicas</t>
  </si>
  <si>
    <t>Artes Gráficas</t>
  </si>
  <si>
    <t>Artes Marciais</t>
  </si>
  <si>
    <t>Artesanato</t>
  </si>
  <si>
    <t>Astronáutica</t>
  </si>
  <si>
    <t>Astronomia</t>
  </si>
  <si>
    <t>Automodelismo Rádio Controlado</t>
  </si>
  <si>
    <t>Babá</t>
  </si>
  <si>
    <t>Barismo</t>
  </si>
  <si>
    <t>Basquetebol</t>
  </si>
  <si>
    <t>Bateria</t>
  </si>
  <si>
    <t>Biblioteconomia</t>
  </si>
  <si>
    <t>Biologia</t>
  </si>
  <si>
    <t>Bolsa de Valores</t>
  </si>
  <si>
    <t>Boxe</t>
  </si>
  <si>
    <t>Braille</t>
  </si>
  <si>
    <t>Budismo</t>
  </si>
  <si>
    <t>Campeões da Natureza</t>
  </si>
  <si>
    <t>Canoagem</t>
  </si>
  <si>
    <t>Canto</t>
  </si>
  <si>
    <t>Capoeira</t>
  </si>
  <si>
    <t>Carpintaria</t>
  </si>
  <si>
    <t>Cartografia</t>
  </si>
  <si>
    <t>Churrasco</t>
  </si>
  <si>
    <t>Ciclismo</t>
  </si>
  <si>
    <t>Cidadania do Mundo</t>
  </si>
  <si>
    <t>Ciências da Terra</t>
  </si>
  <si>
    <t>Cinefilia</t>
  </si>
  <si>
    <t>Civismo</t>
  </si>
  <si>
    <t>Coleções</t>
  </si>
  <si>
    <t>Comédia</t>
  </si>
  <si>
    <t>Comércio Exterior</t>
  </si>
  <si>
    <t>Compostagem</t>
  </si>
  <si>
    <t>Comunicações</t>
  </si>
  <si>
    <t>Confeitaria</t>
  </si>
  <si>
    <t>Construção Civil</t>
  </si>
  <si>
    <t>Contabilidade</t>
  </si>
  <si>
    <t>Corrida de Orientação</t>
  </si>
  <si>
    <t>Corrida de Rua</t>
  </si>
  <si>
    <t>Cosplay</t>
  </si>
  <si>
    <t>Costura</t>
  </si>
  <si>
    <t>Criação de Animais de Estimação</t>
  </si>
  <si>
    <t>Criptografia</t>
  </si>
  <si>
    <t>Cubo Mágico</t>
  </si>
  <si>
    <t>Cuidados Bucais</t>
  </si>
  <si>
    <t>Cuidados com Idosos</t>
  </si>
  <si>
    <t>Culinária</t>
  </si>
  <si>
    <t>Culinária Mateira</t>
  </si>
  <si>
    <t>Culinária Vegetariana</t>
  </si>
  <si>
    <t>Cultura Brasileira</t>
  </si>
  <si>
    <t>Dança</t>
  </si>
  <si>
    <t>Dança Folclórica</t>
  </si>
  <si>
    <t>Decoração</t>
  </si>
  <si>
    <t>Defesa Civil</t>
  </si>
  <si>
    <t>Defesa Nacional</t>
  </si>
  <si>
    <t>Desportos Inclusivos</t>
  </si>
  <si>
    <t>DJ</t>
  </si>
  <si>
    <t>Dublagem</t>
  </si>
  <si>
    <t>Echolink</t>
  </si>
  <si>
    <t>Ecumenismo</t>
  </si>
  <si>
    <t>Educação Financeira</t>
  </si>
  <si>
    <t>Egiptologia</t>
  </si>
  <si>
    <t>Eletrônica</t>
  </si>
  <si>
    <t>Empreendedorismo</t>
  </si>
  <si>
    <t>Encadernação</t>
  </si>
  <si>
    <t>Energia</t>
  </si>
  <si>
    <t>Engenharia</t>
  </si>
  <si>
    <t>Engenharia Aeronáutica</t>
  </si>
  <si>
    <t>Entomologia</t>
  </si>
  <si>
    <t>Entrega de Mensagens</t>
  </si>
  <si>
    <t>Escalada</t>
  </si>
  <si>
    <t>Escoteiros pela Energia Solar</t>
  </si>
  <si>
    <t>Esgrima</t>
  </si>
  <si>
    <t>Espeleoturismo</t>
  </si>
  <si>
    <t>E-sports</t>
  </si>
  <si>
    <t>Estilismo</t>
  </si>
  <si>
    <t>Estudos da Bíblia</t>
  </si>
  <si>
    <t>Estudos Desportivos</t>
  </si>
  <si>
    <t>Etiqueta</t>
  </si>
  <si>
    <t>Explorador</t>
  </si>
  <si>
    <t>Faixa do Cidadão</t>
  </si>
  <si>
    <t>Ferramentas de Corte</t>
  </si>
  <si>
    <t>Fiscalização de Pátio de Aeródromo</t>
  </si>
  <si>
    <t>Fogo de Conselho</t>
  </si>
  <si>
    <t>Fotografia</t>
  </si>
  <si>
    <t>Fotografia Digital</t>
  </si>
  <si>
    <t>Futebol</t>
  </si>
  <si>
    <t>Futebol de Mesa</t>
  </si>
  <si>
    <t>Gamão</t>
  </si>
  <si>
    <t>Garçom</t>
  </si>
  <si>
    <t>Genealogia</t>
  </si>
  <si>
    <t>Gênero Musical (antigo Rock)</t>
  </si>
  <si>
    <t>Geocaching</t>
  </si>
  <si>
    <t>Geografia</t>
  </si>
  <si>
    <t>Geologia</t>
  </si>
  <si>
    <t>Ginástica</t>
  </si>
  <si>
    <t>Ginástica Rítmica</t>
  </si>
  <si>
    <t>GPS</t>
  </si>
  <si>
    <t>Grafite</t>
  </si>
  <si>
    <t>Handebol</t>
  </si>
  <si>
    <t>Herpetologia</t>
  </si>
  <si>
    <t>Hidrografia</t>
  </si>
  <si>
    <t>Hipismo</t>
  </si>
  <si>
    <t>Hipismo Rural</t>
  </si>
  <si>
    <t>História Aeroespacial</t>
  </si>
  <si>
    <t>História Brasileira</t>
  </si>
  <si>
    <t>História da Arte</t>
  </si>
  <si>
    <t>História da Igreja Católica</t>
  </si>
  <si>
    <t>História do Escotismo</t>
  </si>
  <si>
    <t>História Local</t>
  </si>
  <si>
    <t>História Marítima</t>
  </si>
  <si>
    <t>História Mundial</t>
  </si>
  <si>
    <t>Horticultura</t>
  </si>
  <si>
    <t>HQ</t>
  </si>
  <si>
    <t>Ictiologia</t>
  </si>
  <si>
    <t>Inclusão</t>
  </si>
  <si>
    <t>Informações Turísticas</t>
  </si>
  <si>
    <t>Informática</t>
  </si>
  <si>
    <t>Internet</t>
  </si>
  <si>
    <t>Invenção</t>
  </si>
  <si>
    <t>Investigação</t>
  </si>
  <si>
    <t>Ioiô</t>
  </si>
  <si>
    <t>Jardinagem</t>
  </si>
  <si>
    <t>Jogos de Cartas Colecionáveis</t>
  </si>
  <si>
    <t>Jogos de Tabuleiro</t>
  </si>
  <si>
    <t>Jornalismo</t>
  </si>
  <si>
    <t>Leis</t>
  </si>
  <si>
    <t>Leitura</t>
  </si>
  <si>
    <t>Lenhador</t>
  </si>
  <si>
    <t>Libras</t>
  </si>
  <si>
    <t>Licenciatura</t>
  </si>
  <si>
    <t>Lides Campeiras</t>
  </si>
  <si>
    <t>Línguas</t>
  </si>
  <si>
    <t>Literatura</t>
  </si>
  <si>
    <t>Liturgia Católica</t>
  </si>
  <si>
    <t>Mágica e Ilusionismo</t>
  </si>
  <si>
    <t>Manicure</t>
  </si>
  <si>
    <t>Manutenção Elétrica</t>
  </si>
  <si>
    <t>Maquete</t>
  </si>
  <si>
    <t>Maquiagem</t>
  </si>
  <si>
    <t>Marcenaria</t>
  </si>
  <si>
    <t>Marinharia</t>
  </si>
  <si>
    <t>Matemática</t>
  </si>
  <si>
    <t>Mecânica Aérea</t>
  </si>
  <si>
    <t>Mecânica de Automóveis</t>
  </si>
  <si>
    <t>Mecânica de Motor de Popa</t>
  </si>
  <si>
    <t>Meliponicultura</t>
  </si>
  <si>
    <t>Mergulho</t>
  </si>
  <si>
    <t>Meteorologia</t>
  </si>
  <si>
    <t>Microbiologia</t>
  </si>
  <si>
    <t>Mineralogia</t>
  </si>
  <si>
    <t>Minhocultura</t>
  </si>
  <si>
    <t>Missionário Católico</t>
  </si>
  <si>
    <t>Mitologia</t>
  </si>
  <si>
    <t>Montanhismo</t>
  </si>
  <si>
    <t>Mountain Bike</t>
  </si>
  <si>
    <t>Multimídia</t>
  </si>
  <si>
    <t>Musculação</t>
  </si>
  <si>
    <t>Museologia</t>
  </si>
  <si>
    <t>Música</t>
  </si>
  <si>
    <t>Natação</t>
  </si>
  <si>
    <t>Navegação Aérea</t>
  </si>
  <si>
    <t>Numismática</t>
  </si>
  <si>
    <t>Nutrição</t>
  </si>
  <si>
    <t>Observação Aérea</t>
  </si>
  <si>
    <t>Oceanologia</t>
  </si>
  <si>
    <t>Oratória</t>
  </si>
  <si>
    <t>Ornitologia</t>
  </si>
  <si>
    <t>Paisagismo</t>
  </si>
  <si>
    <t>Paleontologia</t>
  </si>
  <si>
    <t>Paraquedismo</t>
  </si>
  <si>
    <t>Parkour</t>
  </si>
  <si>
    <t>Patinação</t>
  </si>
  <si>
    <t>Pesca</t>
  </si>
  <si>
    <t>Pintura</t>
  </si>
  <si>
    <t>Pintura e Desenho Artístico</t>
  </si>
  <si>
    <t>Pintura em Tela</t>
  </si>
  <si>
    <t>Pioneiria</t>
  </si>
  <si>
    <t>Pipas</t>
  </si>
  <si>
    <t>Planador</t>
  </si>
  <si>
    <t>Plantas Medicinais</t>
  </si>
  <si>
    <t>Plastimodelismo</t>
  </si>
  <si>
    <t>Poesia</t>
  </si>
  <si>
    <t>Prática Desportiva</t>
  </si>
  <si>
    <t>Prevenção a Fake News</t>
  </si>
  <si>
    <t>Prevenção ao Alcoolismo</t>
  </si>
  <si>
    <t>Prevenção ao Bullying</t>
  </si>
  <si>
    <t>Prevenção ao Crime</t>
  </si>
  <si>
    <t>Prevenção ao Uso de Drogas</t>
  </si>
  <si>
    <t>Prevenção de Incêndio</t>
  </si>
  <si>
    <t>Prevenção em Saúde</t>
  </si>
  <si>
    <t>Primeiros Socorros</t>
  </si>
  <si>
    <t>Produção Áudio Visual</t>
  </si>
  <si>
    <t>Produção de Laticínios</t>
  </si>
  <si>
    <t>Programação</t>
  </si>
  <si>
    <t>Propaganda e Marketing</t>
  </si>
  <si>
    <t>Proteção Animal</t>
  </si>
  <si>
    <t>Proteção de Animais Silvestres</t>
  </si>
  <si>
    <t>Quebra-cabeça</t>
  </si>
  <si>
    <t>Química</t>
  </si>
  <si>
    <t>Radioamadorismo</t>
  </si>
  <si>
    <t>Radioescuta</t>
  </si>
  <si>
    <t>Rastreamento</t>
  </si>
  <si>
    <t>Reciclagem</t>
  </si>
  <si>
    <t>Recreação Infantil</t>
  </si>
  <si>
    <t>Reduzir, Reciclar Reutilizar</t>
  </si>
  <si>
    <t>Remo</t>
  </si>
  <si>
    <t>Reparos Domésticos</t>
  </si>
  <si>
    <t>Reparos Navais</t>
  </si>
  <si>
    <t>Road Bike</t>
  </si>
  <si>
    <t>Robótica</t>
  </si>
  <si>
    <t>RPG (Role-playing Game)</t>
  </si>
  <si>
    <t>Salvamento</t>
  </si>
  <si>
    <t>Saneamento Ambiental</t>
  </si>
  <si>
    <t>Secretariado</t>
  </si>
  <si>
    <t>Segurança</t>
  </si>
  <si>
    <t>Segurança Aérea</t>
  </si>
  <si>
    <t>Segurança Doméstica</t>
  </si>
  <si>
    <t>Segurança no Mar</t>
  </si>
  <si>
    <t>Segurança no Trabalho</t>
  </si>
  <si>
    <t>Segurança no Trânsito</t>
  </si>
  <si>
    <t>Segurança Pública</t>
  </si>
  <si>
    <t>Serralharia</t>
  </si>
  <si>
    <t>Simulação Aérea</t>
  </si>
  <si>
    <t>Sinalização</t>
  </si>
  <si>
    <t>Skateboard</t>
  </si>
  <si>
    <t>Slackline</t>
  </si>
  <si>
    <t>Slime</t>
  </si>
  <si>
    <t>Sobrevivência</t>
  </si>
  <si>
    <t>Sobrevivência no Mar</t>
  </si>
  <si>
    <t>Socorrismo</t>
  </si>
  <si>
    <t>Softbol</t>
  </si>
  <si>
    <t>Stand Up Paddle</t>
  </si>
  <si>
    <t>Surf</t>
  </si>
  <si>
    <t>Tecido Acrobático</t>
  </si>
  <si>
    <t>Técnica Aeronáutica</t>
  </si>
  <si>
    <t>Técnicas de Sapa</t>
  </si>
  <si>
    <t>Técnicas Verticais</t>
  </si>
  <si>
    <t>Tênis</t>
  </si>
  <si>
    <t>Tênis de Mesa</t>
  </si>
  <si>
    <t>Topografia</t>
  </si>
  <si>
    <t>Trabalho Voluntário</t>
  </si>
  <si>
    <t>Tradições</t>
  </si>
  <si>
    <t>Tradições Indígenas</t>
  </si>
  <si>
    <t>Transporte Ferroviário</t>
  </si>
  <si>
    <t>Triatlo</t>
  </si>
  <si>
    <t>Vela</t>
  </si>
  <si>
    <t>Vendas</t>
  </si>
  <si>
    <t>Video Maker</t>
  </si>
  <si>
    <t>Videogame</t>
  </si>
  <si>
    <t>Vigilância Epidemiológica</t>
  </si>
  <si>
    <t>Vitrines</t>
  </si>
  <si>
    <t>Voleibol</t>
  </si>
  <si>
    <t>Web design</t>
  </si>
  <si>
    <t>Xadrez</t>
  </si>
  <si>
    <t>Yoga</t>
  </si>
  <si>
    <t>Zoobotânica</t>
  </si>
  <si>
    <t>Arquitetura e Urbanismo</t>
  </si>
  <si>
    <t>Design  de Interiores</t>
  </si>
  <si>
    <t>E-Sports</t>
  </si>
  <si>
    <t>Investimentos</t>
  </si>
  <si>
    <t>Produção  Gráfica</t>
  </si>
  <si>
    <t>Redes de Computadores</t>
  </si>
  <si>
    <t>Segurança e Emergência Náutica</t>
  </si>
  <si>
    <t>Web Design</t>
  </si>
  <si>
    <t>Insígnia do Aprender</t>
  </si>
  <si>
    <t>Artes Visuais</t>
  </si>
  <si>
    <t>Costura e Estilismo</t>
  </si>
  <si>
    <t>Videomaker</t>
  </si>
  <si>
    <t>Metereologia</t>
  </si>
  <si>
    <t>Aquarismo</t>
  </si>
  <si>
    <t>Cuidados Animais de Estimação</t>
  </si>
  <si>
    <t>Melipolicultura</t>
  </si>
  <si>
    <t>Zoologia</t>
  </si>
  <si>
    <t>Botânica</t>
  </si>
  <si>
    <t>Excursões</t>
  </si>
  <si>
    <t>Mensageiros da Paz</t>
  </si>
  <si>
    <t>Paz e Justiça</t>
  </si>
  <si>
    <t>Civilizações da Antiguidade</t>
  </si>
  <si>
    <t>Danças Folclóricas</t>
  </si>
  <si>
    <t>História da Aviação</t>
  </si>
  <si>
    <t>Mitologias</t>
  </si>
  <si>
    <t>Origami</t>
  </si>
  <si>
    <t>Diálogos pela Paz</t>
  </si>
  <si>
    <t>Escotismo Mundial</t>
  </si>
  <si>
    <t>Esportes de Quadra</t>
  </si>
  <si>
    <t>Tiro com Arco</t>
  </si>
  <si>
    <t>Noções Desportivas</t>
  </si>
  <si>
    <t>Cubo  Mágico</t>
  </si>
  <si>
    <t>Quebra-Cabeças</t>
  </si>
  <si>
    <t>RPG</t>
  </si>
  <si>
    <t>OBSERVAÇÕES IMPORTANTES!</t>
  </si>
  <si>
    <t>Conquistar, no Ramo Escoteiro, uma especialidade sobre um tema de seu interesse e que seja um conhecimento novo.</t>
  </si>
  <si>
    <t>Em conjunto com a sua patrulha, realizar um Percurso de Gilwell de pelo menos 3km.</t>
  </si>
  <si>
    <t>APRENDIZAGEM CONTINUA E DESENVOLVIMENTO VOCACIONAL</t>
  </si>
  <si>
    <r>
      <t xml:space="preserve">Realizar </t>
    </r>
    <r>
      <rPr>
        <b/>
        <sz val="11"/>
        <color theme="1"/>
        <rFont val="Calibri"/>
        <family val="2"/>
        <scheme val="minor"/>
      </rPr>
      <t>QUATRO</t>
    </r>
    <r>
      <rPr>
        <sz val="11"/>
        <color theme="1"/>
        <rFont val="Calibri"/>
        <family val="2"/>
        <scheme val="minor"/>
      </rPr>
      <t xml:space="preserve"> ações dentre as listadas a seguir:</t>
    </r>
  </si>
  <si>
    <t>Conhecer o funcionamento de serviços de internet, rádio e TV e usar esses conhecimentos para resolver problemas técnicos.</t>
  </si>
  <si>
    <t>Enviar e receber mensagens simples em Alfabeto Fonético,Código  Internacional  de  Sinais,  Semáfora,  Heliografia,  Cifra de César ou Criptografia.</t>
  </si>
  <si>
    <t>Convidar um especialista da comunidade para dialogar com a tropa e esclarecer dúvidas sobre determinado  tema ou profissão</t>
  </si>
  <si>
    <t>AUTONOMIA E LIDERANÇA</t>
  </si>
  <si>
    <t>Montar corretamente uma mochila para um acampamento, mantendo o equipamento em bom estado</t>
  </si>
  <si>
    <r>
      <t xml:space="preserve">Realizar </t>
    </r>
    <r>
      <rPr>
        <b/>
        <sz val="11"/>
        <color theme="1"/>
        <rFont val="Calibri"/>
        <family val="2"/>
        <scheme val="minor"/>
      </rPr>
      <t>CINCO</t>
    </r>
    <r>
      <rPr>
        <sz val="11"/>
        <color theme="1"/>
        <rFont val="Calibri"/>
        <family val="2"/>
        <scheme val="minor"/>
      </rPr>
      <t xml:space="preserve"> ações dentre as listadas a seguir:</t>
    </r>
  </si>
  <si>
    <t>Contribuir para o planejamento e a organização de uma excursão de patrulha.</t>
  </si>
  <si>
    <t>Fazer uma excursão urbana com a sua patrulha ou tropa, se locomovendo por meio de transportes públicos como ônibus, trens, metrô, entre outros.</t>
  </si>
  <si>
    <t>Pesquisar e realizar as compras dos alimentos para um acampamento,  apresentando  para a patrulha uma prestação de contas.</t>
  </si>
  <si>
    <t>Conduzir uma reunião de patrulha como monitor ou secretário, registrando decisões e acompanhando sua execução.</t>
  </si>
  <si>
    <t>CRIATIVIDADE E INOVAÇÃO</t>
  </si>
  <si>
    <t>Aplicar conceitos básicos de estruturas (cavaletes, encaixes, ancoragens) em projetos como pontes, balsas, pórticos ou outras pioneirias.</t>
  </si>
  <si>
    <t>Organizar uma atividade de divulgação  do  escotismo no  colégio, usando  diferentes recursos: vídeos, cartazes, panfletos, entre outros.</t>
  </si>
  <si>
    <t>INTELIGÊNCIA EMOCIONAL</t>
  </si>
  <si>
    <t>Criar e encenar uma pequena história em que o personagem passa por dificuldades e encontra formas saudáveis de lidar com elas.</t>
  </si>
  <si>
    <t xml:space="preserve"> rumo 52</t>
  </si>
  <si>
    <t xml:space="preserve"> rumo 53</t>
  </si>
  <si>
    <t xml:space="preserve"> rumo 51</t>
  </si>
  <si>
    <t>Pista 70</t>
  </si>
  <si>
    <t>Pista 38</t>
  </si>
  <si>
    <t>Pista 61</t>
  </si>
  <si>
    <t>Rumo 42</t>
  </si>
  <si>
    <t>Rumo 41</t>
  </si>
  <si>
    <t>Rumo 27</t>
  </si>
  <si>
    <t>Rumo 91</t>
  </si>
  <si>
    <t>Animar  um  Fogo  de  Conselho  em  um  acampamento  da patrulha ou de tropa.</t>
  </si>
  <si>
    <t>Pista 31</t>
  </si>
  <si>
    <t>Rumo 71</t>
  </si>
  <si>
    <t>Insígnia da Modalidade do Mar - Grumete</t>
  </si>
  <si>
    <t>Insígnia da Modalidade do Ar - Aviador</t>
  </si>
  <si>
    <t>pista 82</t>
  </si>
  <si>
    <t>Rumo 12 a 14</t>
  </si>
  <si>
    <t>Respeito meu corpo e o dos outros, entendo as mudanças que estão acontecendo, como me afetam e procuro superar as dificuldades físicas próprias de meu crescimento.</t>
  </si>
  <si>
    <t>RUMO E TRAVESSIA</t>
  </si>
  <si>
    <t>Participar de pelo menos 5 atividades ao ar livre da patrulha (acampamentos ou excursões) utilizando normas de baixo impacto ambiental.</t>
  </si>
  <si>
    <t>Saber explicar as mudanças que estão acontecendo no seu corpo; conhecer os males da anorexia, bulimia, os perigos do álcool e cigarro e manter hábitos de higiene pessoal.</t>
  </si>
  <si>
    <t>Participar de uma Jornada de Travessia.</t>
  </si>
  <si>
    <t>Sei o que fazer em caso de uma enfermidade ou acidente.</t>
  </si>
  <si>
    <t>Reconhecer os tipos mais comuns de animais venenosos e peçonhentos de sua região.</t>
  </si>
  <si>
    <t xml:space="preserve"> Manter em dia os elementos que compõem a caixa de primeiros socorros da patrulha.</t>
  </si>
  <si>
    <t>Aplicar medidas gerais de segurança em caso de acidentes, e saber determinar a ordem de prioridades quando assistir a um acidente e utilizar distintas técnicas para o transporte de feridos.</t>
  </si>
  <si>
    <t>Saber agir em casos de hemorragia</t>
  </si>
  <si>
    <t>Mantenho minhas coisas limpas e organizadas, cuido dos lugares que visito e da minha apresentação pessoal.</t>
  </si>
  <si>
    <t>Participar de uma atividade de limpeza e organização do canto de patrulha (em sede).</t>
  </si>
  <si>
    <t>Propor e executar uma atividade de melhoria em algum local visitado pela patrulha em acampamentos e manter em ordem seu quarto e objetos pessoais.</t>
  </si>
  <si>
    <t>Demonstrar cuidado com seu vestuário ou uniforme escoteiro e costurar os seus distintivos e insígnias</t>
  </si>
  <si>
    <t xml:space="preserve"> Montar corretamente uma mochila para um acampamento de cinco dias e manter o equipamentos de sua patrulha em bom estado.</t>
  </si>
  <si>
    <t>Sei preparar uma refeição com ordem e limpeza, considerando os valores dos alimentos e suas contribuições para o saúde.</t>
  </si>
  <si>
    <t>Preparar cinco refeições para sua patrulha, incluindo a preparação de um prato quente e de uma sobremesa sendo três refeições em fogueira ou fogão de campo.</t>
  </si>
  <si>
    <t>Montar o cardápio de um acampamento de patrulha de fim de semana e fazer as refeições de maneira equilibrada, durante as atividades de patrulha.</t>
  </si>
  <si>
    <t>Cozinhar ao ar livre sem utensílios (comida mateira), respeitando as normas de limpeza</t>
  </si>
  <si>
    <t>Sei distribuir meu tempo para atividades de estudo, convivência familiar, com amigos e sei escolher o que fazer no meu tempo livre.</t>
  </si>
  <si>
    <t>Organizar suas atividades em um calendário semanal.</t>
  </si>
  <si>
    <t>Classificar suas atividades segundo um critério de prioridades.</t>
  </si>
  <si>
    <t>Participar regularmente das atividades e reuniões de sua patrulha, contribuindo com ideias e sugestões para as atividades.</t>
  </si>
  <si>
    <t>Desenvolver um passatempo ou hobbie.</t>
  </si>
  <si>
    <t>Me esforço para melhorar meu desempenho nas atividades físicas que pratico</t>
  </si>
  <si>
    <t>Realizar regularmente uma atividade física ou esporte, demonstrando progresso em seu desempenho</t>
  </si>
  <si>
    <t>Participar de diversos jogos com outros grupos escoteiros, respeitando as regras e os demais participantes.</t>
  </si>
  <si>
    <t>Procuro ampliar meus conhecimentos e sei refletir criticamente sobre os fatos que ocorrem em minha volta, e me interesso pela leitura de diversos temas.</t>
  </si>
  <si>
    <t>Realizar previsão do tempo por indícios naturais e por instrumentos.</t>
  </si>
  <si>
    <t>Traçar e seguir sinais de pista em um percurso de, pelo menos, 1 km no campo ou 2 km em área urbana</t>
  </si>
  <si>
    <t>Orientar-se utilizando recursos naturais (estrelas, método do relógio), assim como usando uma bússola e um mapa</t>
  </si>
  <si>
    <t>Ler pelo menos um capítulo do livro “Escotismo para Rapazes”</t>
  </si>
  <si>
    <t>Posso analisar uma situação a partir de diferentes pontos de vista estimulando meus amigos para que façam o mesmo.</t>
  </si>
  <si>
    <t>Participar de, pelo menos, três jogos democráticos da tropa.</t>
  </si>
  <si>
    <t xml:space="preserve"> Participar da avaliação de uma atividade regional.</t>
  </si>
  <si>
    <t>Explorar algum tema de seu interesse e compartilho com sua patrulha ou tropa</t>
  </si>
  <si>
    <t xml:space="preserve"> Aplicar técnicas de medição de distância ou altura em uma atividade de patrulha ou tropa.</t>
  </si>
  <si>
    <t>Organizo atividades criativas para serem realizadas com meu grupo de amigos.</t>
  </si>
  <si>
    <t>Preparar materiais para as representações artísticas de sua patrulha ou tropa.</t>
  </si>
  <si>
    <t>Organizar um dia de jogos na casa de um companheiro de patrulha.</t>
  </si>
  <si>
    <t>Propor e colaborar na organização de atividades de sua patrulha e tropa</t>
  </si>
  <si>
    <t>Organizar no seu colégio uma atividade de divulgação do grupo escoteiro.</t>
  </si>
  <si>
    <t>Amplio meus conhecimentos nas especialidades que escolhi, usando-as em ações a serviço da comunidade.</t>
  </si>
  <si>
    <t>Aplicar as especialidades em ações de serviço da comunidade.</t>
  </si>
  <si>
    <t xml:space="preserve"> Ajudar a outros jovens na conquista das especialidades</t>
  </si>
  <si>
    <t>Propor a sua patrulha e tropa ideias de ações a serviço da comunidade</t>
  </si>
  <si>
    <t>Manifesto meus interesses e aptidões artísticas, contribuindo com o bom ambiente nas atividades.</t>
  </si>
  <si>
    <t>Ser responsável por apresentar as canções, durante o fogo de conselho de um acampamento de tropa.</t>
  </si>
  <si>
    <t>Organizar e participar um esquete de um fogo de conselho da tropa.</t>
  </si>
  <si>
    <t>Ensinar a outros escoteiros algumas canções tradicionais do movimento.</t>
  </si>
  <si>
    <t>Proponho e participo  de projetos que apresentam  soluções criativas para  problemas técnicos habituais.</t>
  </si>
  <si>
    <t>Construir um fogão solar e utilizar para uma refeição em um acampamento de patrulha ou tropa.</t>
  </si>
  <si>
    <t>Construir um chuveiro de acampamento.</t>
  </si>
  <si>
    <t>Saber como funcionam os serviços que uso (telefone, internet, rádio, TV...) e procuro usar estes conhecimentos para solucionar problemas técnicos habituais.</t>
  </si>
  <si>
    <t xml:space="preserve"> Conhecer e ser capaz de enviar e receber mensagens simples com uma das seguintes formas de comunicação: morse, semáfora, LIBRAS</t>
  </si>
  <si>
    <t>Melhoro minhas habilidades manuais.</t>
  </si>
  <si>
    <t>Desenhar um croqui de um lugar de acampamento utilizando sinais topográficos, e participar do projeto e instalação das pioneirias de acampamento, aplicando pelo menos os seguintes nós e amarras: direito, volta do fiel ou volta da ribeira, nó de escota, nó em oito, volta redonda com dois cotes, amarra quadrada e diagonal.</t>
  </si>
  <si>
    <t>Aplicar os conceitos básicos de estruturas (cavaletes, encaixes, ancoragens) nos projetos e montagem de  construções como pontes, balsas, etc.</t>
  </si>
  <si>
    <t>Confeccionar “falcaças”, nó “catau”, laís de guia, cadeira de bombeiro e demonstrar os cuidados básicos com as cordas.</t>
  </si>
  <si>
    <t>Construir e pernoitar em um abrigo natural.</t>
  </si>
  <si>
    <t>Sei fazer uma auto-avaliação e procuro ser cada vez melhor, ajudando meus amigos a fazerem o mesmo</t>
  </si>
  <si>
    <t>Propor objetivos e ações para melhorar em alguns aspectos de sua vida na tropa.</t>
  </si>
  <si>
    <t>Participar ativamente na avaliação de sua progressão pessoal e de seus companheiros no conselho de patrulha</t>
  </si>
  <si>
    <t>Participar de uma reunião onde são tratados os aspectos positivos e negativos de sua patrulha.</t>
  </si>
  <si>
    <t xml:space="preserve"> Ajudar a um companheiro em sua progressão pessoal.</t>
  </si>
  <si>
    <t>Busco fazer as coisas bem feitas, superando minhas limitações para cumprir minhas responsabilidades.</t>
  </si>
  <si>
    <t>Desempenhar um cargo de patrulha por pelo menos um ciclo de programa</t>
  </si>
  <si>
    <t>Capacitar-se para desempenhar seu cargo na patrulha.</t>
  </si>
  <si>
    <t>Avaliar seu desempenho e de seus amigos nos cargos de patrulha.</t>
  </si>
  <si>
    <t>Participar de um festival de talentos na tropa.</t>
  </si>
  <si>
    <t>Compreendo o valor da Lei e da Promessa em minha vida e me esforço para vivê-las plenamente.</t>
  </si>
  <si>
    <t>Auxiliar um companheiro de patrulha a realizar sua Promessa escoteira</t>
  </si>
  <si>
    <t>Avaliar com seus companheiros a vivência da Promessa e Lei Escoteiras na patrulha.</t>
  </si>
  <si>
    <t>Cantar com sua patrulha a Canção da Promessa</t>
  </si>
  <si>
    <t>Entendo que é importante ser verdadeiro, agindo de acordo com o que se pensa e se comprometendo com aquilo em que se acredita.</t>
  </si>
  <si>
    <t>Conhecer a história de Caio Viana Martins</t>
  </si>
  <si>
    <t>Realizar boas ações pessoais e junto com sua patrulha.</t>
  </si>
  <si>
    <t>Estou sempre alegre e divido minha alegria com os outros</t>
  </si>
  <si>
    <t>Organizar uma “oficina de brinquedos” com sua patrulha, doando os itens consertados para uma instituição de crianças carentes.</t>
  </si>
  <si>
    <t>Conhecer e cantar canções apropriadas para distintos momentos.</t>
  </si>
  <si>
    <t>Criar um vídeo e disponibilizar na internet com uma campanha publicitária divertida promovendo o grupo escoteiro.</t>
  </si>
  <si>
    <t>Procuro dominar meus medos, raivas ou inseguranças, e compartilho meus sentimentos e emoções com meus amigos.</t>
  </si>
  <si>
    <t>Demonstrar as técnicas de resgate de pessoas em afogamento.</t>
  </si>
  <si>
    <t xml:space="preserve"> Ultrapassar algum obstáculo utilizando cordas (“falsa baiana”, “comando crawn”, etc.).</t>
  </si>
  <si>
    <t>Fazer um relato no livro de patrulha de uma atividade que lhe marcou.</t>
  </si>
  <si>
    <t>Consigo me manifestar de forma respeitosa quando converso com outros, mesmo que minha opinião seja diferente.</t>
  </si>
  <si>
    <t>Conhecer os princípios para obter uma boa comunicação e os aplicar em minhas conversas com os outros.</t>
  </si>
  <si>
    <t>Visitar outro grupo escoteiro</t>
  </si>
  <si>
    <t>Contribuir para a manutenção do espírito escoteiro e de patrulha na tropa.</t>
  </si>
  <si>
    <t>Participar de debates e discussões no conselho de patrulha e Assembleia de Tropa, se manifestado de forma respeitosa.</t>
  </si>
  <si>
    <t>Aprecio as pessoas pelo que elas são e estou sempre disposto a ajudar a todos.</t>
  </si>
  <si>
    <t>Participar ativamente de uma mobilização para minimizar algum problema social.</t>
  </si>
  <si>
    <t>Saber a quem recorrer em caso de maus tratos a outras pessoas.</t>
  </si>
  <si>
    <t>Ajudar algum companheiro de sua patrulha a conquistar algum objetivo ou melhorar em algum aspecto.</t>
  </si>
  <si>
    <t>Entendo que homem e mulher se complementam e devem conviver respeitosamente</t>
  </si>
  <si>
    <t>Auxiliar sua patrulha, tropa ou grupo a ter um número equilibrado de meninas e meninos</t>
  </si>
  <si>
    <t>Ir com minha patrulha ao teatro ou cinema com outros jovens de ambos os sexos.</t>
  </si>
  <si>
    <t>Mantenho diálogo e uma relação carinhosa e solidária com minha família</t>
  </si>
  <si>
    <t>Realizar uma boa ação com membros de sua família.</t>
  </si>
  <si>
    <t>Realizar um projeto ou atividade de patrulha com a ajuda de seus pais ou familiares.</t>
  </si>
  <si>
    <t>Assumir a responsabilidade de uma tarefa domestica na sua casa, por pelo menos três meses.</t>
  </si>
  <si>
    <t>Respeito todas as pessoas e participo ativamente de atividades relacionadas aos Direitos Humanos.</t>
  </si>
  <si>
    <t>Propor a sua patrulha e tropa atividades e projetos relacionados com os Direitos Humanos.</t>
  </si>
  <si>
    <t>Pesquisar sobre os principais problemas de violência escolar que afetam a sua comunidade e fazer apresentação para a patrulha ou tropa.</t>
  </si>
  <si>
    <t>Participar de uma atividade em que se promovem os Direitos das Crianças e Adolescentes.</t>
  </si>
  <si>
    <t>Sei como funcionam os processos de tomada de decisão no meu país, e manifesto com respeito minha opinião sobre as pessoas que exercem autoridades</t>
  </si>
  <si>
    <t>Saber o que é a Constituição Brasileira, conhecer os símbolos nacionais e saber cantar o Hino Nacional.</t>
  </si>
  <si>
    <t>Visitar a câmara de vereadores de seu município.</t>
  </si>
  <si>
    <t>Saber as diferenças entre o poder legislativo, executivo e judiciário.</t>
  </si>
  <si>
    <t>Opino nas discussões sobre as normas que regem a vida nos diferentes ambientes, considerando o ponto de vista dos outros e respeitando o que for decidido.</t>
  </si>
  <si>
    <t>Assistir a uma assembleia de seu grupo escoteiro.</t>
  </si>
  <si>
    <t>Participar ativamente de uma Assembleia de Tropa, analisando as normas de convivência e propondo melhorias.</t>
  </si>
  <si>
    <t>Pesquisar sobre a organização do Escotismo brasileiro e mundial, e apresentar o resultado para a tropa.</t>
  </si>
  <si>
    <t>Apresentar a estrutura de um grupo escoteiro para um novo membro da patrulha.</t>
  </si>
  <si>
    <t>Participo de atividades que ajudam a superar diferenças sociais.</t>
  </si>
  <si>
    <t>Conheço minha cidade e sei onde encontrar os principais serviços públicos.</t>
  </si>
  <si>
    <t>Saber onde encontrar os principais serviços públicos na sua cidade.</t>
  </si>
  <si>
    <t>Participar, com sua patrulha, de um “safári fotográfico” em sua cidade.</t>
  </si>
  <si>
    <t xml:space="preserve"> Identificar problemas da sua cidade e propor soluções</t>
  </si>
  <si>
    <t>Tomo iniciativa para realizar atividades que valorizam a nossa diversidade cultural.</t>
  </si>
  <si>
    <t>Pesquisar sobre uma lenda brasileira e usar este conhecimento para montar uma apresentação para um fogo de conselho</t>
  </si>
  <si>
    <t>Aprender canções e danças do Brasil e as ensinar em diferentes fogos de conselho.</t>
  </si>
  <si>
    <t>Confeccionar algum artesanato típico de alguma região de Brasil.</t>
  </si>
  <si>
    <t>Conheço o Escotismo no Brasil e mantenho e busco contato com escoteiros de diversos lugares</t>
  </si>
  <si>
    <t>Participar de uma atividade escoteira distrital, regional, nacional ou internacional.</t>
  </si>
  <si>
    <t>Pesquisar sobre a história do Escotismo no Brasil e organizar uma apresentação para sua patrulha ou tropa.</t>
  </si>
  <si>
    <t>Realizar uma atividade com uma patrulha de um grupo escoteiro distinto do seu</t>
  </si>
  <si>
    <t>Participar de um JOTI ou JOTA</t>
  </si>
  <si>
    <t>Procuro conhecer como vivem as pessoas em outros países.</t>
  </si>
  <si>
    <t>Realizar pelo menos uma das alternativas abaixo</t>
  </si>
  <si>
    <t>Ajudar a organizar e participar de um jantar festivo na sua tropa, representando tipicamente outro país.</t>
  </si>
  <si>
    <t>Conquistar a Insígnia da Lusofonia, do Ramo Escoteiro.</t>
  </si>
  <si>
    <t>Conquistar a Insígnia do Cone Sul, do Ramo Escoteiro.</t>
  </si>
  <si>
    <t>Sei quais os principais problemas ambientais do Brasil e procuro realizar as atividades para minimizá-los.</t>
  </si>
  <si>
    <t>Visitar uma organização que trabalha e favor do meio ambiente e fazer uma pesquisa sobre os principais problemas ambientais do Brasil e os apresentar para sua tropa ou sua escola.</t>
  </si>
  <si>
    <t>Participar de um projeto de conservação ambiental</t>
  </si>
  <si>
    <t>Saber identificar as pegadas de pelo menos cinco animais da fauna brasileira, e confeccionar pelo menos um molde em bom estado.</t>
  </si>
  <si>
    <t>ESPIRITUAL</t>
  </si>
  <si>
    <t>Pratico minha religião lendo e refletindo sobre ela, participando das suas comemorações e atividades.</t>
  </si>
  <si>
    <t>Participar regularmente dos cultos da sua religião.</t>
  </si>
  <si>
    <t>Auxiliar na realização de uma celebração de sua comunidade religiosa.</t>
  </si>
  <si>
    <t>Ler pelo menos um livro sagrado da sua fé.</t>
  </si>
  <si>
    <t>Encontro Deus na natureza, nas pessoas e nos acontecimentos, me relacionando com Ele por meio da oração.</t>
  </si>
  <si>
    <t>Realizar atividades de reflexão em acampamento ou excursão com sua patrulha ou tropa</t>
  </si>
  <si>
    <t>Ajudar a projetar e construir, junto com sua patrulha ou tropa, um lugar para oração e reflexão no acampamento</t>
  </si>
  <si>
    <t>Organizar com sua patrulha e sua família momentos de oração.</t>
  </si>
  <si>
    <t>Procuro viver de acordo com minha fé e busco apoio de meus amigos para as ações em favor do próximo</t>
  </si>
  <si>
    <t>Aplicar os ensinamentos de sua religião nas coisas que faz em sua vida.</t>
  </si>
  <si>
    <t>Avaliar suas ações de acordo com os ensinamentos de sua religião.</t>
  </si>
  <si>
    <t>Convidar sua patrulha para cooperar em ações, organizadas por sua comunidade religiosa, em favor de desassistidos.</t>
  </si>
  <si>
    <t>Respeito e procuro conhecer as outras religiões, e estimulo meus amigos a fazerem o mesmo.</t>
  </si>
  <si>
    <t>Discutir com sua patrulha um episódio histórico que expresse o efeito prejudicial do fanatismo religioso</t>
  </si>
  <si>
    <t>Confeccionar um calendário de celebrações e festividades religiosas das religiões dos escoteiros da sua patrulha</t>
  </si>
  <si>
    <r>
      <t>OU (em substituição aos itens anteriores):</t>
    </r>
    <r>
      <rPr>
        <sz val="11"/>
        <color theme="1"/>
        <rFont val="Calibri"/>
        <family val="2"/>
        <scheme val="minor"/>
      </rPr>
      <t xml:space="preserve"> Conquistar a Insígnia Mundial do Meio Ambiente, no Ramo Escoteiro.</t>
    </r>
  </si>
  <si>
    <t>Manter contato com um escoteiro de outro país, por pelo menos um mêS</t>
  </si>
  <si>
    <t>rumo 47 a 50</t>
  </si>
  <si>
    <t>rumo 63 a 65</t>
  </si>
  <si>
    <t>pista 20</t>
  </si>
  <si>
    <t xml:space="preserve"> rumo 66 a 69</t>
  </si>
  <si>
    <t>HABILIDADES PARA A VIDA</t>
  </si>
  <si>
    <t>CONSUMO RESPONSÁVEL</t>
  </si>
  <si>
    <t>Praticar o consumo consciente diariamente, evitando desperdícios e ajudando a preservar os recursos naturais</t>
  </si>
  <si>
    <t>Em acampamentos e excursões, criar soluções para melhorar a higiene e conforto e classificar os resíduos em categorias, tratando-os adequadamente.</t>
  </si>
  <si>
    <t>Planejar adequadamente e adquirir as quantidades dos alimentos para refeições em um acampamento  para sua patrulha, evitando desperdício.</t>
  </si>
  <si>
    <t>Participar de mutirões de plantio de mudas ou cultivo de uma horta em casa, na escola ou na UEL.</t>
  </si>
  <si>
    <t>Jardinagem e Paisagismo</t>
  </si>
  <si>
    <t>Participar, em patrulha, de uma atividade de exploração em ambiente natural, reconhecendo a fauna e a flora locais e identificando riscos à preservação, além de propor soluções para evitá-los</t>
  </si>
  <si>
    <t>Reconhecer os animais venenosos e peçonhentos da região e saber como agir em casos de picadas ou contaminação</t>
  </si>
  <si>
    <t>Planejar e executar um projeto ambiental com a patrulha ou tropa.</t>
  </si>
  <si>
    <t>Plantar uma espécie nativa e observar seu crescimento, registrando cada etapa.</t>
  </si>
  <si>
    <t>Identificar as pegadas de pelo menos cinco animais da fauna brasileira e realizar levantamento das pegadas em áreas naturais.</t>
  </si>
  <si>
    <t>Observar e registrar espécies de aves, insetos, plantas ou outros animais durante um acampamento ou excursão.</t>
  </si>
  <si>
    <t>Visitar parques, reservas ou centros de proteção ambiental para conhecer ações de preservação da fauna e da flora.</t>
  </si>
  <si>
    <t>Construir comedouros ou bebedouros para aves e instalar em áreas adequadas, acompanhando seu uso.</t>
  </si>
  <si>
    <t>Criar materiais educativos, como vídeos ou posts, sobre a importância de preservar a biodiversidade.</t>
  </si>
  <si>
    <t>VIDA AO AR LIVRE</t>
  </si>
  <si>
    <t>Montar o campo de patrulha com pioneirias como mesa, pórtico e canto do lenhador, utilizando amarras adequadas.</t>
  </si>
  <si>
    <t>Escolher corretamente o local para montagem da barraca, incluindo técnicas de montagem, desmontagem e acondicionamento durante um acampamento de patrulha ou tropa.</t>
  </si>
  <si>
    <t>Manusear corretamente ferramentas de corte e sapa durante um acampamento de patrulha ou tropa, zelando pela segurança e realizando reparos.</t>
  </si>
  <si>
    <t>Preparar e executar uma fogueira para uma refeição mateira durante um acampamento de patrulha ou tropa, seguindo as técnicas de segurança.</t>
  </si>
  <si>
    <t>Participar de ao menos duas excursões ao ar livre (patrulha ou tropa), utilizando normas de baixo impacto ambiental.</t>
  </si>
  <si>
    <t>Participar de ao menos dois acampamentos ao ar livre (patrulha ou tropa), utilizando normas de baixo impacto ambiental.</t>
  </si>
  <si>
    <t>Participar de um percurso no campo de pelo menos 1  km utilizando sinais de pista.</t>
  </si>
  <si>
    <t>Colaborar na preparação de alimentos para a patrulha em pelo menos três atividades ao ar livre, sendo uma delas no estilo comida mateira, sem utensílios.</t>
  </si>
  <si>
    <t>Desenvolver soluções para purificação e consumo de água em um acampamento</t>
  </si>
  <si>
    <t>Aplicar técnicas de “tocaia" em jogos com a patrulha.</t>
  </si>
  <si>
    <t>Participar da construção de um fogão suspenso ou forno de acampamento para o preparo de uma refeição.</t>
  </si>
  <si>
    <t>Construir e  pernoitar em um bivaque ou abrigo natural durante uma atividade de patrulha.</t>
  </si>
  <si>
    <t>Participar de uma atividade aquática com a tropa, seguindo as normas de segurança.</t>
  </si>
  <si>
    <t>Desenhar um croqui de um acampamento, usando sinais topográficos.</t>
  </si>
  <si>
    <t>MUDANÇAS CLIMÁTICAS</t>
  </si>
  <si>
    <t>MEIO AMBIENTE</t>
  </si>
  <si>
    <t>COMUNIDADE</t>
  </si>
  <si>
    <t>PAZ E DESENVOLVIMENTO</t>
  </si>
  <si>
    <t>Identificar, sozinho ou em patrulha, uma necessidade da comunidade e planejar e executar uma ação comunitária.</t>
  </si>
  <si>
    <t>Identificar os riscos de desastres naturais na comunidade e conhecer os hospitais e contatos de emergência, sabendo quando acionar cada um.</t>
  </si>
  <si>
    <r>
      <t xml:space="preserve">Realizar </t>
    </r>
    <r>
      <rPr>
        <b/>
        <sz val="11"/>
        <color theme="1"/>
        <rFont val="Calibri"/>
        <family val="2"/>
        <scheme val="minor"/>
      </rPr>
      <t>TRÊS</t>
    </r>
    <r>
      <rPr>
        <sz val="11"/>
        <color theme="1"/>
        <rFont val="Calibri"/>
        <family val="2"/>
        <scheme val="minor"/>
      </rPr>
      <t xml:space="preserve"> ações dentre as listadas a seguir:</t>
    </r>
  </si>
  <si>
    <t>Aplicar o conhecimento adquirido nas especialidades em ações de serviço à comunidade.</t>
  </si>
  <si>
    <t>Participar ativamente de pelo menos uma campanha de serviço e desenvolvimento comunitário organizadas pela UEL, distrito ou região.</t>
  </si>
  <si>
    <t>Organizar uma oficina de brinquedos, doando os itens consertados para uma instituição que atende crianças carentes.</t>
  </si>
  <si>
    <t>Colaborar em ações organizadas por outras instituições de serviço.</t>
  </si>
  <si>
    <t>DEMOCRACIA</t>
  </si>
  <si>
    <t>Participar ativamente das decisões do Conselho de Patrulha, contribuindo com ideias, votando e assumindo responsabilidades, respeitando os resultados</t>
  </si>
  <si>
    <t>Participar ativamente das decisões da Assembleia de Tropa, contribuindo com ideias, votando e assumindo responsabilidades, respeitando os resultados</t>
  </si>
  <si>
    <t>Participar da eleição de monitor da patrulha e das decisões de encargos, respeitando os resultados</t>
  </si>
  <si>
    <r>
      <t xml:space="preserve">Realizar </t>
    </r>
    <r>
      <rPr>
        <b/>
        <sz val="11"/>
        <color theme="1"/>
        <rFont val="Calibri"/>
        <family val="2"/>
        <scheme val="minor"/>
      </rPr>
      <t>DUAS</t>
    </r>
    <r>
      <rPr>
        <sz val="11"/>
        <color theme="1"/>
        <rFont val="Calibri"/>
        <family val="2"/>
        <scheme val="minor"/>
      </rPr>
      <t xml:space="preserve"> ações dentre as listadas a seguir:</t>
    </r>
  </si>
  <si>
    <t>Visitar a sede administrativa de qualquer um dos três poderes, e explicar a importância e as particularidades desta forma de governo, conhecendo a constituição e os símbolos nacionais, do estado e município.</t>
  </si>
  <si>
    <t>Conhecer a estrutura do Grupo Escoteiro ou Seção Autônoma e participar de uma Assembleia de Grupo Escoteiro.</t>
  </si>
  <si>
    <t>Aprender e  compartilhar sobre a história do  voto  e da democracia no Brasil.</t>
  </si>
  <si>
    <t>HERANÇA CULTURAL</t>
  </si>
  <si>
    <t>Realizar o hasteamento ou arriamento da bandeira em cerimônia de abertura ou encerramento de atividade.</t>
  </si>
  <si>
    <t>Desenvolver sua "Árvore Genealógica”, pesquisando seu sobrenome, significado e a história dos seus antepassados, situando-os no contexto histórico, e apresentá-la para sua patrulha.</t>
  </si>
  <si>
    <t>Participar das cerimônias com os símbolos nacionais e cantar o Hino Nacional corretamente.</t>
  </si>
  <si>
    <t>Apresentar  para  sua  patrulha  ou  tropa  histórias  de mulheres que se destacaram em nosso país.</t>
  </si>
  <si>
    <t>Participar, com sua patrulha, de uma comemoração ou festa típica da sua região.</t>
  </si>
  <si>
    <t>Participar, com sua patrulha, de um safari fotográfico em sua cidade, identificando os locais de importância histórica da localidade.</t>
  </si>
  <si>
    <t>Participar de um jantar festivo representando um estado diferente do seu.</t>
  </si>
  <si>
    <t>Aplicar jogos e atividades típicas da sua região.</t>
  </si>
  <si>
    <t>Visitar museus, centros culturais ou  pontos históricos locais para conhecer o patrimônio da região</t>
  </si>
  <si>
    <t>Investigar  lendas,  histórias  ou  personagens  do  folclore brasileiro e dramatizá-los em esquetes no Fogo de Conselho</t>
  </si>
  <si>
    <t>Aplicar canções e danças típicas do Brasil.</t>
  </si>
  <si>
    <t>Confeccionar artesanato típico de alguma região do Brasil.</t>
  </si>
  <si>
    <t>Apresentar a cultura da sua cidade em um evento regional ou nacional, como feira das cidades ou noite folclórica.</t>
  </si>
  <si>
    <t>PROMOÇÃO DA PAZ</t>
  </si>
  <si>
    <t>Aplicar  uma  atividade  para  a  patrulha  sobre  Direitos Humanos ou os Direitos da Criança e do Adolescente.</t>
  </si>
  <si>
    <t>Convidar a patrulha a cooperar em ações organizadas por uma comunidade em favor de pessoas vulneráveis.</t>
  </si>
  <si>
    <t>Participar de uma excursão com sua patrulha ou tropa visitando diferentes templos e conhecendo um pouco mais sobre cada religião.</t>
  </si>
  <si>
    <t>Participar de eventos de trocas culturais entre jovens de diferentes origens para estimular o respeito mútuo.</t>
  </si>
  <si>
    <t>Participar de uma atividade com outro grupo escoteiro ou seção autônoma e refletir sobre o que é Fraternidade Mundial Escoteira.</t>
  </si>
  <si>
    <t>Conhecer as diferentes denominações de fé e crença de amigos da patrulha, tropa, escola e comunidade.</t>
  </si>
  <si>
    <t>Promover  uma  campanha  que  incentive  atitudes  de respeito e cooperação entre todos.</t>
  </si>
  <si>
    <t>Convidar representantes de diferentes crenças para compartilhar experiências e responder perguntas da tropa</t>
  </si>
  <si>
    <t>VALORES</t>
  </si>
  <si>
    <t>Avaliar, com seus companheiros de patrulha, a vivência da Promessa e Lei Escoteira.</t>
  </si>
  <si>
    <t>Participar da avaliação da sua Progressão Pessoal e dos companheiros da patrulha</t>
  </si>
  <si>
    <t>Explicar o significado da Lei e da Promessa Escoteira aos novos membros da patrulha.</t>
  </si>
  <si>
    <t>Auxiliar  um  companheiro  de  patrulha  a  realizar  sua Promessa Escoteira.</t>
  </si>
  <si>
    <t>Explicar aos novos membros da patrulha os significados da flor-de-lis e da Saudação Escoteira.</t>
  </si>
  <si>
    <t>Conhecer e cantar o Hino Alerta</t>
  </si>
  <si>
    <t>Insíginia da Ação Comunitária</t>
  </si>
  <si>
    <t>soma</t>
  </si>
  <si>
    <t>Insíginia da Lusofonia</t>
  </si>
  <si>
    <t>Insíginia do Cone Sul</t>
  </si>
  <si>
    <t>Prevenção às Fake News</t>
  </si>
  <si>
    <t>SAÚDE E BEM ESTAR</t>
  </si>
  <si>
    <t>CUIDADO COM O CORPO</t>
  </si>
  <si>
    <t>Conhecer as medidas do seu corpo (palmo, envergadura, passo simples e duplo) e aplicá-las durante uma excursão com sua patrulha</t>
  </si>
  <si>
    <t>Saber contato dos órgãos de emergência e saber como informar os sinais vitais e situação da vítima.</t>
  </si>
  <si>
    <t>Proteger-se do sol e do frio durante as atividades, identificando casos de desidratação e insolação, e respeitar os limites do seu corpo.</t>
  </si>
  <si>
    <t>Demonstrar  como  ajudar  uma  pessoa  em  casos  de obstrução das vias aéreas e convulsões</t>
  </si>
  <si>
    <t>Conhecer os  itens  que  compõem a caixa  de  primeiros socorros da patrulha e mantê-la organizada.</t>
  </si>
  <si>
    <t>Saber agir em casos de hemorragia.</t>
  </si>
  <si>
    <t>ESPIRITUALIDADE</t>
  </si>
  <si>
    <t>Apresentar um pequeno relato à patrulha ou tropa sobre os ensinamentos de sua crença ou religião</t>
  </si>
  <si>
    <t>Auxiliar   na  realização   de  uma  celebração  de  sua comunidade religiosa.</t>
  </si>
  <si>
    <t>Celebrar sua crença ou religião regularmente.</t>
  </si>
  <si>
    <t>Colaborar na organização de um culto interconfessional em uma atividade escoteira.</t>
  </si>
  <si>
    <t>Participar de um momento de reflexão e conexão com um ambiente natural em que possa apreciar e agradecer a beleza do mundo natural.</t>
  </si>
  <si>
    <t>HÁBITOS SAUDÁVEIS</t>
  </si>
  <si>
    <t>Planejar e executar um cardápio completo e saudável (café da manhã, almoço e jantar) para a patrulha em acampamento.</t>
  </si>
  <si>
    <t>Conhecer e aplicar normas de limpeza no tratamento e conservação de alimentos nas atividades de patrulha</t>
  </si>
  <si>
    <t>Manter hábitos de higiene pessoal, utilizar o vestuário ou uniforme adequadamente, demonstrando aplicação correta dos distintivos.</t>
  </si>
  <si>
    <t>Contribuir para manter a sede do grupo e canto de patrulha em ordem e em perfeito estado de conservação.</t>
  </si>
  <si>
    <t>Montar um  cronograma semanal, equilibrando  estudos, responsabilidades e momentos de lazer.</t>
  </si>
  <si>
    <t>Praticar uma atividade física regularmente.</t>
  </si>
  <si>
    <t>Promover um piquenique com alimentos saudáveis com sua patrulha ou tropa.</t>
  </si>
  <si>
    <t>Manter adequada rotina de sono e alimentação saudável</t>
  </si>
  <si>
    <t>SAÚDE MENTAL</t>
  </si>
  <si>
    <t>Conhecer o conceito de Espaços Seguros e aplicá-los em todas as atividades de sua patrulha ou tropa.</t>
  </si>
  <si>
    <t>Aprender a identificar sinais de tristeza ou isolamento em colegas e saber como oferecer apoio inicial, como conversar com respeito e buscar ajuda de um adulto de confiança.</t>
  </si>
  <si>
    <t>Participar  de  uma  atividade  sobre  a  importância  do autocuidado e da saúde mental.</t>
  </si>
  <si>
    <t>Conduzir uma sessão de relaxamento como yoga, meditação, caminhadas silenciosas na natureza, alongamentos, entre outras, para sua patrulha ou tropa</t>
  </si>
  <si>
    <t>Organizar sua rotina de atividades semanais, considerando a importância do equilíbrio entre as atividades do mundo digital e real e realizar uma atividade de bem-estar offline.</t>
  </si>
  <si>
    <t>Participar com sua patrulha de uma atividade que promova o contato com seus sentidos e promova momentos de equilíbrio emocional como por exemplo: uma trilha sensorial, pintura livre, roda de canções, observação de céu ou fogueira, entre outros.</t>
  </si>
  <si>
    <t>VÍNCULOS SAUDÁVEIS</t>
  </si>
  <si>
    <t>Participar   de   jogos   com   a   patrulha   ou   a   tropa, respeitando as regras e seus participantes.</t>
  </si>
  <si>
    <t>Organizar uma atividade de patrulha em sua casa ou na
casa de um membro da patrulha.</t>
  </si>
  <si>
    <t>Ensinar uma canção escoteira a outros escoteiros.</t>
  </si>
  <si>
    <t>Ajudar   outro   membro   da   UEL   a   conquistar  uma especialidade ou insígnias.</t>
  </si>
  <si>
    <t>Propor metas para melhorar a convivência na vida na patrulha e na tropa, compreendendo como todos se sentem quanto a isso.</t>
  </si>
  <si>
    <t>Participar  de  uma  atividade  entre  diferentes  grupos
escoteiros ou atividade regional ou nacional.</t>
  </si>
  <si>
    <t>Acolher os novos integrantes da patrulha</t>
  </si>
  <si>
    <t>Assumir tarefas domésticas para melhorar a convivência em casa</t>
  </si>
  <si>
    <t>Participar de uma atividade da tropa com a família ou responsáveis</t>
  </si>
  <si>
    <t>Convidar um colega da mesma faixa etária para participar de um Fogo de Conselho, integrado a sua patrulha e com o devido “Registro de Visitante”.</t>
  </si>
  <si>
    <t>Diálogo Inter-religioso</t>
  </si>
  <si>
    <r>
      <rPr>
        <sz val="11"/>
        <rFont val="Calibri"/>
        <family val="2"/>
        <scheme val="minor"/>
      </rPr>
      <t xml:space="preserve">Realizar </t>
    </r>
    <r>
      <rPr>
        <b/>
        <sz val="11"/>
        <rFont val="Calibri"/>
        <family val="2"/>
        <scheme val="minor"/>
      </rPr>
      <t>TRÊS</t>
    </r>
    <r>
      <rPr>
        <sz val="11"/>
        <rFont val="Calibri"/>
        <family val="2"/>
        <scheme val="minor"/>
      </rPr>
      <t xml:space="preserve"> ações dentre as listadas a seguir:</t>
    </r>
  </si>
  <si>
    <t>Malabares (revisada)</t>
  </si>
  <si>
    <t>Especialidade / Insígnia Especial</t>
  </si>
  <si>
    <r>
      <t xml:space="preserve">OU </t>
    </r>
    <r>
      <rPr>
        <sz val="11"/>
        <color rgb="FFFF0066"/>
        <rFont val="Calibri"/>
        <family val="2"/>
        <scheme val="minor"/>
      </rPr>
      <t>Conquistar as seguintes insígnias/especialidades:</t>
    </r>
  </si>
  <si>
    <t>Culinária Típica</t>
  </si>
  <si>
    <t>Brasilidades</t>
  </si>
  <si>
    <r>
      <rPr>
        <sz val="11"/>
        <rFont val="Calibri"/>
        <family val="2"/>
        <scheme val="minor"/>
      </rPr>
      <t xml:space="preserve">Realizar </t>
    </r>
    <r>
      <rPr>
        <b/>
        <sz val="11"/>
        <rFont val="Calibri"/>
        <family val="2"/>
        <scheme val="minor"/>
      </rPr>
      <t>QUATRO</t>
    </r>
    <r>
      <rPr>
        <sz val="11"/>
        <rFont val="Calibri"/>
        <family val="2"/>
        <scheme val="minor"/>
      </rPr>
      <t xml:space="preserve"> a</t>
    </r>
    <r>
      <rPr>
        <sz val="11"/>
        <color theme="1"/>
        <rFont val="Calibri"/>
        <family val="2"/>
        <scheme val="minor"/>
      </rPr>
      <t>ções dentre as listadas a seguir:</t>
    </r>
  </si>
  <si>
    <t>Expressão Musical</t>
  </si>
  <si>
    <r>
      <t xml:space="preserve">Prevenção aos Vícios </t>
    </r>
    <r>
      <rPr>
        <i/>
        <sz val="9"/>
        <color rgb="FFFF0000"/>
        <rFont val="Calibri"/>
        <family val="2"/>
        <scheme val="minor"/>
      </rPr>
      <t>(adaptado Prev Alcoolismo + Prev uso de Drogras)</t>
    </r>
  </si>
  <si>
    <r>
      <rPr>
        <sz val="11"/>
        <rFont val="Calibri"/>
        <family val="2"/>
        <scheme val="minor"/>
      </rPr>
      <t xml:space="preserve">Realizar </t>
    </r>
    <r>
      <rPr>
        <b/>
        <sz val="11"/>
        <rFont val="Calibri"/>
        <family val="2"/>
        <scheme val="minor"/>
      </rPr>
      <t>QUATRO</t>
    </r>
    <r>
      <rPr>
        <sz val="11"/>
        <rFont val="Calibri"/>
        <family val="2"/>
        <scheme val="minor"/>
      </rPr>
      <t xml:space="preserve"> ações dentre as listadas a seguir:</t>
    </r>
  </si>
  <si>
    <r>
      <rPr>
        <sz val="11"/>
        <rFont val="Calibri"/>
        <family val="2"/>
        <scheme val="minor"/>
      </rPr>
      <t>Realizar</t>
    </r>
    <r>
      <rPr>
        <b/>
        <sz val="11"/>
        <rFont val="Calibri"/>
        <family val="2"/>
        <scheme val="minor"/>
      </rPr>
      <t xml:space="preserve"> DUAS</t>
    </r>
    <r>
      <rPr>
        <sz val="11"/>
        <rFont val="Calibri"/>
        <family val="2"/>
        <scheme val="minor"/>
      </rPr>
      <t xml:space="preserve"> ações dentre as listadas a seguir:</t>
    </r>
  </si>
  <si>
    <t>Especialidade 1º socorros, n3</t>
  </si>
  <si>
    <t>Qualquer especialidade</t>
  </si>
  <si>
    <t>Esp. Entrega de Mensagens</t>
  </si>
  <si>
    <t>Pista 37</t>
  </si>
  <si>
    <r>
      <t xml:space="preserve">Pista 82 e 83
</t>
    </r>
    <r>
      <rPr>
        <sz val="9"/>
        <color rgb="FFFF0000"/>
        <rFont val="Calibri"/>
        <family val="2"/>
        <scheme val="minor"/>
      </rPr>
      <t>(ver Guia Aventura Escoteira, pág. 204)</t>
    </r>
  </si>
  <si>
    <t>Esp Internet</t>
  </si>
  <si>
    <t>Esp Radioamadorismo</t>
  </si>
  <si>
    <t>Pista 29</t>
  </si>
  <si>
    <t>Pista 60</t>
  </si>
  <si>
    <t>Rumo 67</t>
  </si>
  <si>
    <t>Rumo 62</t>
  </si>
  <si>
    <t>Pista 9</t>
  </si>
  <si>
    <t>Rumo 39 a 42</t>
  </si>
  <si>
    <t>Pista 8</t>
  </si>
  <si>
    <t>Pista 103 a 106</t>
  </si>
  <si>
    <t>rumo 106 a 108</t>
  </si>
  <si>
    <t>pistas 43 a 45</t>
  </si>
  <si>
    <t>Esp Energia n3</t>
  </si>
  <si>
    <t>Esp Reparos Domésticos n3</t>
  </si>
  <si>
    <t>Pista 94</t>
  </si>
  <si>
    <t>Esp Compostagem</t>
  </si>
  <si>
    <t>Esp Metereologia</t>
  </si>
  <si>
    <t>Esp acampamento</t>
  </si>
  <si>
    <t>rumo 81 a 83</t>
  </si>
  <si>
    <t>rumo 82</t>
  </si>
  <si>
    <t>Esp Genealogia</t>
  </si>
  <si>
    <t>Rumo 68</t>
  </si>
  <si>
    <t>pista 107 a 108</t>
  </si>
  <si>
    <t>Especialidade salvamento, n3</t>
  </si>
  <si>
    <t>Pista 108</t>
  </si>
  <si>
    <t>Pista 12 a 15</t>
  </si>
  <si>
    <t>Propor momentos de descontração com a família ao ar livre, evitando o uso da tecnologia e compartilhar como foi a experiência</t>
  </si>
  <si>
    <t>Rumo 38</t>
  </si>
  <si>
    <t>Pista 33</t>
  </si>
  <si>
    <t>Pista 90</t>
  </si>
  <si>
    <t>Rumo 95</t>
  </si>
  <si>
    <t>Pistas 69</t>
  </si>
  <si>
    <t>Esp Prevenção ao Bullying</t>
  </si>
  <si>
    <t>Pista 1 a 3</t>
  </si>
  <si>
    <t>Pista 22</t>
  </si>
  <si>
    <t>Reduzir, Reciclar e Reutilizar</t>
  </si>
  <si>
    <t>Realizar uma das alternativas abaixo:
a. Convidar seus vizinhos e conhecidos para colaborar em algum mutirão de ajuda à vítimas de desastres naturais.
b. Planejar e executar seu projeto para a Insígnia da Ação Comunitária.
c. Participar ativamente de alguma campanha de auxílio à comunidade.</t>
  </si>
  <si>
    <t>Progressão no novo programa:</t>
  </si>
  <si>
    <t>Blocos educacionais concluídos:</t>
  </si>
  <si>
    <t>BLOCO CONCLUÍDO ?</t>
  </si>
  <si>
    <t>Soma blocos concluídos</t>
  </si>
  <si>
    <t>Nome do(a) jovem:</t>
  </si>
  <si>
    <t>rumo 10</t>
  </si>
  <si>
    <t>rumo 67</t>
  </si>
  <si>
    <t>rumo 56</t>
  </si>
  <si>
    <t>Progressão programa antigo:</t>
  </si>
  <si>
    <t>Prog. Antigo</t>
  </si>
  <si>
    <t>Prog. Novo</t>
  </si>
  <si>
    <t>Nível
1</t>
  </si>
  <si>
    <t>Nível
2</t>
  </si>
  <si>
    <t>Nível
3</t>
  </si>
  <si>
    <t>Esta planilha só realiza equivalências dos itens da modalidade básica. (Os itens de progressão específicos das modalidades do Ar e do Mar, não foram verificados)</t>
  </si>
  <si>
    <t>ESTE NÃO É UM DOCUMENTO OFICIAL DA UNIÃO DOS ESCOTEIROS DO BRASIL (UEB)</t>
  </si>
  <si>
    <t>COMO UTILIZAR ESTA PLANILHA EM APENAS 5 PASSOS:</t>
  </si>
  <si>
    <r>
      <t xml:space="preserve">3º - Na aba "ESPECIALIDADES" digite apenas o numeral "1" (sem as aspas) nas </t>
    </r>
    <r>
      <rPr>
        <sz val="11"/>
        <color rgb="FF0070C0"/>
        <rFont val="Calibri"/>
        <family val="2"/>
        <scheme val="minor"/>
      </rPr>
      <t>células em azul claro</t>
    </r>
    <r>
      <rPr>
        <sz val="11"/>
        <rFont val="Calibri"/>
        <family val="2"/>
        <scheme val="minor"/>
      </rPr>
      <t xml:space="preserve"> ao lado do nome das insígnias e/ou distintivos e/ou respectivas especialidades já conquistadas pelo jovem. Feito isso siga para o próximo passo.</t>
    </r>
  </si>
  <si>
    <r>
      <t xml:space="preserve">pare o mouse/cursor </t>
    </r>
    <r>
      <rPr>
        <u/>
        <sz val="12"/>
        <color rgb="FFFF0000"/>
        <rFont val="Calibri"/>
        <family val="2"/>
        <scheme val="minor"/>
      </rPr>
      <t>aqui</t>
    </r>
    <r>
      <rPr>
        <sz val="12"/>
        <color rgb="FFFF0000"/>
        <rFont val="Calibri"/>
        <family val="2"/>
        <scheme val="minor"/>
      </rPr>
      <t xml:space="preserve"> para abrir informações adicionais</t>
    </r>
  </si>
  <si>
    <r>
      <rPr>
        <b/>
        <sz val="12"/>
        <color rgb="FFFF0000"/>
        <rFont val="Calibri"/>
        <family val="2"/>
        <scheme val="minor"/>
      </rPr>
      <t xml:space="preserve">INSTRUÇÕES: </t>
    </r>
    <r>
      <rPr>
        <sz val="12"/>
        <rFont val="Calibri"/>
        <family val="2"/>
        <scheme val="minor"/>
      </rPr>
      <t>apenas digite o numeral "1" (sem aspas) na célula em azul claro ao lado do nome da especialidade, ou Insíginia já conquistada pelo jovem no programa antigo</t>
    </r>
  </si>
  <si>
    <t>soma para célula I10 - especialidades para a vida</t>
  </si>
  <si>
    <t>Alterar manualmente</t>
  </si>
  <si>
    <t>Pista 1</t>
  </si>
  <si>
    <t>Rumo 14</t>
  </si>
  <si>
    <t>Elaborado por: Chefe Fernando Mendes (contato: fernando.mendes@escoteiros.org.br)</t>
  </si>
  <si>
    <t>PISTAS</t>
  </si>
  <si>
    <t>TRILHA</t>
  </si>
  <si>
    <t>RUMO</t>
  </si>
  <si>
    <t>TRAVESSIA</t>
  </si>
  <si>
    <t>Selecione aqui progressão</t>
  </si>
  <si>
    <t>Especialidades que podem complementar as Ações Educativas Variáveis</t>
  </si>
  <si>
    <t>Intencionalidade Educativa</t>
  </si>
  <si>
    <t>Explorar temas que despertam seu interesse, buscar informações confiáveis para aprender mais e experimentar novas ideias e recursos, aplicando esse conhecimento em atividades e projetos de serviço.</t>
  </si>
  <si>
    <t>Ações Educativas Fixas</t>
  </si>
  <si>
    <t>Ações Educativas Variáveis</t>
  </si>
  <si>
    <t>Visitar com a sua patrulha: hospital,  quartel de bombeiros, delegacia,  empresas,  comércios locais ou outros para conhecer o funcionamento de diferentes profissões</t>
  </si>
  <si>
    <t>Utilizar corretamente um radiocomunicador em atividade da patrulha</t>
  </si>
  <si>
    <t>Realizar uma pesquisa sobre um tema escolhido e apresentar os resultados para a patrulha ou tropa em formato criativo (cartaz, teatro, vídeo, oficina)</t>
  </si>
  <si>
    <t>Planejar e executar, em conjunto com a sua patrulha, uma ação de serviço  comunitário baseada em informações pesquisadas sobre necessidades locais</t>
  </si>
  <si>
    <t>Aeronáutica</t>
  </si>
  <si>
    <t>Assumir diferentes papéis em sua patrulha, sabendo quando colaborar e quando liderar. Aprender a administrar seu dinheiro para realizar atividades e projetos, além de planejar e avaliar tarefas junto com o grupo, tomando decisões de forma responsável.</t>
  </si>
  <si>
    <t>Saber onde encontrar, identificando em um mapa, os principais serviços públicos na cidade.</t>
  </si>
  <si>
    <t>Planejar e executar em patrulha um projeto de captação de recursos para participação em uma atividade escoteira.</t>
  </si>
  <si>
    <t>Participar de atividades ou oficinas sobre finanças pessoais.</t>
  </si>
  <si>
    <t>Assumir pelo menos três encargos diferentes na patrulha, sendo bem avaliado pelos seus companheiros.</t>
  </si>
  <si>
    <t>Administrar o fundo de patrulha por pelo menos três meses, registrando  receitas e despesas, e utilizar os recursos em atividades planejadas pela patrulha.</t>
  </si>
  <si>
    <t>Registrar receitas e despesas simples ou da mesada em planilha ou caderno por um período determinado.</t>
  </si>
  <si>
    <t>Conquistar ao menos uma das seguintes especialidades a seguir no nível 2</t>
  </si>
  <si>
    <t>Usar a criatividade para encontrar soluções práticas para os desafios do dia a dia, analisando diferentes alternativas antes de tomar uma decisão.</t>
  </si>
  <si>
    <t>Conhecer e cantar canções e danças apropriadas para diferentes momentos.</t>
  </si>
  <si>
    <t>Criar uma campanha publicitária divertida promovendo algum projeto ou atividade da patrulha ou Tropa Escoteira</t>
  </si>
  <si>
    <t>Construir equipamentos improvisados de campo (mesa, suporte, abrigo, utensílios) utilizando materiais disponíveis.</t>
  </si>
  <si>
    <t>Propor e implementar soluções criativas para reduzir custos de uma atividade, aproveitando materiais recicláveis ou doados.</t>
  </si>
  <si>
    <t>Ensinar e aplicar dois novos jogos para sua tropa.</t>
  </si>
  <si>
    <t>Criar alternativas criativas para decorar o canto da patrulha ou o acampamento.</t>
  </si>
  <si>
    <t>Improvisar apresentações artísticas (esquetes, músicas, danças) em um Fogo  de Conselho, explorando recursos disponíveis.</t>
  </si>
  <si>
    <t>Criar um vídeo de divulgação das atividades de sua patrulha ou tropa.</t>
  </si>
  <si>
    <t>Identificar situações perigosas e de maus tratos, sabendo como agir e a quem recorrer.</t>
  </si>
  <si>
    <t>Identificar seus medos e suas emoções diante a um obstáculo desafiador, trabalhando para conseguir superá-lo.</t>
  </si>
  <si>
    <t>Conversar com a patrulha sobre pontos fortes e de melhoria no desempenho da equipe em atividades e acampamentos.</t>
  </si>
  <si>
    <t>Em um acampamento, participar de um turno de ronda com outro  companheiro de patrulha, refletindo sobre o cuidado com o outro.</t>
  </si>
  <si>
    <t>Participar de jogos ou competições, respeitando regras e resultados.</t>
  </si>
  <si>
    <t>Em uma atividade de patrulha ou de tropa aplicar técnicas de respiração, relaxamento ou meditação antes de um grande desafio.</t>
  </si>
  <si>
    <t>Participar de rodas de conversa ou momentos de partilha após atividades intensas, ouvindo e respeitando as emoções dos demais.</t>
  </si>
  <si>
    <t>Escrever uma pequena carta para si mesmo com palavras de incentivo, lembrando de suas qualidades e dando sugestões de como você pode superar desafios futuros.</t>
  </si>
  <si>
    <t>Avaliar o impacto ambiental de uma atividade e apresentar alternativas mais sustentáveis.</t>
  </si>
  <si>
    <t>Registrar e analisar o consumo de água e energia da sua residência, buscando ideias para economizar, e apresentar para sua patrulha os resultados.</t>
  </si>
  <si>
    <t>Visitar uma estação de energia renovável, uma estação de tratamento de água, uma cooperativa ou usina de reciclagem ou outras opções semelhantes.</t>
  </si>
  <si>
    <t>Consertar objetos simples, como brinquedos ou pequenos eletrodomésticos.</t>
  </si>
  <si>
    <t>Utilizar embalagens retornáveis ou reutilizáveis nas refeições de campo, evitando descartáveis.</t>
  </si>
  <si>
    <t>Separar resíduos orgânicos e criar um sistema de compostagem caseira</t>
  </si>
  <si>
    <t>Criar uma campanha educativa para a tropa sobre consumo consciente e economia de recursos.</t>
  </si>
  <si>
    <t>Trocar roupas, livros ou jogos com amigos e familiares em vez de comprar novos.</t>
  </si>
  <si>
    <t>Organizar, com sua patrulha, uma campanha de conscientização sobre consumo responsável.</t>
  </si>
  <si>
    <t>Confeccionar utensílios ou equipamentos a partir de materiais reciclados para uso nas atividades da patrulha.</t>
  </si>
  <si>
    <t>Planejar e realizar as refeições de um dia de acampamento sem carne, garantindo a ingestão adequada de proteínas.</t>
  </si>
  <si>
    <t>Organizar, cuidar e fazer reparos nos materiais da patrulha.</t>
  </si>
  <si>
    <t>Se envolver em atividades e projetos para reduzir os impactos ambientais e combater as mudanças climáticas.</t>
  </si>
  <si>
    <t>Em um acampamento, criar uma estação meteorológica simples para registrar temperatura, umidade, direção do vento, nuvens e possíveis mudanças no tempo.</t>
  </si>
  <si>
    <t>Participar da construção de um fogão solar e usá-lo em um acampamento de patrulha ou tropa.</t>
  </si>
  <si>
    <t>Participar de uma excursão urbana com foco ecológico, identificando situações de risco para a sociedade referentes às mudanças climáticas.</t>
  </si>
  <si>
    <t>Visitar ou participar de uma atividade com uma organização que atua em prol do meio ambiente.</t>
  </si>
  <si>
    <t>Em uma excursão ou acampamento em área não urbana, identificar ações prejudiciais à natureza, como extrativismo e mineração, e listar seus impactos.</t>
  </si>
  <si>
    <t>Planejar e participar de uma excursão, utilizando meios de transporte que dependem de fontes de energia limpa (bicicleta, ônibus elétrico, embarcação a remo, entre outros).</t>
  </si>
  <si>
    <t>Organizar, com sua patrulha ou tropa, um projeto de conscientização sobre o uso de energia e água em sua escola, condomínio ou sede da UEL.</t>
  </si>
  <si>
    <t>Conquistar ao menos uma das seguintes especialidades a seguir no nível 2 ou Insígnias</t>
  </si>
  <si>
    <t>Ações Educacionais Fixas</t>
  </si>
  <si>
    <t>Ações Educacionais Variáveis</t>
  </si>
  <si>
    <t>PRESERVAÇÃO DA BIODIVERSIDADE</t>
  </si>
  <si>
    <t>Cuidar dos animais e das plantas, entendendo como as atitudes humanas podem protegê-los ou prejudicá-los.</t>
  </si>
  <si>
    <t>Participar de uma atividade de observação de animais noturnos com sua patrulha.</t>
  </si>
  <si>
    <t>Participar de uma atividade de mergulho que tenha o objetivo de conhecer e explorar a vida na água.</t>
  </si>
  <si>
    <t>Animais Venenosos e Peçonhentos</t>
  </si>
  <si>
    <r>
      <t xml:space="preserve">Animais Peçonhentos </t>
    </r>
    <r>
      <rPr>
        <sz val="8"/>
        <rFont val="Calibri"/>
        <family val="2"/>
      </rPr>
      <t>(Equiparação com a nova: Animais Venenosos e Peçonhentos)</t>
    </r>
  </si>
  <si>
    <t>Aproveitar as atividades ao ar livre com responsabilidade, respeitando a natureza e deixando os lugares sempre melhores do que encontrou.</t>
  </si>
  <si>
    <t>Aplicar os nós direito, correr, aselha, volta do fiel, escota, durante um acampamento sabendo sua utilização.</t>
  </si>
  <si>
    <t>Confeccionar falcaças, nó catau, lais de guia, pescador, oito duplo e demonstrar cuidados com as cordas.</t>
  </si>
  <si>
    <t>Realizar  boas  ações diariamente  e  trabalhar em  equipe para organizar atividades e projetos de serviço que beneficiem a comunidade</t>
  </si>
  <si>
    <t>Participar das decisões da tropa, contribuindo com suas ideias, respeitando as opiniões dos colegas e se comprometendo a seguir o que foi decidido coletivamente.</t>
  </si>
  <si>
    <t>Participar ativamente de um fórum de jovens do grupo escoteiro.</t>
  </si>
  <si>
    <t>Explorar e valorizar a cultura de sua comunidade e de seus país, conhecendo costumes, tradições, folclore e geografia, e propor atividades para compartilhar esses conhecimentos com os outros.</t>
  </si>
  <si>
    <t>OU conquistar ao menos uma das seguintes especialidades a seguir no nível 2 ou Insígnias</t>
  </si>
  <si>
    <r>
      <t xml:space="preserve">Tradições dos Povos Originários </t>
    </r>
    <r>
      <rPr>
        <i/>
        <sz val="9"/>
        <color rgb="FFFF0000"/>
        <rFont val="Calibri"/>
        <family val="2"/>
        <scheme val="minor"/>
      </rPr>
      <t>(por equiparação a antiga Tradições Indígenas)</t>
    </r>
  </si>
  <si>
    <t>Promover a paz, a inclusão e a diversidade em suas ações diárias, respeitando e demonstrando interesse por diferentes crenças e tradições espirituais.</t>
  </si>
  <si>
    <t>Criar  com  sua  patrulha  ou seção  um  calendário  de celebrações religiosas das diferentes denominações de fé e crença ali presentes.</t>
  </si>
  <si>
    <t>OU conquistar ao menos uma das seguintes Insígnias</t>
  </si>
  <si>
    <t>OU conquistar ao menos uma das seguintes especialidades a seguir no nível 2</t>
  </si>
  <si>
    <t>Atuar de acordo com seus valores pessoais e os princípios do Movimento Escoteiro, vivenciando sua Promessa e a Lei Escoteira em todas as suas atitudes.</t>
  </si>
  <si>
    <t>Conhecer as ações iniciais em acidentes e como cuidar de:
- pequenos cortes;
- contusões;
- escoriações;
- queimaduras e
- picadas de animais peçonhentos.</t>
  </si>
  <si>
    <t>Aplicar técnicas de bandagens e transporte de feridos.</t>
  </si>
  <si>
    <t>Cuidar da segurança física e mental nas atividades escoteiras, respeitando os limites próprios e dos outros, e seguindo as orientações dos escotistas.</t>
  </si>
  <si>
    <t>Participar de uma atividade, oficina, palestra que trate dos malefícios dos seguintes assuntos: anorexia, bulimia, drogas, álcool, cigarro e cigarros eletrônicos.</t>
  </si>
  <si>
    <t>Participar  de  uma  simulação  de  acidente  e  atuar  em conjunto com a sua patrulha.</t>
  </si>
  <si>
    <t>Explora a espiritualidade observado as maravilhas da natureza, praticando a solidariedade e conhecendo diferentes crenças. Além disso, se esforça para viver seus princípios diariamente.</t>
  </si>
  <si>
    <t>Fazer reflexões espirituais rotineiras na tropa ou patrulha, ao ar livre.</t>
  </si>
  <si>
    <t>OU conquistar ao menos uma das seguintes especialidades a seguir no nível 2 ou Insígnia</t>
  </si>
  <si>
    <t>Cuidar da própria saúde praticando exercícios físicos, mantendo uma alimentação equilibrada e garantindo bons hábitos de higiene pessoal e organização do seu espaço.</t>
  </si>
  <si>
    <t>Saber o que são as indicações de rótulos, o que são gorduras saturadas, conservantes, corantes além dos selos de advertência.</t>
  </si>
  <si>
    <t>Arrumar e limpar seu quarto e contribuir nas rotinas da casa.</t>
  </si>
  <si>
    <r>
      <t>Tiro com Arco</t>
    </r>
    <r>
      <rPr>
        <i/>
        <sz val="9"/>
        <color rgb="FFFF0000"/>
        <rFont val="Calibri"/>
        <family val="2"/>
        <scheme val="minor"/>
      </rPr>
      <t xml:space="preserve"> (equiparado com a antiga Arco e Flecha)</t>
    </r>
  </si>
  <si>
    <r>
      <t>Ginásticas</t>
    </r>
    <r>
      <rPr>
        <i/>
        <sz val="9"/>
        <color rgb="FFFF0000"/>
        <rFont val="Calibri"/>
        <family val="2"/>
        <scheme val="minor"/>
      </rPr>
      <t xml:space="preserve"> (equiparada com as antigas Ginástica e Ginástica Rítmica)</t>
    </r>
  </si>
  <si>
    <t>Adotar práticas que ajudam a manter o equilíbrio da saúde mental, buscando estratégias para lidar com desafios e contribuindo para o bem-estar das pessoas ao seu redor.</t>
  </si>
  <si>
    <t>Criar laços de amizade de forma saudável, respeitosa e empática, fortalecendo suas relações pessoais de positiva.</t>
  </si>
  <si>
    <t>Realizar uma campanha para combater o bullying e cyberbullying para a comunidade.</t>
  </si>
  <si>
    <t>Orientar-se com recursos naturais, bússola e mapa, utilizando azimutes</t>
  </si>
  <si>
    <t>Insígnia da Lusofonia</t>
  </si>
  <si>
    <t>Insígnia do Cone Sul</t>
  </si>
  <si>
    <t>Insígnia da Ação Comunitária</t>
  </si>
  <si>
    <t>Insígnia Campeões da Natureza</t>
  </si>
  <si>
    <t>Insígnia Escoteiros pela Energia Solar</t>
  </si>
  <si>
    <t>PISTAS E TRILHA</t>
  </si>
  <si>
    <t>pista 83</t>
  </si>
  <si>
    <t xml:space="preserve">pistas P46 e 47 </t>
  </si>
  <si>
    <t>Reconhecer e compreender suas emoções, aprender a lidar com elas de maneira respeitosa e desenvolver resiliência ao enfrentar desafios e superar dificuldades.</t>
  </si>
  <si>
    <t>Compreender e respeitar as mudanças do seu próprio corpo e das outras pessoas, independentemente de aparência, identidade ou orientação sexual. Se desafiar a superar suas limitações físicas e aprender técnicas básicas de primeiros socorros.</t>
  </si>
  <si>
    <t>Pista 21</t>
  </si>
  <si>
    <t>Atividades do Programa Anterior que podem complementar as atividades variáveis</t>
  </si>
  <si>
    <t>Atividades Pistas e Trilha 
Intelectual: I22, I23, I24, I25, I26, I32, I33
Atividades Rumo e Travessia 
Intelectual: I21, I22, I23, I24</t>
  </si>
  <si>
    <t>Atividades do Programa Anterior que podem complementar as atividades variáveis:</t>
  </si>
  <si>
    <t>Atividades Pistas e Trilha 
Intelectual: I28, I29, I30, I31
Social: S73, S74, S75, S76
Atividades Rumo e Travessia 
Intelectual: I25, I26, I27, I28
Caráter: C51, C52, C53, C54</t>
  </si>
  <si>
    <t>Atividades Pistas e Trilha 
Intelectual: I34, I35, I36, I37, I38, I39,
Atividades Rumo e Travessia 
Intelectual: I36, I36, I38, I41, I42, I43, I44, I45, I46</t>
  </si>
  <si>
    <t>Atividades Pistas e Trilha 
Caráter: C43, C42, C43, C44, C45, C52, C53, C54
Atividades Rumo e Travessia 
Caráter: C47, C48, C49, C50, C63, C64, C65, C66, C67, C68, C69</t>
  </si>
  <si>
    <t>Atividades Rumo e Travessia 
Intelectual: I39, I40</t>
  </si>
  <si>
    <t>Atividades Pistas e Trilha 
Intelectual: I27
Atividades Rumo e Travessia
Social: S100, S101, S102</t>
  </si>
  <si>
    <t>Atividades Pistas e Trilha 
Social: S94, S95, S96</t>
  </si>
  <si>
    <t>Atividades Pistas e Trilha 
Físico: F1
Intelectual: I21, I40, I41, I42</t>
  </si>
  <si>
    <t>Atividades Pistas e Trilha 
Social: S80, S81
Atividades Rumo e Travessia
Intelectual: I33, I34, I35
Social: S88, S89, S90, S91</t>
  </si>
  <si>
    <t>Atividades Pistas e Trilha 
Afetivo A59, A60, A61, A62
Social: S77, S78, S79
Atividades Rumo e Travessia
Social: S81, S82, S83, S84, S85, S86, S87</t>
  </si>
  <si>
    <t>Atividades Pistas e Trilha 
Social: S84, S85, S86, S87</t>
  </si>
  <si>
    <t>Atividades Pistas e Trilha 
Afetivo: A65,A66, A67
Social: S71, S71, S92, S93
Espiritual: E107, E108 
Atividades Rumo e Travessia
Afetivo: A70, A71, A72
Social: S78, S79, S80, S99
Espiritual: E112, e113</t>
  </si>
  <si>
    <t>Atividades Pistas e Trilha 
Caráter: C46, C47, C48, C49
Afetivo: A63, A64
Social: S88, S89, S90, S91
Espiritual: E100, E101, E102
Atividades Rumo e Travessia
Caráter: C55, C56, C57, C58, C59
Social: S95, S96, S97, S98
Espiritual: E109, E110, E111</t>
  </si>
  <si>
    <t>Atividades Pistas e Trilha 
Físico: F4, F5, F6, F7
Social: S82, S83
Atividades Rumo e Travessia
Físico: F1, F2, F3, F4, F5, F6, F7</t>
  </si>
  <si>
    <t>Atividades Pistas e Trilha 
Espiritual: E97, E98, E99, E103, E104, E105, E106
Atividades Rumo e Travessia
Espiritual: E103, E104, E105, E106, E107, E108</t>
  </si>
  <si>
    <t>Atividades Pistas e Trilha 
Físico: F2, F3, F8, F9, F10, F11, F2, F13, F14, F15, F19, F20
Atividades Rumo e Travessia
Físico: F8, F9, F10, F11, F12, F13, F14, F19, F20</t>
  </si>
  <si>
    <t>Atividades Pistas e Trilha 
Físico: F16, F17, F18
Caráter: C50, C51
Afetivo: A55, A56, A57, A58
Atividades Rumo e Travessia
Físico: F15, F16, F17, F18
Caráter: C60, C61, C62</t>
  </si>
  <si>
    <t>Atividades Pistas e Trilha 
Afetivo: A68, A69, A70
Atividades Rumo e Travessia
Intelectual: I29, I30, I31, I32
Afetivo: A73, A74, A75, A76, A77</t>
  </si>
  <si>
    <t>pista 74</t>
  </si>
  <si>
    <t>Pista 75</t>
  </si>
  <si>
    <t>Pista 76</t>
  </si>
  <si>
    <t>Rumo 51</t>
  </si>
  <si>
    <t>Rumo 21 a 24</t>
  </si>
  <si>
    <t>rumo 101</t>
  </si>
  <si>
    <t>Pista 94 a 96</t>
  </si>
  <si>
    <t>Pista 96</t>
  </si>
  <si>
    <t>Rumo 100</t>
  </si>
  <si>
    <t>pista 84 a 87</t>
  </si>
  <si>
    <t>rumo 6</t>
  </si>
  <si>
    <t>P55 a 58</t>
  </si>
  <si>
    <t>Rumo 15 a 18</t>
  </si>
  <si>
    <t>Pista 65</t>
  </si>
  <si>
    <t>Rumo 73 + 74</t>
  </si>
  <si>
    <r>
      <t xml:space="preserve">1º - Você precisará de um novo arquivo/planilha para cada jovem, portanto sugere-se deixar o arquivo original salvo em seu computador para utilizar como modelo.
Na aba "Dados do Jovem" insira  nas </t>
    </r>
    <r>
      <rPr>
        <sz val="11"/>
        <color rgb="FF0070C0"/>
        <rFont val="Calibri"/>
        <family val="2"/>
        <scheme val="minor"/>
      </rPr>
      <t>células em azul claro</t>
    </r>
    <r>
      <rPr>
        <sz val="11"/>
        <rFont val="Calibri"/>
        <family val="2"/>
        <scheme val="minor"/>
      </rPr>
      <t xml:space="preserve"> na coluna "B" o nome do(a) jovem e selecione a progressão em que ele(a) se encontra no programa antigo. Siga para o próximo passo.</t>
    </r>
  </si>
  <si>
    <t>4º - Após preencher as abas conforme orientações indicadas nos passos acima, verifique nas abas relacionadas ao programa atualizado, quais sejam: "HABILIDADES PARA A VIDA", "MEIO AMBIENTE", "PAZ E DESENVOLVIMENTO" e "SAÚDE E BEM ESTAR" quais itens da progressão do programa atualizado o jovem já conquistou, por equivalência.
Dica: Parar o mouse/cursos sobre o item no programa atual abrirá a informação sobre qual a equivalência adotada em relação ao programa antigo, sendo utilizada as siglas "P" para Pistas e Trilha, e "R" para Rumo e Travessia. Exemplo: P2 significa que a equivalênica para item é o item 2 de Pistas e Trilha.
Siga para o próximo passo.</t>
  </si>
  <si>
    <r>
      <t xml:space="preserve">5º - Retorne à aba "Dados do Jovem" e verifique qual fase de progressão o jovem conseguiu atingir com as equiparações/equivalências realizadas.
Destaca-se que o(a) jovem deve estar </t>
    </r>
    <r>
      <rPr>
        <b/>
        <u/>
        <sz val="11"/>
        <rFont val="Calibri"/>
        <family val="2"/>
        <scheme val="minor"/>
      </rPr>
      <t>no mínimo</t>
    </r>
    <r>
      <rPr>
        <sz val="11"/>
        <rFont val="Calibri"/>
        <family val="2"/>
        <scheme val="minor"/>
      </rPr>
      <t xml:space="preserve"> na mesma fase de progressão (Pistas, Trilha, Rumo ou Travessia) na qual já estava antes da conversão.
Se a conversão/equiparação não fizer com que chegue pelo menos à mesma fase de progressão em que estava antes, o escotista deve imediatamente verificar se há algum item de ações varíaveis/fixas que pode validar no programa novo (veja no parágrafo abaixo como validar um item manualmente) e/ou ter rápida conversa com o(a) jovem para quais os itens mínimos que faltarem para chegar à mesma fase de progressão anterior podem ser imediatamente validados pelo chefe, de modo que o jovem possa então seguir com sua progressão normalmente.
Uma vez estando adequada a fase de progressão é possível verificar nas abas "HABILIDADES PARA A VIDA", "MEIO AMBIENTE", "PAZ E DESENVOLVIMENTO" e "SAÚDE E BEM ESTAR" quais os itens que estão cumpridos, para posteriormente marca-los no sistema adequado (app mAPPa, PAXTU ou outro que vier a ser utilizado pela UEB).</t>
    </r>
  </si>
  <si>
    <t>Sim, já concluiu 100% dos itens</t>
  </si>
  <si>
    <t>Não concluiu 100% dos itens</t>
  </si>
  <si>
    <t>Selecione na célula abaixo: o(a) jovem já concluiu todos os itens de Pistas e Trilhas?</t>
  </si>
  <si>
    <t>Marcar abaixo apenas o numeral "1" (sem as aspas) nas células em azul claro na coluna "A", ao lado dos itens que já foram realizados pelo jovem no programa antigo</t>
  </si>
  <si>
    <r>
      <t>2º - Na aba "PISTAS E TRILHAS" escolha na caixa de seleção se o(a) jovem já realizou 100% dos itens, neste caso a planilha preencherá os dados automaticamente OU caso não tenha realizado 100% dos itens: digite apenas o numeral "1" (sem as aspas) nas</t>
    </r>
    <r>
      <rPr>
        <sz val="11"/>
        <color rgb="FF0070C0"/>
        <rFont val="Calibri"/>
        <family val="2"/>
        <scheme val="minor"/>
      </rPr>
      <t xml:space="preserve"> células em azul claro </t>
    </r>
    <r>
      <rPr>
        <sz val="11"/>
        <rFont val="Calibri"/>
        <family val="2"/>
        <scheme val="minor"/>
      </rPr>
      <t>na coluna "A", ao lado dos itens que já foram realizados pelo jovem no programa antigo. Acesse o mAPPa ou o PAXTU para buscar estas informações.
Na aba "RUMO E TRAVESSIA" digite apenas o numeral "1" (sem as aspas) nas</t>
    </r>
    <r>
      <rPr>
        <sz val="11"/>
        <color theme="8"/>
        <rFont val="Calibri"/>
        <family val="2"/>
        <scheme val="minor"/>
      </rPr>
      <t xml:space="preserve"> </t>
    </r>
    <r>
      <rPr>
        <sz val="11"/>
        <color theme="4"/>
        <rFont val="Calibri"/>
        <family val="2"/>
        <scheme val="minor"/>
      </rPr>
      <t>células em azul claro</t>
    </r>
    <r>
      <rPr>
        <sz val="11"/>
        <rFont val="Calibri"/>
        <family val="2"/>
        <scheme val="minor"/>
      </rPr>
      <t xml:space="preserve"> na coluna "A", ao lado dos itens que já foram realizados pelo jovem no programa antigo. Acesse o mAPPa ou o PAXTU para buscar estas informações.
Após inserir as informações nas abas "PISTAS E TRILHA" e "RUMO E TRAVESSIA" e siga para o próximo passo.</t>
    </r>
  </si>
  <si>
    <r>
      <t xml:space="preserve">Esportes de Quadra </t>
    </r>
    <r>
      <rPr>
        <i/>
        <sz val="10"/>
        <color rgb="FFFF0000"/>
        <rFont val="Calibri"/>
        <family val="2"/>
        <scheme val="minor"/>
      </rPr>
      <t xml:space="preserve"> (equiparada com as antigas Handebol e Voleibol)</t>
    </r>
  </si>
  <si>
    <t>Esp Educação Financeira</t>
  </si>
  <si>
    <t>As "equivalências" apontadas nesta planilha foram feitas por observações pessoais e subjetivas do criador desta planilha e podem não refletir o entendimento de outros escotistas, os quais farão as conversões/equiparações da progressão dos seus jovens conforme seus próprios entendimentos e critérios.</t>
  </si>
  <si>
    <t>Por se tratar de equiparações subjetivas e individualizadas para cada jovem, o escotista pode (e deve!) realizar outras alterações/equiparações conforme suas necessidades/entendimento, motivo pelo qual a presente planilha caso utilizada deve ser tratada apenas como um documento de orientação, e não como a verdade absoluta.</t>
  </si>
  <si>
    <t>Foi observado que alguns itens de progressão do  programa atualizado "equivalem" à íntegra ou são muito similares a 100% de determinadas competências do programa anterior, portanto alguns itens do  programa atualizado somente serão considerados OK nesta planilha caso o jovem tenha atingido 100% da competência do programa anterior</t>
  </si>
  <si>
    <t>As especialidades sofreram modificações no novo programa, algumas foram extintas e outras foram criadas. As especialidades de VOLEI e HANDEBOL, por exemplo, não existem mais. Contundo foi criada a especialidade ESPORTES DE QUADRA, que para esta planilha são equivalentes, ou seja, se o(a) jovem possui especialidade de volei ou handebol esta planilha valida o item de progressão como se tivesse a especialidade de esportes de quadra. Da mesma forma ocorre com as especialidades de GINÁSTIVA RITMICA e GINÁSTICA ARTÍSTICA, que não existem mais, porém existe a agora a especialidade de GINÁSTICAS.</t>
  </si>
  <si>
    <r>
      <t xml:space="preserve">
</t>
    </r>
    <r>
      <rPr>
        <b/>
        <sz val="11"/>
        <color rgb="FFFF0000"/>
        <rFont val="Calibri"/>
        <family val="2"/>
        <scheme val="minor"/>
      </rPr>
      <t>Eu não concordo com uma ou mais equivalências feitas automaticamnte pela planilha E/OU quero validar um item que acabei de conversar com o(a) jovem para chegar na progressar correta? Como fazer?</t>
    </r>
    <r>
      <rPr>
        <sz val="11"/>
        <rFont val="Calibri"/>
        <family val="2"/>
        <scheme val="minor"/>
      </rPr>
      <t xml:space="preserve">
Se você não concorda com a equivalência automática feita pela planilha você pode desmarcar o item manualmente inserindo o numeral "-1" (um negativo, sem aspas) </t>
    </r>
    <r>
      <rPr>
        <sz val="11"/>
        <color theme="4" tint="-0.249977111117893"/>
        <rFont val="Calibri"/>
        <family val="2"/>
        <scheme val="minor"/>
      </rPr>
      <t>na célula em azul claro</t>
    </r>
    <r>
      <rPr>
        <sz val="11"/>
        <rFont val="Calibri"/>
        <family val="2"/>
        <scheme val="minor"/>
      </rPr>
      <t xml:space="preserve"> ao lado direito do respectivo item. Feito isto o item não será considerado cumprido pelo(a) jovem.
Para validar manualmente um item de progressão basta digitar o numeral "1" (sem aspas) na </t>
    </r>
    <r>
      <rPr>
        <sz val="11"/>
        <color theme="8" tint="-0.499984740745262"/>
        <rFont val="Calibri"/>
        <family val="2"/>
        <scheme val="minor"/>
      </rPr>
      <t>célula em azul claro</t>
    </r>
    <r>
      <rPr>
        <sz val="11"/>
        <rFont val="Calibri"/>
        <family val="2"/>
        <scheme val="minor"/>
      </rPr>
      <t xml:space="preserve"> ao lado direito do respectivo item. Feito isto o item será validado e considerado como cumprido.
Caso resolva retornar para o sistema automatizado pela planilha, basta deixar novamente a </t>
    </r>
    <r>
      <rPr>
        <sz val="11"/>
        <color theme="8" tint="-0.499984740745262"/>
        <rFont val="Calibri"/>
        <family val="2"/>
        <scheme val="minor"/>
      </rPr>
      <t xml:space="preserve">célula em azul claro </t>
    </r>
    <r>
      <rPr>
        <sz val="11"/>
        <rFont val="Calibri"/>
        <family val="2"/>
        <scheme val="minor"/>
      </rPr>
      <t xml:space="preserve">sem nenhum preenchimento (vazia). Feito isso a planilha voltará a considerar apenas a conversão/equiparação automática daquele item.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</si>
</sst>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2" x14ac:knownFonts="1">
    <font>
      <sz val="11"/>
      <color theme="1"/>
      <name val="Calibri"/>
      <family val="2"/>
      <scheme val="minor"/>
    </font>
    <font>
      <b/>
      <sz val="11"/>
      <color rgb="FFFF0000"/>
      <name val="Calibri"/>
      <family val="2"/>
      <scheme val="minor"/>
    </font>
    <font>
      <b/>
      <sz val="12"/>
      <name val="Calibri"/>
      <family val="2"/>
    </font>
    <font>
      <sz val="12"/>
      <name val="Calibri"/>
      <family val="2"/>
    </font>
    <font>
      <sz val="11"/>
      <name val="Calibri"/>
      <family val="2"/>
      <scheme val="minor"/>
    </font>
    <font>
      <b/>
      <sz val="11"/>
      <name val="Calibri"/>
      <family val="2"/>
      <scheme val="minor"/>
    </font>
    <font>
      <b/>
      <sz val="11"/>
      <color theme="1"/>
      <name val="Calibri"/>
      <family val="2"/>
      <scheme val="minor"/>
    </font>
    <font>
      <b/>
      <sz val="11"/>
      <color rgb="FFFF0066"/>
      <name val="Calibri"/>
      <family val="2"/>
    </font>
    <font>
      <sz val="8"/>
      <name val="Calibri"/>
      <family val="2"/>
      <scheme val="minor"/>
    </font>
    <font>
      <sz val="11"/>
      <color rgb="FFFF0000"/>
      <name val="Calibri"/>
      <family val="2"/>
      <scheme val="minor"/>
    </font>
    <font>
      <sz val="11"/>
      <color theme="0"/>
      <name val="Calibri"/>
      <family val="2"/>
      <scheme val="minor"/>
    </font>
    <font>
      <i/>
      <sz val="10"/>
      <color theme="1"/>
      <name val="Calibri"/>
      <family val="2"/>
      <scheme val="minor"/>
    </font>
    <font>
      <b/>
      <sz val="11"/>
      <color rgb="FF008000"/>
      <name val="Calibri"/>
      <family val="2"/>
      <scheme val="minor"/>
    </font>
    <font>
      <sz val="11"/>
      <color rgb="FF008000"/>
      <name val="Calibri"/>
      <family val="2"/>
      <scheme val="minor"/>
    </font>
    <font>
      <b/>
      <sz val="22"/>
      <color theme="4" tint="-0.499984740745262"/>
      <name val="Calibri"/>
      <family val="2"/>
      <scheme val="minor"/>
    </font>
    <font>
      <b/>
      <sz val="12"/>
      <color theme="4" tint="-0.499984740745262"/>
      <name val="Calibri"/>
      <family val="2"/>
      <scheme val="minor"/>
    </font>
    <font>
      <b/>
      <sz val="11"/>
      <color theme="4" tint="-0.499984740745262"/>
      <name val="Calibri"/>
      <family val="2"/>
      <scheme val="minor"/>
    </font>
    <font>
      <b/>
      <sz val="22"/>
      <color rgb="FFE07F6E"/>
      <name val="Calibri"/>
      <family val="2"/>
      <scheme val="minor"/>
    </font>
    <font>
      <b/>
      <sz val="12"/>
      <color rgb="FFE07F6E"/>
      <name val="Calibri"/>
      <family val="2"/>
      <scheme val="minor"/>
    </font>
    <font>
      <b/>
      <sz val="11"/>
      <color rgb="FFE07F6E"/>
      <name val="Calibri"/>
      <family val="2"/>
      <scheme val="minor"/>
    </font>
    <font>
      <sz val="11"/>
      <color rgb="FFFF0066"/>
      <name val="Calibri"/>
      <family val="2"/>
      <scheme val="minor"/>
    </font>
    <font>
      <b/>
      <sz val="22"/>
      <color rgb="FFE72460"/>
      <name val="Calibri"/>
      <family val="2"/>
      <scheme val="minor"/>
    </font>
    <font>
      <b/>
      <sz val="11"/>
      <color rgb="FFE72460"/>
      <name val="Calibri"/>
      <family val="2"/>
      <scheme val="minor"/>
    </font>
    <font>
      <b/>
      <sz val="10"/>
      <color rgb="FFFF0000"/>
      <name val="Calibri"/>
      <family val="2"/>
      <scheme val="minor"/>
    </font>
    <font>
      <sz val="10"/>
      <color rgb="FFFF0000"/>
      <name val="Calibri"/>
      <family val="2"/>
      <scheme val="minor"/>
    </font>
    <font>
      <b/>
      <sz val="22"/>
      <color rgb="FF449851"/>
      <name val="Calibri"/>
      <family val="2"/>
      <scheme val="minor"/>
    </font>
    <font>
      <b/>
      <sz val="11"/>
      <color rgb="FF449851"/>
      <name val="Calibri"/>
      <family val="2"/>
      <scheme val="minor"/>
    </font>
    <font>
      <i/>
      <sz val="9"/>
      <color rgb="FFFF0000"/>
      <name val="Calibri"/>
      <family val="2"/>
      <scheme val="minor"/>
    </font>
    <font>
      <b/>
      <sz val="11"/>
      <name val="Calibri"/>
      <family val="2"/>
    </font>
    <font>
      <i/>
      <sz val="9"/>
      <color rgb="FFFF0000"/>
      <name val="Calibri"/>
      <family val="2"/>
    </font>
    <font>
      <b/>
      <u/>
      <sz val="11"/>
      <color theme="1"/>
      <name val="Calibri"/>
      <family val="2"/>
      <scheme val="minor"/>
    </font>
    <font>
      <sz val="9"/>
      <color rgb="FFFF0000"/>
      <name val="Calibri"/>
      <family val="2"/>
      <scheme val="minor"/>
    </font>
    <font>
      <b/>
      <i/>
      <sz val="14"/>
      <name val="Calibri"/>
      <family val="2"/>
      <scheme val="minor"/>
    </font>
    <font>
      <b/>
      <i/>
      <sz val="16"/>
      <name val="Calibri"/>
      <family val="2"/>
      <scheme val="minor"/>
    </font>
    <font>
      <sz val="11"/>
      <color rgb="FF0070C0"/>
      <name val="Calibri"/>
      <family val="2"/>
      <scheme val="minor"/>
    </font>
    <font>
      <sz val="9"/>
      <name val="Calibri"/>
      <family val="2"/>
      <scheme val="minor"/>
    </font>
    <font>
      <sz val="14"/>
      <color theme="1"/>
      <name val="Calibri"/>
      <family val="2"/>
      <scheme val="minor"/>
    </font>
    <font>
      <sz val="16"/>
      <color theme="1"/>
      <name val="Calibri"/>
      <family val="2"/>
      <scheme val="minor"/>
    </font>
    <font>
      <b/>
      <sz val="16"/>
      <color theme="1"/>
      <name val="Calibri"/>
      <family val="2"/>
      <scheme val="minor"/>
    </font>
    <font>
      <b/>
      <sz val="14"/>
      <color theme="1"/>
      <name val="Calibri"/>
      <family val="2"/>
      <scheme val="minor"/>
    </font>
    <font>
      <b/>
      <i/>
      <sz val="11"/>
      <name val="Calibri"/>
      <family val="2"/>
      <scheme val="minor"/>
    </font>
    <font>
      <b/>
      <i/>
      <sz val="14"/>
      <color rgb="FFFF0000"/>
      <name val="Calibri"/>
      <family val="2"/>
      <scheme val="minor"/>
    </font>
    <font>
      <b/>
      <i/>
      <sz val="20"/>
      <name val="Calibri"/>
      <family val="2"/>
      <scheme val="minor"/>
    </font>
    <font>
      <b/>
      <sz val="9"/>
      <color rgb="FFFF0000"/>
      <name val="Calibri"/>
      <family val="2"/>
      <scheme val="minor"/>
    </font>
    <font>
      <b/>
      <u/>
      <sz val="11"/>
      <name val="Calibri"/>
      <family val="2"/>
      <scheme val="minor"/>
    </font>
    <font>
      <sz val="9"/>
      <color indexed="81"/>
      <name val="Segoe UI"/>
      <family val="2"/>
    </font>
    <font>
      <b/>
      <sz val="9"/>
      <color indexed="81"/>
      <name val="Segoe UI"/>
      <family val="2"/>
    </font>
    <font>
      <b/>
      <sz val="12"/>
      <color rgb="FFFF0000"/>
      <name val="Calibri"/>
      <family val="2"/>
      <scheme val="minor"/>
    </font>
    <font>
      <sz val="12"/>
      <color rgb="FFFF0000"/>
      <name val="Calibri"/>
      <family val="2"/>
      <scheme val="minor"/>
    </font>
    <font>
      <u/>
      <sz val="12"/>
      <color rgb="FFFF0000"/>
      <name val="Calibri"/>
      <family val="2"/>
      <scheme val="minor"/>
    </font>
    <font>
      <sz val="12"/>
      <name val="Calibri"/>
      <family val="2"/>
      <scheme val="minor"/>
    </font>
    <font>
      <sz val="11"/>
      <color theme="4" tint="-0.249977111117893"/>
      <name val="Calibri"/>
      <family val="2"/>
      <scheme val="minor"/>
    </font>
    <font>
      <sz val="11"/>
      <color theme="8" tint="-0.499984740745262"/>
      <name val="Calibri"/>
      <family val="2"/>
      <scheme val="minor"/>
    </font>
    <font>
      <sz val="12"/>
      <color rgb="FFFF0000"/>
      <name val="Calibri"/>
      <family val="2"/>
    </font>
    <font>
      <sz val="8"/>
      <name val="Calibri"/>
      <family val="2"/>
    </font>
    <font>
      <b/>
      <sz val="9"/>
      <name val="Calibri"/>
      <family val="2"/>
      <scheme val="minor"/>
    </font>
    <font>
      <b/>
      <i/>
      <sz val="12"/>
      <color rgb="FF002060"/>
      <name val="Calibri"/>
      <family val="2"/>
      <scheme val="minor"/>
    </font>
    <font>
      <b/>
      <i/>
      <sz val="12"/>
      <name val="Calibri"/>
      <family val="2"/>
      <scheme val="minor"/>
    </font>
    <font>
      <b/>
      <i/>
      <sz val="11"/>
      <color rgb="FFFF0000"/>
      <name val="Calibri"/>
      <family val="2"/>
      <scheme val="minor"/>
    </font>
    <font>
      <sz val="11"/>
      <color theme="4"/>
      <name val="Calibri"/>
      <family val="2"/>
      <scheme val="minor"/>
    </font>
    <font>
      <sz val="11"/>
      <color theme="8"/>
      <name val="Calibri"/>
      <family val="2"/>
      <scheme val="minor"/>
    </font>
    <font>
      <i/>
      <sz val="10"/>
      <color rgb="FFFF0000"/>
      <name val="Calibri"/>
      <family val="2"/>
      <scheme val="minor"/>
    </font>
  </fonts>
  <fills count="26">
    <fill>
      <patternFill patternType="none"/>
    </fill>
    <fill>
      <patternFill patternType="gray125"/>
    </fill>
    <fill>
      <patternFill patternType="solid">
        <fgColor rgb="FFFFFF00"/>
        <bgColor indexed="64"/>
      </patternFill>
    </fill>
    <fill>
      <patternFill patternType="solid">
        <fgColor theme="8"/>
        <bgColor indexed="64"/>
      </patternFill>
    </fill>
    <fill>
      <patternFill patternType="solid">
        <fgColor theme="7"/>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6"/>
        <bgColor indexed="64"/>
      </patternFill>
    </fill>
    <fill>
      <patternFill patternType="solid">
        <fgColor theme="4" tint="0.79998168889431442"/>
        <bgColor indexed="64"/>
      </patternFill>
    </fill>
    <fill>
      <patternFill patternType="solid">
        <fgColor rgb="FFFCE3CD"/>
        <bgColor indexed="64"/>
      </patternFill>
    </fill>
    <fill>
      <patternFill patternType="solid">
        <fgColor theme="0"/>
        <bgColor indexed="64"/>
      </patternFill>
    </fill>
    <fill>
      <patternFill patternType="solid">
        <fgColor theme="0"/>
        <bgColor rgb="FFF7CAAC"/>
      </patternFill>
    </fill>
    <fill>
      <patternFill patternType="solid">
        <fgColor rgb="FFFED8E3"/>
        <bgColor indexed="64"/>
      </patternFill>
    </fill>
    <fill>
      <patternFill patternType="solid">
        <fgColor rgb="FFE1F3CD"/>
        <bgColor indexed="64"/>
      </patternFill>
    </fill>
    <fill>
      <patternFill patternType="solid">
        <fgColor theme="8" tint="0.59999389629810485"/>
        <bgColor indexed="64"/>
      </patternFill>
    </fill>
    <fill>
      <patternFill patternType="solid">
        <fgColor rgb="FF00B050"/>
        <bgColor indexed="64"/>
      </patternFill>
    </fill>
    <fill>
      <patternFill patternType="solid">
        <fgColor rgb="FFE72460"/>
        <bgColor indexed="64"/>
      </patternFill>
    </fill>
    <fill>
      <patternFill patternType="solid">
        <fgColor theme="7" tint="0.39997558519241921"/>
        <bgColor indexed="64"/>
      </patternFill>
    </fill>
    <fill>
      <patternFill patternType="solid">
        <fgColor theme="1"/>
        <bgColor indexed="64"/>
      </patternFill>
    </fill>
    <fill>
      <patternFill patternType="solid">
        <fgColor theme="7" tint="0.79998168889431442"/>
        <bgColor indexed="64"/>
      </patternFill>
    </fill>
  </fills>
  <borders count="6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bottom/>
      <diagonal/>
    </border>
    <border>
      <left style="medium">
        <color indexed="64"/>
      </left>
      <right style="medium">
        <color indexed="64"/>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thin">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top style="medium">
        <color indexed="64"/>
      </top>
      <bottom/>
      <diagonal/>
    </border>
    <border>
      <left/>
      <right/>
      <top/>
      <bottom style="medium">
        <color indexed="64"/>
      </bottom>
      <diagonal/>
    </border>
    <border>
      <left style="thin">
        <color indexed="64"/>
      </left>
      <right style="medium">
        <color indexed="64"/>
      </right>
      <top style="thin">
        <color indexed="64"/>
      </top>
      <bottom/>
      <diagonal/>
    </border>
    <border>
      <left/>
      <right style="medium">
        <color indexed="64"/>
      </right>
      <top/>
      <bottom/>
      <diagonal/>
    </border>
    <border>
      <left style="medium">
        <color indexed="64"/>
      </left>
      <right/>
      <top/>
      <bottom/>
      <diagonal/>
    </border>
    <border>
      <left/>
      <right style="medium">
        <color indexed="64"/>
      </right>
      <top/>
      <bottom style="thin">
        <color indexed="64"/>
      </bottom>
      <diagonal/>
    </border>
    <border>
      <left style="thin">
        <color indexed="64"/>
      </left>
      <right style="medium">
        <color indexed="64"/>
      </right>
      <top style="medium">
        <color indexed="64"/>
      </top>
      <bottom/>
      <diagonal/>
    </border>
    <border>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medium">
        <color indexed="64"/>
      </right>
      <top/>
      <bottom style="medium">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right/>
      <top/>
      <bottom style="thin">
        <color indexed="64"/>
      </bottom>
      <diagonal/>
    </border>
    <border>
      <left style="thin">
        <color indexed="64"/>
      </left>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bottom style="medium">
        <color indexed="64"/>
      </bottom>
      <diagonal/>
    </border>
    <border>
      <left style="medium">
        <color indexed="64"/>
      </left>
      <right style="thin">
        <color rgb="FF000000"/>
      </right>
      <top style="medium">
        <color indexed="64"/>
      </top>
      <bottom/>
      <diagonal/>
    </border>
    <border>
      <left style="medium">
        <color indexed="64"/>
      </left>
      <right/>
      <top style="thin">
        <color indexed="64"/>
      </top>
      <bottom style="thin">
        <color indexed="64"/>
      </bottom>
      <diagonal/>
    </border>
    <border>
      <left/>
      <right/>
      <top style="thin">
        <color indexed="64"/>
      </top>
      <bottom style="medium">
        <color indexed="64"/>
      </bottom>
      <diagonal/>
    </border>
    <border>
      <left/>
      <right/>
      <top style="thin">
        <color indexed="64"/>
      </top>
      <bottom/>
      <diagonal/>
    </border>
    <border>
      <left style="medium">
        <color indexed="64"/>
      </left>
      <right style="medium">
        <color indexed="64"/>
      </right>
      <top/>
      <bottom style="thin">
        <color indexed="64"/>
      </bottom>
      <diagonal/>
    </border>
  </borders>
  <cellStyleXfs count="1">
    <xf numFmtId="0" fontId="0" fillId="0" borderId="0"/>
  </cellStyleXfs>
  <cellXfs count="404">
    <xf numFmtId="0" fontId="0" fillId="0" borderId="0" xfId="0"/>
    <xf numFmtId="0" fontId="0" fillId="0" borderId="0" xfId="0" applyAlignment="1">
      <alignment vertical="center" wrapText="1"/>
    </xf>
    <xf numFmtId="0" fontId="0" fillId="0" borderId="0" xfId="0"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4" xfId="0" applyBorder="1" applyAlignment="1">
      <alignment horizontal="center" vertical="center"/>
    </xf>
    <xf numFmtId="0" fontId="0" fillId="2" borderId="5" xfId="0" applyFill="1" applyBorder="1" applyAlignment="1">
      <alignment vertical="center" wrapText="1"/>
    </xf>
    <xf numFmtId="0" fontId="0" fillId="0" borderId="7" xfId="0" applyBorder="1" applyAlignment="1">
      <alignment vertical="center" wrapText="1"/>
    </xf>
    <xf numFmtId="0" fontId="0" fillId="0" borderId="9" xfId="0" applyBorder="1" applyAlignment="1">
      <alignment horizontal="center" vertical="center"/>
    </xf>
    <xf numFmtId="0" fontId="0" fillId="0" borderId="10" xfId="0" applyBorder="1" applyAlignment="1">
      <alignment vertical="center" wrapText="1"/>
    </xf>
    <xf numFmtId="0" fontId="0" fillId="3" borderId="5" xfId="0" applyFill="1" applyBorder="1" applyAlignment="1">
      <alignment vertical="center" wrapText="1"/>
    </xf>
    <xf numFmtId="0" fontId="0" fillId="3" borderId="7" xfId="0" applyFill="1" applyBorder="1" applyAlignment="1">
      <alignment vertical="center" wrapText="1"/>
    </xf>
    <xf numFmtId="0" fontId="0" fillId="4" borderId="5" xfId="0" applyFill="1" applyBorder="1" applyAlignment="1">
      <alignment vertical="center" wrapText="1"/>
    </xf>
    <xf numFmtId="0" fontId="0" fillId="4" borderId="7" xfId="0" applyFill="1" applyBorder="1" applyAlignment="1">
      <alignment vertical="center" wrapText="1"/>
    </xf>
    <xf numFmtId="0" fontId="0" fillId="5" borderId="5" xfId="0" applyFill="1" applyBorder="1" applyAlignment="1">
      <alignment vertical="center" wrapText="1"/>
    </xf>
    <xf numFmtId="0" fontId="0" fillId="5" borderId="7" xfId="0" applyFill="1" applyBorder="1" applyAlignment="1">
      <alignment vertical="center" wrapText="1"/>
    </xf>
    <xf numFmtId="0" fontId="0" fillId="6" borderId="5" xfId="0" applyFill="1" applyBorder="1" applyAlignment="1">
      <alignment vertical="center" wrapText="1"/>
    </xf>
    <xf numFmtId="0" fontId="0" fillId="6" borderId="7" xfId="0" applyFill="1" applyBorder="1" applyAlignment="1">
      <alignment vertical="center" wrapText="1"/>
    </xf>
    <xf numFmtId="0" fontId="0" fillId="7" borderId="5" xfId="0" applyFill="1" applyBorder="1" applyAlignment="1">
      <alignment vertical="center" wrapText="1"/>
    </xf>
    <xf numFmtId="0" fontId="0" fillId="7" borderId="7" xfId="0" applyFill="1" applyBorder="1" applyAlignment="1">
      <alignment vertical="center" wrapText="1"/>
    </xf>
    <xf numFmtId="0" fontId="0" fillId="0" borderId="0" xfId="0" applyAlignment="1">
      <alignment wrapText="1"/>
    </xf>
    <xf numFmtId="0" fontId="4" fillId="0" borderId="0" xfId="0" applyFont="1" applyAlignment="1">
      <alignment horizontal="center" vertical="center"/>
    </xf>
    <xf numFmtId="0" fontId="0" fillId="0" borderId="0" xfId="0" applyAlignment="1">
      <alignment horizontal="center" vertical="center" wrapText="1"/>
    </xf>
    <xf numFmtId="0" fontId="0" fillId="0" borderId="13" xfId="0" applyBorder="1" applyAlignment="1">
      <alignment vertical="center" wrapText="1"/>
    </xf>
    <xf numFmtId="0" fontId="0" fillId="8" borderId="0" xfId="0" applyFill="1" applyAlignment="1">
      <alignment vertical="center"/>
    </xf>
    <xf numFmtId="0" fontId="1" fillId="8" borderId="0" xfId="0" applyFont="1" applyFill="1" applyAlignment="1">
      <alignment horizontal="center" vertical="center"/>
    </xf>
    <xf numFmtId="0" fontId="0" fillId="8" borderId="1" xfId="0" applyFill="1" applyBorder="1" applyAlignment="1">
      <alignment vertical="center"/>
    </xf>
    <xf numFmtId="0" fontId="0" fillId="11" borderId="18" xfId="0" applyFill="1" applyBorder="1" applyAlignment="1">
      <alignment horizontal="center" vertical="center"/>
    </xf>
    <xf numFmtId="0" fontId="0" fillId="11" borderId="25" xfId="0" applyFill="1" applyBorder="1" applyAlignment="1">
      <alignment vertical="center" wrapText="1"/>
    </xf>
    <xf numFmtId="0" fontId="0" fillId="11" borderId="0" xfId="0" applyFill="1" applyAlignment="1">
      <alignment horizontal="center" vertical="center"/>
    </xf>
    <xf numFmtId="0" fontId="0" fillId="11" borderId="0" xfId="0" applyFill="1" applyAlignment="1">
      <alignment vertical="center" wrapText="1"/>
    </xf>
    <xf numFmtId="0" fontId="0" fillId="2" borderId="2" xfId="0" applyFill="1" applyBorder="1" applyAlignment="1">
      <alignment horizontal="center" vertical="center" wrapText="1"/>
    </xf>
    <xf numFmtId="0" fontId="0" fillId="3" borderId="5" xfId="0" applyFill="1" applyBorder="1" applyAlignment="1">
      <alignment horizontal="center" vertical="center" wrapText="1"/>
    </xf>
    <xf numFmtId="0" fontId="0" fillId="4" borderId="5" xfId="0" applyFill="1" applyBorder="1" applyAlignment="1">
      <alignment horizontal="center" vertical="center" wrapText="1"/>
    </xf>
    <xf numFmtId="0" fontId="0" fillId="5" borderId="5" xfId="0" applyFill="1" applyBorder="1" applyAlignment="1">
      <alignment horizontal="center" vertical="center" wrapText="1"/>
    </xf>
    <xf numFmtId="0" fontId="0" fillId="6" borderId="5" xfId="0" applyFill="1" applyBorder="1" applyAlignment="1">
      <alignment horizontal="center" vertical="center" wrapText="1"/>
    </xf>
    <xf numFmtId="0" fontId="0" fillId="7" borderId="5" xfId="0" applyFill="1" applyBorder="1" applyAlignment="1">
      <alignment horizontal="center" vertical="center" wrapText="1"/>
    </xf>
    <xf numFmtId="0" fontId="0" fillId="0" borderId="0" xfId="0" applyAlignment="1">
      <alignment horizontal="center"/>
    </xf>
    <xf numFmtId="0" fontId="0" fillId="8" borderId="1" xfId="0" applyFill="1" applyBorder="1" applyAlignment="1">
      <alignment horizontal="center" vertical="center"/>
    </xf>
    <xf numFmtId="0" fontId="0" fillId="0" borderId="1" xfId="0" applyBorder="1" applyAlignment="1">
      <alignment horizontal="center" vertical="center" wrapText="1"/>
    </xf>
    <xf numFmtId="0" fontId="0" fillId="8" borderId="0" xfId="0" applyFill="1" applyAlignment="1">
      <alignment horizontal="center" vertical="center"/>
    </xf>
    <xf numFmtId="0" fontId="0" fillId="8" borderId="0" xfId="0" applyFill="1"/>
    <xf numFmtId="0" fontId="0" fillId="8" borderId="16" xfId="0" applyFill="1" applyBorder="1" applyAlignment="1">
      <alignment horizontal="center" vertical="center"/>
    </xf>
    <xf numFmtId="0" fontId="0" fillId="8" borderId="17" xfId="0" applyFill="1" applyBorder="1" applyAlignment="1">
      <alignment horizontal="center" vertical="center"/>
    </xf>
    <xf numFmtId="0" fontId="14" fillId="14" borderId="1" xfId="0" applyFont="1" applyFill="1" applyBorder="1" applyAlignment="1">
      <alignment horizontal="center" vertical="center" wrapText="1"/>
    </xf>
    <xf numFmtId="0" fontId="12" fillId="0" borderId="0" xfId="0" applyFont="1" applyAlignment="1">
      <alignment vertical="center" wrapText="1"/>
    </xf>
    <xf numFmtId="0" fontId="0" fillId="8" borderId="1" xfId="0" applyFill="1" applyBorder="1" applyAlignment="1">
      <alignment horizontal="center"/>
    </xf>
    <xf numFmtId="0" fontId="15" fillId="14" borderId="12" xfId="0" applyFont="1" applyFill="1" applyBorder="1" applyAlignment="1">
      <alignment horizontal="center" vertical="center" wrapText="1"/>
    </xf>
    <xf numFmtId="0" fontId="0" fillId="0" borderId="27" xfId="0" applyBorder="1" applyAlignment="1">
      <alignment horizontal="center" vertical="center" wrapText="1"/>
    </xf>
    <xf numFmtId="0" fontId="16" fillId="14" borderId="15" xfId="0" applyFont="1" applyFill="1" applyBorder="1" applyAlignment="1">
      <alignment horizontal="center" vertical="center" wrapText="1"/>
    </xf>
    <xf numFmtId="0" fontId="0" fillId="0" borderId="15" xfId="0" applyBorder="1" applyAlignment="1">
      <alignment vertical="center" wrapText="1"/>
    </xf>
    <xf numFmtId="0" fontId="0" fillId="0" borderId="27" xfId="0" applyBorder="1" applyAlignment="1">
      <alignment vertical="center" wrapText="1"/>
    </xf>
    <xf numFmtId="0" fontId="16" fillId="14" borderId="20" xfId="0" applyFont="1" applyFill="1" applyBorder="1" applyAlignment="1">
      <alignment horizontal="center" vertical="center" wrapText="1"/>
    </xf>
    <xf numFmtId="0" fontId="0" fillId="14" borderId="20" xfId="0" applyFill="1" applyBorder="1" applyAlignment="1">
      <alignment horizontal="center" vertical="center" wrapText="1"/>
    </xf>
    <xf numFmtId="0" fontId="0" fillId="14" borderId="15" xfId="0" applyFill="1" applyBorder="1" applyAlignment="1">
      <alignment horizontal="center" vertical="center" wrapText="1"/>
    </xf>
    <xf numFmtId="0" fontId="0" fillId="8" borderId="27" xfId="0" applyFill="1" applyBorder="1" applyAlignment="1">
      <alignment vertical="center" wrapText="1"/>
    </xf>
    <xf numFmtId="0" fontId="0" fillId="8" borderId="1" xfId="0" applyFill="1" applyBorder="1" applyAlignment="1">
      <alignment horizontal="center" vertical="center" wrapText="1"/>
    </xf>
    <xf numFmtId="0" fontId="0" fillId="8" borderId="17" xfId="0" applyFill="1" applyBorder="1" applyAlignment="1">
      <alignment horizontal="center" vertical="center" wrapText="1"/>
    </xf>
    <xf numFmtId="0" fontId="0" fillId="8" borderId="0" xfId="0" applyFill="1" applyAlignment="1">
      <alignment wrapText="1"/>
    </xf>
    <xf numFmtId="0" fontId="0" fillId="8" borderId="0" xfId="0" applyFill="1" applyAlignment="1">
      <alignment horizontal="center" vertical="center" wrapText="1"/>
    </xf>
    <xf numFmtId="0" fontId="0" fillId="8" borderId="0" xfId="0" applyFill="1" applyAlignment="1">
      <alignment horizontal="center"/>
    </xf>
    <xf numFmtId="0" fontId="23" fillId="8" borderId="0" xfId="0" applyFont="1" applyFill="1" applyAlignment="1">
      <alignment horizontal="right" vertical="center"/>
    </xf>
    <xf numFmtId="0" fontId="4" fillId="8" borderId="0" xfId="0" applyFont="1" applyFill="1" applyAlignment="1">
      <alignment horizontal="center" vertical="center"/>
    </xf>
    <xf numFmtId="0" fontId="4" fillId="8" borderId="1" xfId="0" applyFont="1" applyFill="1" applyBorder="1" applyAlignment="1">
      <alignment horizontal="center" vertical="center"/>
    </xf>
    <xf numFmtId="0" fontId="7" fillId="8" borderId="1" xfId="0" applyFont="1" applyFill="1" applyBorder="1" applyAlignment="1">
      <alignment horizontal="center" vertical="center"/>
    </xf>
    <xf numFmtId="0" fontId="4" fillId="8" borderId="0" xfId="0" applyFont="1" applyFill="1" applyAlignment="1">
      <alignment vertical="center"/>
    </xf>
    <xf numFmtId="0" fontId="9" fillId="8" borderId="0" xfId="0" applyFont="1" applyFill="1" applyAlignment="1">
      <alignment horizontal="center"/>
    </xf>
    <xf numFmtId="0" fontId="30" fillId="0" borderId="1" xfId="0" applyFont="1" applyBorder="1" applyAlignment="1">
      <alignment horizontal="center" vertical="center" wrapText="1"/>
    </xf>
    <xf numFmtId="0" fontId="9" fillId="8" borderId="1" xfId="0" applyFont="1" applyFill="1" applyBorder="1" applyAlignment="1">
      <alignment horizontal="center" vertical="center"/>
    </xf>
    <xf numFmtId="0" fontId="9" fillId="8" borderId="1" xfId="0" applyFont="1" applyFill="1" applyBorder="1"/>
    <xf numFmtId="0" fontId="9" fillId="8" borderId="0" xfId="0" applyFont="1" applyFill="1" applyAlignment="1">
      <alignment horizontal="center" vertical="center"/>
    </xf>
    <xf numFmtId="0" fontId="9" fillId="8" borderId="1" xfId="0" applyFont="1" applyFill="1" applyBorder="1" applyAlignment="1">
      <alignment horizontal="center"/>
    </xf>
    <xf numFmtId="0" fontId="0" fillId="8" borderId="2" xfId="0" applyFill="1" applyBorder="1" applyAlignment="1">
      <alignment horizontal="center" vertical="center"/>
    </xf>
    <xf numFmtId="0" fontId="7" fillId="8" borderId="2" xfId="0" applyFont="1" applyFill="1" applyBorder="1" applyAlignment="1">
      <alignment horizontal="center" vertical="center"/>
    </xf>
    <xf numFmtId="0" fontId="7" fillId="8" borderId="16" xfId="0" applyFont="1" applyFill="1" applyBorder="1" applyAlignment="1">
      <alignment horizontal="center" vertical="center"/>
    </xf>
    <xf numFmtId="0" fontId="5" fillId="0" borderId="0" xfId="0" applyFont="1" applyAlignment="1">
      <alignment horizontal="center" vertical="center"/>
    </xf>
    <xf numFmtId="0" fontId="0" fillId="0" borderId="23" xfId="0" applyBorder="1"/>
    <xf numFmtId="0" fontId="0" fillId="0" borderId="32" xfId="0" applyBorder="1"/>
    <xf numFmtId="0" fontId="0" fillId="0" borderId="24" xfId="0" applyBorder="1"/>
    <xf numFmtId="0" fontId="0" fillId="0" borderId="9" xfId="0" applyBorder="1" applyAlignment="1">
      <alignment horizontal="center" vertical="center" wrapText="1"/>
    </xf>
    <xf numFmtId="0" fontId="0" fillId="0" borderId="28" xfId="0" applyBorder="1" applyAlignment="1">
      <alignment horizontal="center" vertical="center" wrapText="1"/>
    </xf>
    <xf numFmtId="0" fontId="0" fillId="8" borderId="32" xfId="0" applyFill="1" applyBorder="1"/>
    <xf numFmtId="0" fontId="0" fillId="0" borderId="7" xfId="0" applyBorder="1" applyAlignment="1">
      <alignment horizontal="left" vertical="center" wrapText="1"/>
    </xf>
    <xf numFmtId="0" fontId="0" fillId="0" borderId="28" xfId="0" applyBorder="1"/>
    <xf numFmtId="0" fontId="12" fillId="0" borderId="44" xfId="0" applyFont="1" applyBorder="1" applyAlignment="1">
      <alignment vertical="center" wrapText="1"/>
    </xf>
    <xf numFmtId="0" fontId="12" fillId="0" borderId="32" xfId="0" applyFont="1" applyBorder="1" applyAlignment="1">
      <alignment vertical="center" wrapText="1"/>
    </xf>
    <xf numFmtId="0" fontId="12" fillId="0" borderId="24" xfId="0" applyFont="1" applyBorder="1" applyAlignment="1">
      <alignment vertical="center" wrapText="1"/>
    </xf>
    <xf numFmtId="0" fontId="0" fillId="0" borderId="28" xfId="0" applyBorder="1" applyAlignment="1">
      <alignment horizontal="center"/>
    </xf>
    <xf numFmtId="0" fontId="18" fillId="15" borderId="5" xfId="0" applyFont="1" applyFill="1" applyBorder="1" applyAlignment="1">
      <alignment horizontal="center" vertical="center" wrapText="1"/>
    </xf>
    <xf numFmtId="0" fontId="0" fillId="0" borderId="31" xfId="0" applyBorder="1" applyAlignment="1">
      <alignment wrapText="1"/>
    </xf>
    <xf numFmtId="0" fontId="19" fillId="15" borderId="7" xfId="0" applyFont="1" applyFill="1" applyBorder="1" applyAlignment="1">
      <alignment horizontal="center" vertical="center" wrapText="1"/>
    </xf>
    <xf numFmtId="0" fontId="0" fillId="0" borderId="7" xfId="0" applyBorder="1" applyAlignment="1">
      <alignment wrapText="1"/>
    </xf>
    <xf numFmtId="0" fontId="19" fillId="15" borderId="30" xfId="0" applyFont="1" applyFill="1" applyBorder="1" applyAlignment="1">
      <alignment horizontal="center" vertical="center" wrapText="1"/>
    </xf>
    <xf numFmtId="0" fontId="5" fillId="15" borderId="7" xfId="0" applyFont="1" applyFill="1" applyBorder="1" applyAlignment="1">
      <alignment horizontal="center" vertical="center" wrapText="1"/>
    </xf>
    <xf numFmtId="0" fontId="0" fillId="0" borderId="10" xfId="0" applyBorder="1" applyAlignment="1">
      <alignment wrapText="1"/>
    </xf>
    <xf numFmtId="0" fontId="12" fillId="0" borderId="19" xfId="0" applyFont="1" applyBorder="1" applyAlignment="1">
      <alignment vertical="center" wrapText="1"/>
    </xf>
    <xf numFmtId="0" fontId="12" fillId="0" borderId="43" xfId="0" applyFont="1" applyBorder="1" applyAlignment="1">
      <alignment vertical="center" wrapText="1"/>
    </xf>
    <xf numFmtId="0" fontId="0" fillId="0" borderId="31" xfId="0" applyBorder="1"/>
    <xf numFmtId="0" fontId="0" fillId="8" borderId="7" xfId="0" applyFill="1" applyBorder="1" applyAlignment="1">
      <alignment horizontal="left" vertical="center" wrapText="1"/>
    </xf>
    <xf numFmtId="0" fontId="5" fillId="15" borderId="30"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11" borderId="19" xfId="0" applyFont="1" applyFill="1" applyBorder="1" applyAlignment="1" applyProtection="1">
      <alignment horizontal="center" vertical="center"/>
      <protection locked="0"/>
    </xf>
    <xf numFmtId="0" fontId="5" fillId="0" borderId="3" xfId="0" applyFont="1" applyBorder="1" applyAlignment="1" applyProtection="1">
      <alignment horizontal="center" vertical="center"/>
      <protection locked="0"/>
    </xf>
    <xf numFmtId="0" fontId="5" fillId="11" borderId="0" xfId="0" applyFont="1" applyFill="1" applyAlignment="1">
      <alignment horizontal="center" vertical="center"/>
    </xf>
    <xf numFmtId="0" fontId="5" fillId="20" borderId="6" xfId="0" applyFont="1" applyFill="1" applyBorder="1" applyAlignment="1" applyProtection="1">
      <alignment horizontal="center" vertical="center"/>
      <protection locked="0"/>
    </xf>
    <xf numFmtId="0" fontId="32" fillId="2" borderId="0" xfId="0" applyFont="1" applyFill="1" applyAlignment="1">
      <alignment horizontal="center" vertical="center" wrapText="1"/>
    </xf>
    <xf numFmtId="0" fontId="32" fillId="12" borderId="0" xfId="0" applyFont="1" applyFill="1" applyAlignment="1">
      <alignment horizontal="center" vertical="center" wrapText="1"/>
    </xf>
    <xf numFmtId="0" fontId="0" fillId="3" borderId="5" xfId="0" applyFill="1" applyBorder="1" applyAlignment="1">
      <alignment horizontal="left" vertical="center" wrapText="1"/>
    </xf>
    <xf numFmtId="0" fontId="0" fillId="6" borderId="5" xfId="0" applyFill="1" applyBorder="1" applyAlignment="1">
      <alignment horizontal="left" vertical="center" wrapText="1"/>
    </xf>
    <xf numFmtId="0" fontId="0" fillId="7" borderId="5" xfId="0" applyFill="1" applyBorder="1" applyAlignment="1">
      <alignment horizontal="left" vertical="center" wrapText="1"/>
    </xf>
    <xf numFmtId="0" fontId="0" fillId="13" borderId="16" xfId="0" applyFill="1" applyBorder="1" applyAlignment="1" applyProtection="1">
      <alignment horizontal="center" vertical="center"/>
      <protection locked="0"/>
    </xf>
    <xf numFmtId="0" fontId="0" fillId="13" borderId="16" xfId="0" applyFill="1" applyBorder="1" applyAlignment="1">
      <alignment horizontal="center" vertical="center"/>
    </xf>
    <xf numFmtId="0" fontId="0" fillId="13" borderId="16" xfId="0" applyFill="1" applyBorder="1" applyAlignment="1">
      <alignment wrapText="1"/>
    </xf>
    <xf numFmtId="0" fontId="0" fillId="0" borderId="3" xfId="0" applyBorder="1" applyAlignment="1">
      <alignment horizontal="center" vertical="center"/>
    </xf>
    <xf numFmtId="0" fontId="0" fillId="2" borderId="5" xfId="0" applyFill="1" applyBorder="1" applyAlignment="1">
      <alignment horizontal="left" vertical="center" wrapText="1"/>
    </xf>
    <xf numFmtId="0" fontId="5" fillId="20" borderId="8" xfId="0" applyFont="1" applyFill="1" applyBorder="1" applyAlignment="1" applyProtection="1">
      <alignment horizontal="center" vertical="center"/>
      <protection locked="0"/>
    </xf>
    <xf numFmtId="0" fontId="0" fillId="13" borderId="18" xfId="0" applyFill="1" applyBorder="1" applyAlignment="1" applyProtection="1">
      <alignment horizontal="center" vertical="center"/>
      <protection locked="0"/>
    </xf>
    <xf numFmtId="0" fontId="0" fillId="13" borderId="18" xfId="0" applyFill="1" applyBorder="1" applyAlignment="1">
      <alignment horizontal="center" vertical="center"/>
    </xf>
    <xf numFmtId="0" fontId="0" fillId="13" borderId="18" xfId="0" applyFill="1" applyBorder="1" applyAlignment="1">
      <alignment wrapText="1"/>
    </xf>
    <xf numFmtId="0" fontId="0" fillId="0" borderId="2" xfId="0" applyBorder="1" applyAlignment="1" applyProtection="1">
      <alignment horizontal="center" vertical="center"/>
      <protection locked="0"/>
    </xf>
    <xf numFmtId="0" fontId="0" fillId="3" borderId="34" xfId="0" applyFill="1" applyBorder="1" applyAlignment="1">
      <alignment horizontal="center" vertical="center" wrapText="1"/>
    </xf>
    <xf numFmtId="0" fontId="0" fillId="4" borderId="30" xfId="0" applyFill="1" applyBorder="1" applyAlignment="1">
      <alignment horizontal="center" vertical="center" wrapText="1"/>
    </xf>
    <xf numFmtId="0" fontId="0" fillId="5" borderId="30" xfId="0" applyFill="1" applyBorder="1" applyAlignment="1">
      <alignment horizontal="center" vertical="center" wrapText="1"/>
    </xf>
    <xf numFmtId="0" fontId="0" fillId="5" borderId="5" xfId="0" applyFill="1" applyBorder="1" applyAlignment="1">
      <alignment horizontal="left" vertical="center" wrapText="1"/>
    </xf>
    <xf numFmtId="0" fontId="0" fillId="6" borderId="34" xfId="0" applyFill="1" applyBorder="1" applyAlignment="1">
      <alignment horizontal="center" vertical="center" wrapText="1"/>
    </xf>
    <xf numFmtId="0" fontId="10" fillId="0" borderId="9" xfId="0" applyFont="1" applyBorder="1" applyAlignment="1">
      <alignment horizontal="center" vertical="center"/>
    </xf>
    <xf numFmtId="0" fontId="11" fillId="0" borderId="10" xfId="0" applyFont="1" applyBorder="1" applyAlignment="1">
      <alignment wrapText="1"/>
    </xf>
    <xf numFmtId="0" fontId="0" fillId="7" borderId="34" xfId="0" applyFill="1" applyBorder="1" applyAlignment="1">
      <alignment horizontal="center" vertical="center" wrapText="1"/>
    </xf>
    <xf numFmtId="0" fontId="30" fillId="0" borderId="0" xfId="0" applyFont="1" applyAlignment="1">
      <alignment horizontal="center" vertical="center" wrapText="1"/>
    </xf>
    <xf numFmtId="0" fontId="0" fillId="0" borderId="40" xfId="0" applyBorder="1" applyAlignment="1">
      <alignment wrapText="1"/>
    </xf>
    <xf numFmtId="0" fontId="6" fillId="0" borderId="1" xfId="0" applyFont="1" applyBorder="1" applyAlignment="1">
      <alignment horizontal="center" vertical="center" wrapText="1"/>
    </xf>
    <xf numFmtId="0" fontId="0" fillId="0" borderId="40" xfId="0" applyBorder="1" applyAlignment="1">
      <alignment vertical="center" wrapText="1"/>
    </xf>
    <xf numFmtId="0" fontId="17" fillId="15" borderId="11" xfId="0" applyFont="1" applyFill="1" applyBorder="1" applyAlignment="1">
      <alignment horizontal="center" vertical="center" wrapText="1"/>
    </xf>
    <xf numFmtId="0" fontId="9" fillId="8" borderId="1" xfId="0" applyFont="1" applyFill="1" applyBorder="1" applyAlignment="1">
      <alignment vertical="center"/>
    </xf>
    <xf numFmtId="0" fontId="0" fillId="8" borderId="1" xfId="0" applyFill="1" applyBorder="1" applyAlignment="1">
      <alignment horizontal="right" vertical="center"/>
    </xf>
    <xf numFmtId="0" fontId="0" fillId="0" borderId="2" xfId="0" applyBorder="1" applyAlignment="1">
      <alignment horizontal="center" vertical="center" wrapText="1"/>
    </xf>
    <xf numFmtId="0" fontId="12" fillId="0" borderId="32" xfId="0" applyFont="1" applyBorder="1" applyAlignment="1">
      <alignment horizontal="center" vertical="center" wrapText="1"/>
    </xf>
    <xf numFmtId="0" fontId="5" fillId="14" borderId="37" xfId="0" applyFont="1" applyFill="1" applyBorder="1" applyAlignment="1" applyProtection="1">
      <alignment horizontal="center" vertical="center"/>
      <protection locked="0"/>
    </xf>
    <xf numFmtId="0" fontId="5" fillId="14" borderId="3" xfId="0" applyFont="1" applyFill="1" applyBorder="1" applyAlignment="1" applyProtection="1">
      <alignment horizontal="center" vertical="center"/>
      <protection locked="0"/>
    </xf>
    <xf numFmtId="0" fontId="5" fillId="14" borderId="57" xfId="0" applyFont="1" applyFill="1" applyBorder="1" applyAlignment="1" applyProtection="1">
      <alignment horizontal="center" vertical="center"/>
      <protection locked="0"/>
    </xf>
    <xf numFmtId="0" fontId="5" fillId="14" borderId="58" xfId="0" applyFont="1" applyFill="1" applyBorder="1" applyAlignment="1" applyProtection="1">
      <alignment horizontal="center" vertical="center"/>
      <protection locked="0"/>
    </xf>
    <xf numFmtId="0" fontId="5" fillId="14" borderId="42" xfId="0" applyFont="1" applyFill="1" applyBorder="1" applyAlignment="1" applyProtection="1">
      <alignment horizontal="center" vertical="center"/>
      <protection locked="0"/>
    </xf>
    <xf numFmtId="0" fontId="5" fillId="14" borderId="33" xfId="0" applyFont="1" applyFill="1" applyBorder="1" applyAlignment="1" applyProtection="1">
      <alignment horizontal="center" vertical="center"/>
      <protection locked="0"/>
    </xf>
    <xf numFmtId="0" fontId="5" fillId="14" borderId="43" xfId="0" applyFont="1" applyFill="1" applyBorder="1" applyAlignment="1" applyProtection="1">
      <alignment horizontal="center" vertical="center"/>
      <protection locked="0"/>
    </xf>
    <xf numFmtId="0" fontId="5" fillId="14" borderId="59" xfId="0" applyFont="1" applyFill="1" applyBorder="1" applyAlignment="1" applyProtection="1">
      <alignment horizontal="center" vertical="center"/>
      <protection locked="0"/>
    </xf>
    <xf numFmtId="0" fontId="5" fillId="14" borderId="39" xfId="0" applyFont="1" applyFill="1" applyBorder="1" applyAlignment="1" applyProtection="1">
      <alignment horizontal="center" vertical="center"/>
      <protection locked="0"/>
    </xf>
    <xf numFmtId="0" fontId="33" fillId="0" borderId="0" xfId="0" applyFont="1" applyAlignment="1">
      <alignment horizontal="center" vertical="center" wrapText="1"/>
    </xf>
    <xf numFmtId="0" fontId="41" fillId="2" borderId="26" xfId="0" applyFont="1" applyFill="1" applyBorder="1" applyAlignment="1">
      <alignment horizontal="center"/>
    </xf>
    <xf numFmtId="0" fontId="43" fillId="25" borderId="15" xfId="0" applyFont="1" applyFill="1" applyBorder="1" applyAlignment="1">
      <alignment horizontal="center" vertical="center" wrapText="1"/>
    </xf>
    <xf numFmtId="0" fontId="35" fillId="25" borderId="15" xfId="0" applyFont="1" applyFill="1" applyBorder="1" applyAlignment="1">
      <alignment horizontal="left" vertical="center" wrapText="1"/>
    </xf>
    <xf numFmtId="0" fontId="42" fillId="2" borderId="26" xfId="0" applyFont="1" applyFill="1" applyBorder="1" applyAlignment="1">
      <alignment horizontal="center" vertical="center"/>
    </xf>
    <xf numFmtId="0" fontId="4" fillId="0" borderId="27" xfId="0" applyFont="1" applyBorder="1" applyAlignment="1">
      <alignment horizontal="center" vertical="center"/>
    </xf>
    <xf numFmtId="0" fontId="4" fillId="0" borderId="27" xfId="0" applyFont="1" applyBorder="1" applyAlignment="1">
      <alignment vertical="center"/>
    </xf>
    <xf numFmtId="0" fontId="4" fillId="0" borderId="27" xfId="0" applyFont="1" applyBorder="1"/>
    <xf numFmtId="0" fontId="4" fillId="16" borderId="27" xfId="0" applyFont="1" applyFill="1" applyBorder="1" applyAlignment="1">
      <alignment vertical="center" wrapText="1"/>
    </xf>
    <xf numFmtId="0" fontId="42" fillId="0" borderId="27" xfId="0" applyFont="1" applyBorder="1" applyAlignment="1">
      <alignment horizontal="center" vertical="center"/>
    </xf>
    <xf numFmtId="0" fontId="4" fillId="8" borderId="11" xfId="0" applyFont="1" applyFill="1" applyBorder="1" applyAlignment="1">
      <alignment vertical="center" wrapText="1"/>
    </xf>
    <xf numFmtId="0" fontId="0" fillId="8" borderId="1" xfId="0" applyFill="1" applyBorder="1" applyAlignment="1">
      <alignment horizontal="left" vertical="center"/>
    </xf>
    <xf numFmtId="0" fontId="4" fillId="8" borderId="1" xfId="0" applyFont="1" applyFill="1" applyBorder="1" applyAlignment="1">
      <alignment horizontal="left" vertical="center"/>
    </xf>
    <xf numFmtId="0" fontId="0" fillId="8" borderId="0" xfId="0" applyFill="1" applyAlignment="1">
      <alignment horizontal="left" vertical="center"/>
    </xf>
    <xf numFmtId="0" fontId="4" fillId="8" borderId="0" xfId="0" applyFont="1" applyFill="1" applyAlignment="1">
      <alignment horizontal="left" vertical="center"/>
    </xf>
    <xf numFmtId="0" fontId="9" fillId="8" borderId="1" xfId="0" applyFont="1" applyFill="1" applyBorder="1" applyAlignment="1">
      <alignment horizontal="left" vertical="center"/>
    </xf>
    <xf numFmtId="0" fontId="0" fillId="0" borderId="22" xfId="0" applyBorder="1" applyAlignment="1">
      <alignment horizontal="left" vertical="center" wrapText="1"/>
    </xf>
    <xf numFmtId="0" fontId="9" fillId="14" borderId="17" xfId="0" applyFont="1" applyFill="1" applyBorder="1" applyAlignment="1">
      <alignment vertical="center"/>
    </xf>
    <xf numFmtId="0" fontId="9" fillId="14" borderId="1" xfId="0" applyFont="1" applyFill="1" applyBorder="1" applyAlignment="1">
      <alignment horizontal="left" vertical="center"/>
    </xf>
    <xf numFmtId="0" fontId="0" fillId="8" borderId="17" xfId="0" applyFill="1" applyBorder="1" applyAlignment="1">
      <alignment horizontal="left" vertical="center"/>
    </xf>
    <xf numFmtId="0" fontId="0" fillId="8" borderId="17" xfId="0" applyFill="1" applyBorder="1" applyAlignment="1">
      <alignment horizontal="left" vertical="center" wrapText="1"/>
    </xf>
    <xf numFmtId="0" fontId="4" fillId="0" borderId="0" xfId="0" applyFont="1" applyAlignment="1">
      <alignment horizontal="left" vertical="center"/>
    </xf>
    <xf numFmtId="0" fontId="0" fillId="0" borderId="0" xfId="0" applyAlignment="1">
      <alignment horizontal="left" vertical="center"/>
    </xf>
    <xf numFmtId="0" fontId="1" fillId="8" borderId="0" xfId="0" applyFont="1" applyFill="1" applyAlignment="1">
      <alignment horizontal="left" vertical="center"/>
    </xf>
    <xf numFmtId="0" fontId="0" fillId="8" borderId="0" xfId="0" applyFill="1" applyAlignment="1">
      <alignment horizontal="left"/>
    </xf>
    <xf numFmtId="0" fontId="0" fillId="8" borderId="1" xfId="0" applyFill="1" applyBorder="1" applyAlignment="1">
      <alignment horizontal="left" vertical="center" wrapText="1"/>
    </xf>
    <xf numFmtId="0" fontId="1" fillId="0" borderId="0" xfId="0" applyFont="1" applyAlignment="1">
      <alignment horizontal="left" vertical="center"/>
    </xf>
    <xf numFmtId="0" fontId="0" fillId="0" borderId="0" xfId="0" applyAlignment="1">
      <alignment horizontal="left"/>
    </xf>
    <xf numFmtId="0" fontId="38" fillId="14" borderId="48" xfId="0" applyFont="1" applyFill="1" applyBorder="1" applyAlignment="1" applyProtection="1">
      <alignment horizontal="center"/>
      <protection locked="0"/>
    </xf>
    <xf numFmtId="0" fontId="38" fillId="14" borderId="0" xfId="0" applyFont="1" applyFill="1" applyAlignment="1" applyProtection="1">
      <alignment horizontal="center"/>
      <protection locked="0"/>
    </xf>
    <xf numFmtId="0" fontId="39" fillId="0" borderId="0" xfId="0" applyFont="1"/>
    <xf numFmtId="0" fontId="36" fillId="0" borderId="0" xfId="0" applyFont="1" applyAlignment="1">
      <alignment horizontal="left"/>
    </xf>
    <xf numFmtId="0" fontId="36" fillId="0" borderId="0" xfId="0" applyFont="1" applyAlignment="1">
      <alignment horizontal="right"/>
    </xf>
    <xf numFmtId="0" fontId="37" fillId="0" borderId="0" xfId="0" applyFont="1" applyAlignment="1">
      <alignment horizontal="left"/>
    </xf>
    <xf numFmtId="0" fontId="36" fillId="0" borderId="0" xfId="0" applyFont="1"/>
    <xf numFmtId="0" fontId="39" fillId="0" borderId="0" xfId="0" applyFont="1" applyAlignment="1">
      <alignment horizontal="center"/>
    </xf>
    <xf numFmtId="0" fontId="37" fillId="0" borderId="0" xfId="0" applyFont="1"/>
    <xf numFmtId="0" fontId="38" fillId="0" borderId="0" xfId="0" applyFont="1" applyAlignment="1">
      <alignment horizontal="center"/>
    </xf>
    <xf numFmtId="0" fontId="38" fillId="0" borderId="0" xfId="0" applyFont="1" applyAlignment="1">
      <alignment horizontal="center" vertical="center"/>
    </xf>
    <xf numFmtId="0" fontId="4" fillId="0" borderId="0" xfId="0" applyFont="1" applyAlignment="1" applyProtection="1">
      <alignment horizontal="center" vertical="center"/>
      <protection locked="0"/>
    </xf>
    <xf numFmtId="0" fontId="9" fillId="14" borderId="1" xfId="0" applyFont="1" applyFill="1" applyBorder="1" applyAlignment="1" applyProtection="1">
      <alignment horizontal="center" vertical="center"/>
      <protection locked="0"/>
    </xf>
    <xf numFmtId="0" fontId="9" fillId="14" borderId="1" xfId="0" applyFont="1" applyFill="1" applyBorder="1" applyAlignment="1" applyProtection="1">
      <alignment horizontal="left" vertical="center"/>
      <protection locked="0"/>
    </xf>
    <xf numFmtId="0" fontId="0" fillId="8" borderId="7" xfId="0" applyFill="1" applyBorder="1" applyAlignment="1">
      <alignment vertical="center" wrapText="1"/>
    </xf>
    <xf numFmtId="0" fontId="4" fillId="0" borderId="0" xfId="0" applyFont="1" applyAlignment="1">
      <alignment horizontal="center" vertical="center" wrapText="1"/>
    </xf>
    <xf numFmtId="0" fontId="4" fillId="16" borderId="0" xfId="0" applyFont="1" applyFill="1"/>
    <xf numFmtId="0" fontId="4" fillId="16" borderId="0" xfId="0" applyFont="1" applyFill="1" applyAlignment="1">
      <alignment horizontal="center" vertical="center" wrapText="1"/>
    </xf>
    <xf numFmtId="0" fontId="40" fillId="24" borderId="28" xfId="0" applyFont="1" applyFill="1" applyBorder="1" applyAlignment="1">
      <alignment horizontal="center"/>
    </xf>
    <xf numFmtId="0" fontId="4" fillId="0" borderId="0" xfId="0" applyFont="1"/>
    <xf numFmtId="0" fontId="2" fillId="16" borderId="56" xfId="0" applyFont="1" applyFill="1" applyBorder="1" applyAlignment="1">
      <alignment horizontal="center" vertical="center"/>
    </xf>
    <xf numFmtId="0" fontId="2" fillId="2" borderId="52" xfId="0" applyFont="1" applyFill="1" applyBorder="1" applyAlignment="1">
      <alignment horizontal="center" vertical="center" wrapText="1"/>
    </xf>
    <xf numFmtId="0" fontId="2" fillId="21" borderId="53" xfId="0" applyFont="1" applyFill="1" applyBorder="1" applyAlignment="1">
      <alignment horizontal="center" vertical="center" wrapText="1"/>
    </xf>
    <xf numFmtId="0" fontId="2" fillId="22" borderId="55" xfId="0" applyFont="1" applyFill="1" applyBorder="1" applyAlignment="1">
      <alignment horizontal="center" vertical="center" wrapText="1"/>
    </xf>
    <xf numFmtId="0" fontId="2" fillId="24" borderId="54" xfId="0" applyFont="1" applyFill="1" applyBorder="1" applyAlignment="1">
      <alignment horizontal="center" vertical="center"/>
    </xf>
    <xf numFmtId="0" fontId="2" fillId="8" borderId="60" xfId="0" applyFont="1" applyFill="1" applyBorder="1" applyAlignment="1">
      <alignment horizontal="center" vertical="center" wrapText="1"/>
    </xf>
    <xf numFmtId="0" fontId="2" fillId="23" borderId="26" xfId="0" applyFont="1" applyFill="1" applyBorder="1" applyAlignment="1">
      <alignment horizontal="center" vertical="center" wrapText="1"/>
    </xf>
    <xf numFmtId="0" fontId="2" fillId="17" borderId="35" xfId="0" applyFont="1" applyFill="1" applyBorder="1" applyAlignment="1">
      <alignment horizontal="center" vertical="center" wrapText="1"/>
    </xf>
    <xf numFmtId="0" fontId="2" fillId="0" borderId="0" xfId="0" applyFont="1" applyAlignment="1">
      <alignment horizontal="center" vertical="center" wrapText="1"/>
    </xf>
    <xf numFmtId="0" fontId="3" fillId="16" borderId="0" xfId="0" applyFont="1" applyFill="1" applyAlignment="1">
      <alignment horizontal="center"/>
    </xf>
    <xf numFmtId="0" fontId="3" fillId="16" borderId="51" xfId="0" applyFont="1" applyFill="1" applyBorder="1" applyAlignment="1">
      <alignment horizontal="left" vertical="center"/>
    </xf>
    <xf numFmtId="0" fontId="3" fillId="24" borderId="48" xfId="0" applyFont="1" applyFill="1" applyBorder="1" applyAlignment="1">
      <alignment horizontal="left" vertical="center"/>
    </xf>
    <xf numFmtId="0" fontId="3" fillId="16" borderId="3" xfId="0" applyFont="1" applyFill="1" applyBorder="1" applyAlignment="1">
      <alignment horizontal="center" vertical="center"/>
    </xf>
    <xf numFmtId="0" fontId="3" fillId="16" borderId="5" xfId="0" applyFont="1" applyFill="1" applyBorder="1" applyAlignment="1">
      <alignment horizontal="center" vertical="center"/>
    </xf>
    <xf numFmtId="0" fontId="5" fillId="20" borderId="37" xfId="0" applyFont="1" applyFill="1" applyBorder="1" applyAlignment="1">
      <alignment horizontal="center" vertical="center"/>
    </xf>
    <xf numFmtId="0" fontId="3" fillId="16" borderId="50" xfId="0" applyFont="1" applyFill="1" applyBorder="1" applyAlignment="1">
      <alignment horizontal="left" vertical="center"/>
    </xf>
    <xf numFmtId="0" fontId="3" fillId="24" borderId="45" xfId="0" applyFont="1" applyFill="1" applyBorder="1" applyAlignment="1">
      <alignment horizontal="left" vertical="center"/>
    </xf>
    <xf numFmtId="0" fontId="3" fillId="16" borderId="6" xfId="0" applyFont="1" applyFill="1" applyBorder="1" applyAlignment="1">
      <alignment horizontal="center" vertical="center"/>
    </xf>
    <xf numFmtId="0" fontId="3" fillId="16" borderId="7" xfId="0" applyFont="1" applyFill="1" applyBorder="1" applyAlignment="1">
      <alignment horizontal="center" vertical="center"/>
    </xf>
    <xf numFmtId="0" fontId="3" fillId="16" borderId="50" xfId="0" applyFont="1" applyFill="1" applyBorder="1" applyAlignment="1">
      <alignment horizontal="left" vertical="center" wrapText="1"/>
    </xf>
    <xf numFmtId="0" fontId="53" fillId="16" borderId="50" xfId="0" applyFont="1" applyFill="1" applyBorder="1" applyAlignment="1">
      <alignment horizontal="left" vertical="center"/>
    </xf>
    <xf numFmtId="0" fontId="4" fillId="16" borderId="21" xfId="0" applyFont="1" applyFill="1" applyBorder="1" applyAlignment="1">
      <alignment vertical="center" wrapText="1"/>
    </xf>
    <xf numFmtId="0" fontId="4" fillId="24" borderId="45" xfId="0" applyFont="1" applyFill="1" applyBorder="1" applyAlignment="1">
      <alignment vertical="center" wrapText="1"/>
    </xf>
    <xf numFmtId="0" fontId="4" fillId="16" borderId="22" xfId="0" applyFont="1" applyFill="1" applyBorder="1" applyAlignment="1">
      <alignment vertical="center" wrapText="1"/>
    </xf>
    <xf numFmtId="0" fontId="3" fillId="16" borderId="8" xfId="0" applyFont="1" applyFill="1" applyBorder="1" applyAlignment="1">
      <alignment horizontal="center" vertical="center"/>
    </xf>
    <xf numFmtId="0" fontId="3" fillId="16" borderId="10" xfId="0" applyFont="1" applyFill="1" applyBorder="1" applyAlignment="1">
      <alignment horizontal="center" vertical="center"/>
    </xf>
    <xf numFmtId="0" fontId="29" fillId="8" borderId="0" xfId="0" applyFont="1" applyFill="1" applyAlignment="1">
      <alignment horizontal="left"/>
    </xf>
    <xf numFmtId="0" fontId="29" fillId="16" borderId="0" xfId="0" applyFont="1" applyFill="1" applyAlignment="1">
      <alignment horizontal="left"/>
    </xf>
    <xf numFmtId="0" fontId="3" fillId="8" borderId="0" xfId="0" applyFont="1" applyFill="1" applyAlignment="1">
      <alignment horizontal="center"/>
    </xf>
    <xf numFmtId="0" fontId="3" fillId="0" borderId="0" xfId="0" applyFont="1" applyAlignment="1">
      <alignment horizontal="center"/>
    </xf>
    <xf numFmtId="0" fontId="3" fillId="16" borderId="0" xfId="0" applyFont="1" applyFill="1" applyAlignment="1">
      <alignment horizontal="left"/>
    </xf>
    <xf numFmtId="0" fontId="21" fillId="18" borderId="11" xfId="0" applyFont="1" applyFill="1" applyBorder="1" applyAlignment="1">
      <alignment horizontal="center" vertical="center" wrapText="1"/>
    </xf>
    <xf numFmtId="0" fontId="0" fillId="0" borderId="0" xfId="0" applyAlignment="1">
      <alignment vertical="center"/>
    </xf>
    <xf numFmtId="0" fontId="22" fillId="18" borderId="11" xfId="0" applyFont="1" applyFill="1" applyBorder="1" applyAlignment="1">
      <alignment horizontal="center" vertical="center" wrapText="1"/>
    </xf>
    <xf numFmtId="0" fontId="0" fillId="0" borderId="28" xfId="0" applyBorder="1" applyAlignment="1">
      <alignment horizontal="center" vertical="center"/>
    </xf>
    <xf numFmtId="0" fontId="9" fillId="8" borderId="0" xfId="0" applyFont="1" applyFill="1" applyAlignment="1">
      <alignment vertical="center"/>
    </xf>
    <xf numFmtId="0" fontId="0" fillId="0" borderId="32" xfId="0" applyBorder="1" applyAlignment="1">
      <alignment horizontal="center" vertical="center"/>
    </xf>
    <xf numFmtId="0" fontId="24" fillId="8" borderId="0" xfId="0" applyFont="1" applyFill="1" applyAlignment="1">
      <alignment horizontal="center" vertical="center"/>
    </xf>
    <xf numFmtId="0" fontId="0" fillId="0" borderId="31" xfId="0" applyBorder="1" applyAlignment="1">
      <alignment vertical="center" wrapText="1"/>
    </xf>
    <xf numFmtId="0" fontId="35" fillId="8" borderId="1" xfId="0" applyFont="1" applyFill="1" applyBorder="1" applyAlignment="1">
      <alignment horizontal="left" vertical="center" wrapText="1"/>
    </xf>
    <xf numFmtId="0" fontId="0" fillId="8" borderId="17" xfId="0" applyFill="1" applyBorder="1" applyAlignment="1">
      <alignment vertical="center"/>
    </xf>
    <xf numFmtId="0" fontId="0" fillId="18" borderId="20" xfId="0" applyFill="1" applyBorder="1" applyAlignment="1">
      <alignment horizontal="center" vertical="center" wrapText="1"/>
    </xf>
    <xf numFmtId="0" fontId="0" fillId="0" borderId="35" xfId="0" applyBorder="1" applyAlignment="1">
      <alignment vertical="center" wrapText="1"/>
    </xf>
    <xf numFmtId="0" fontId="4" fillId="8" borderId="0" xfId="0" applyFont="1" applyFill="1" applyAlignment="1">
      <alignment horizontal="center"/>
    </xf>
    <xf numFmtId="0" fontId="0" fillId="8" borderId="18" xfId="0" applyFill="1" applyBorder="1" applyAlignment="1">
      <alignment horizontal="center" vertical="center"/>
    </xf>
    <xf numFmtId="0" fontId="1" fillId="8" borderId="1" xfId="0" applyFont="1" applyFill="1" applyBorder="1" applyAlignment="1">
      <alignment horizontal="center" vertical="center"/>
    </xf>
    <xf numFmtId="0" fontId="7" fillId="10" borderId="1" xfId="0" applyFont="1" applyFill="1" applyBorder="1" applyAlignment="1">
      <alignment horizontal="center" vertical="center"/>
    </xf>
    <xf numFmtId="0" fontId="1" fillId="0" borderId="0" xfId="0" applyFont="1" applyAlignment="1">
      <alignment horizontal="center" vertical="center"/>
    </xf>
    <xf numFmtId="0" fontId="9" fillId="0" borderId="1" xfId="0" applyFont="1" applyBorder="1" applyAlignment="1">
      <alignment horizontal="center" vertical="center"/>
    </xf>
    <xf numFmtId="0" fontId="0" fillId="0" borderId="31" xfId="0" applyBorder="1" applyAlignment="1">
      <alignment horizontal="center" vertical="center" wrapText="1"/>
    </xf>
    <xf numFmtId="0" fontId="22" fillId="18" borderId="26" xfId="0" applyFont="1" applyFill="1" applyBorder="1" applyAlignment="1">
      <alignment horizontal="center" vertical="center" wrapText="1"/>
    </xf>
    <xf numFmtId="0" fontId="0" fillId="18" borderId="31" xfId="0" applyFill="1" applyBorder="1" applyAlignment="1">
      <alignment vertical="center" wrapText="1"/>
    </xf>
    <xf numFmtId="0" fontId="23" fillId="0" borderId="17" xfId="0" applyFont="1" applyBorder="1" applyAlignment="1">
      <alignment horizontal="right" vertical="center"/>
    </xf>
    <xf numFmtId="0" fontId="4" fillId="0" borderId="1" xfId="0" applyFont="1" applyBorder="1" applyAlignment="1">
      <alignment horizontal="center" vertical="center"/>
    </xf>
    <xf numFmtId="0" fontId="23" fillId="8" borderId="1" xfId="0" applyFont="1" applyFill="1" applyBorder="1" applyAlignment="1">
      <alignment horizontal="right" vertical="center"/>
    </xf>
    <xf numFmtId="0" fontId="23" fillId="8" borderId="1" xfId="0" applyFont="1" applyFill="1" applyBorder="1" applyAlignment="1">
      <alignment horizontal="center" vertical="center"/>
    </xf>
    <xf numFmtId="0" fontId="4" fillId="0" borderId="16" xfId="0" applyFont="1" applyBorder="1" applyAlignment="1">
      <alignment horizontal="center" vertical="center"/>
    </xf>
    <xf numFmtId="0" fontId="1" fillId="0" borderId="16" xfId="0" applyFont="1" applyBorder="1" applyAlignment="1">
      <alignment horizontal="center" vertical="center"/>
    </xf>
    <xf numFmtId="0" fontId="0" fillId="0" borderId="16" xfId="0" applyBorder="1" applyAlignment="1">
      <alignment horizontal="center" vertical="center"/>
    </xf>
    <xf numFmtId="0" fontId="0" fillId="18" borderId="12" xfId="0" applyFill="1" applyBorder="1" applyAlignment="1">
      <alignment horizontal="center" vertical="center" wrapText="1"/>
    </xf>
    <xf numFmtId="0" fontId="0" fillId="0" borderId="45" xfId="0" applyBorder="1" applyAlignment="1">
      <alignment horizontal="center" vertical="center" wrapText="1"/>
    </xf>
    <xf numFmtId="0" fontId="0" fillId="0" borderId="15" xfId="0" applyBorder="1" applyAlignment="1">
      <alignment horizontal="left" vertical="center" wrapText="1"/>
    </xf>
    <xf numFmtId="0" fontId="0" fillId="0" borderId="46" xfId="0" applyBorder="1" applyAlignment="1">
      <alignment horizontal="center" vertical="center" wrapText="1"/>
    </xf>
    <xf numFmtId="0" fontId="0" fillId="8" borderId="14" xfId="0" applyFill="1" applyBorder="1" applyAlignment="1">
      <alignment vertical="center" wrapText="1"/>
    </xf>
    <xf numFmtId="0" fontId="4" fillId="0" borderId="17" xfId="0" applyFont="1" applyBorder="1" applyAlignment="1">
      <alignment horizontal="center" vertical="center"/>
    </xf>
    <xf numFmtId="0" fontId="0" fillId="0" borderId="1" xfId="0" applyBorder="1" applyAlignment="1">
      <alignment vertical="center"/>
    </xf>
    <xf numFmtId="0" fontId="4" fillId="8" borderId="17" xfId="0" applyFont="1" applyFill="1" applyBorder="1" applyAlignment="1">
      <alignment horizontal="center" vertical="center"/>
    </xf>
    <xf numFmtId="0" fontId="0" fillId="8" borderId="0" xfId="0" applyFill="1" applyAlignment="1">
      <alignment vertical="center" wrapText="1"/>
    </xf>
    <xf numFmtId="0" fontId="0" fillId="8" borderId="31" xfId="0" applyFill="1" applyBorder="1" applyAlignment="1">
      <alignment vertical="center" wrapText="1"/>
    </xf>
    <xf numFmtId="0" fontId="9" fillId="0" borderId="0" xfId="0" applyFont="1" applyAlignment="1">
      <alignment horizontal="center"/>
    </xf>
    <xf numFmtId="0" fontId="9" fillId="14" borderId="17" xfId="0" applyFont="1" applyFill="1" applyBorder="1" applyAlignment="1">
      <alignment horizontal="left" vertical="center"/>
    </xf>
    <xf numFmtId="0" fontId="0" fillId="0" borderId="31" xfId="0" applyBorder="1" applyAlignment="1">
      <alignment horizontal="left" vertical="center" wrapText="1"/>
    </xf>
    <xf numFmtId="0" fontId="4" fillId="0" borderId="0" xfId="0" applyFont="1" applyAlignment="1">
      <alignment horizontal="center"/>
    </xf>
    <xf numFmtId="0" fontId="0" fillId="18" borderId="26" xfId="0" applyFill="1" applyBorder="1" applyAlignment="1">
      <alignment vertical="center" wrapText="1"/>
    </xf>
    <xf numFmtId="0" fontId="0" fillId="0" borderId="12" xfId="0" applyBorder="1" applyAlignment="1">
      <alignment horizontal="left" vertical="center" wrapText="1"/>
    </xf>
    <xf numFmtId="0" fontId="0" fillId="0" borderId="47" xfId="0" applyBorder="1" applyAlignment="1">
      <alignment horizontal="center" vertical="center" wrapText="1"/>
    </xf>
    <xf numFmtId="0" fontId="25" fillId="19" borderId="1" xfId="0" applyFont="1" applyFill="1" applyBorder="1" applyAlignment="1">
      <alignment horizontal="center" vertical="center" wrapText="1"/>
    </xf>
    <xf numFmtId="0" fontId="26" fillId="19" borderId="5" xfId="0" applyFont="1" applyFill="1" applyBorder="1" applyAlignment="1">
      <alignment horizontal="center" vertical="center" wrapText="1"/>
    </xf>
    <xf numFmtId="0" fontId="26" fillId="19" borderId="7" xfId="0" applyFont="1" applyFill="1" applyBorder="1" applyAlignment="1">
      <alignment horizontal="center" vertical="center" wrapText="1"/>
    </xf>
    <xf numFmtId="0" fontId="0" fillId="0" borderId="40" xfId="0" applyBorder="1" applyAlignment="1">
      <alignment horizontal="left" vertical="center" wrapText="1"/>
    </xf>
    <xf numFmtId="0" fontId="0" fillId="19" borderId="30" xfId="0" applyFill="1" applyBorder="1" applyAlignment="1">
      <alignment horizontal="center" vertical="center" wrapText="1"/>
    </xf>
    <xf numFmtId="0" fontId="9" fillId="0" borderId="1" xfId="0" applyFont="1" applyBorder="1" applyAlignment="1">
      <alignment horizontal="left" vertical="center"/>
    </xf>
    <xf numFmtId="0" fontId="28" fillId="10" borderId="16" xfId="0" applyFont="1" applyFill="1" applyBorder="1" applyAlignment="1">
      <alignment horizontal="left" vertical="center"/>
    </xf>
    <xf numFmtId="0" fontId="28" fillId="10" borderId="1" xfId="0" applyFont="1" applyFill="1" applyBorder="1" applyAlignment="1">
      <alignment horizontal="left" vertical="center"/>
    </xf>
    <xf numFmtId="0" fontId="0" fillId="0" borderId="10" xfId="0" applyBorder="1" applyAlignment="1">
      <alignment horizontal="left" vertical="center" wrapText="1"/>
    </xf>
    <xf numFmtId="0" fontId="0" fillId="8" borderId="0" xfId="0" applyFill="1" applyAlignment="1">
      <alignment horizontal="left" vertical="center" wrapText="1"/>
    </xf>
    <xf numFmtId="0" fontId="0" fillId="0" borderId="0" xfId="0" applyAlignment="1">
      <alignment horizontal="left" vertical="center" wrapText="1"/>
    </xf>
    <xf numFmtId="0" fontId="0" fillId="0" borderId="1" xfId="0" applyBorder="1" applyAlignment="1">
      <alignment horizontal="left" vertical="center"/>
    </xf>
    <xf numFmtId="0" fontId="9" fillId="0" borderId="1" xfId="0" applyFont="1" applyBorder="1" applyAlignment="1">
      <alignment vertical="center"/>
    </xf>
    <xf numFmtId="0" fontId="0" fillId="0" borderId="19" xfId="0" applyBorder="1" applyAlignment="1">
      <alignment vertical="center" wrapText="1"/>
    </xf>
    <xf numFmtId="0" fontId="28" fillId="10" borderId="2" xfId="0" applyFont="1" applyFill="1" applyBorder="1" applyAlignment="1">
      <alignment horizontal="left" vertical="center"/>
    </xf>
    <xf numFmtId="0" fontId="0" fillId="0" borderId="32" xfId="0" applyBorder="1" applyAlignment="1">
      <alignment vertical="center" wrapText="1"/>
    </xf>
    <xf numFmtId="0" fontId="0" fillId="0" borderId="43" xfId="0" applyBorder="1" applyAlignment="1">
      <alignment vertical="center" wrapText="1"/>
    </xf>
    <xf numFmtId="0" fontId="28" fillId="18" borderId="1" xfId="0" applyFont="1" applyFill="1" applyBorder="1" applyAlignment="1">
      <alignment horizontal="left" vertical="center"/>
    </xf>
    <xf numFmtId="0" fontId="0" fillId="0" borderId="17" xfId="0" applyBorder="1" applyAlignment="1">
      <alignment horizontal="left" vertical="center"/>
    </xf>
    <xf numFmtId="0" fontId="0" fillId="19" borderId="7" xfId="0" applyFill="1" applyBorder="1" applyAlignment="1">
      <alignment horizontal="center" vertical="center" wrapText="1"/>
    </xf>
    <xf numFmtId="0" fontId="0" fillId="8" borderId="37" xfId="0" applyFill="1" applyBorder="1" applyAlignment="1">
      <alignment horizontal="left" vertical="center"/>
    </xf>
    <xf numFmtId="0" fontId="4" fillId="8" borderId="16" xfId="0" applyFont="1" applyFill="1" applyBorder="1" applyAlignment="1">
      <alignment horizontal="center" vertical="center"/>
    </xf>
    <xf numFmtId="0" fontId="4" fillId="8" borderId="16" xfId="0" applyFont="1" applyFill="1" applyBorder="1" applyAlignment="1">
      <alignment horizontal="left" vertical="center"/>
    </xf>
    <xf numFmtId="0" fontId="26" fillId="19" borderId="11" xfId="0" applyFont="1" applyFill="1" applyBorder="1" applyAlignment="1">
      <alignment horizontal="center" vertical="center" wrapText="1"/>
    </xf>
    <xf numFmtId="0" fontId="26" fillId="19" borderId="26" xfId="0" applyFont="1" applyFill="1" applyBorder="1" applyAlignment="1">
      <alignment horizontal="center" vertical="center" wrapText="1"/>
    </xf>
    <xf numFmtId="0" fontId="0" fillId="0" borderId="17" xfId="0" applyBorder="1" applyAlignment="1">
      <alignment horizontal="left" vertical="center" wrapText="1"/>
    </xf>
    <xf numFmtId="0" fontId="5" fillId="0" borderId="6" xfId="0" applyFont="1" applyBorder="1" applyAlignment="1">
      <alignment horizontal="center" vertical="center"/>
    </xf>
    <xf numFmtId="0" fontId="0" fillId="0" borderId="32" xfId="0" applyBorder="1" applyAlignment="1">
      <alignment horizontal="center" vertical="center" wrapText="1"/>
    </xf>
    <xf numFmtId="0" fontId="0" fillId="0" borderId="31" xfId="0" applyBorder="1" applyAlignment="1">
      <alignment vertical="center"/>
    </xf>
    <xf numFmtId="0" fontId="0" fillId="8" borderId="31" xfId="0" applyFill="1" applyBorder="1" applyAlignment="1">
      <alignment horizontal="left" vertical="center" wrapText="1"/>
    </xf>
    <xf numFmtId="0" fontId="28" fillId="10" borderId="1" xfId="0" applyFont="1" applyFill="1" applyBorder="1" applyAlignment="1">
      <alignment horizontal="center" vertical="center"/>
    </xf>
    <xf numFmtId="0" fontId="13" fillId="8" borderId="32" xfId="0" applyFont="1" applyFill="1" applyBorder="1" applyAlignment="1">
      <alignment vertical="center" wrapText="1"/>
    </xf>
    <xf numFmtId="0" fontId="12" fillId="8" borderId="32" xfId="0" applyFont="1" applyFill="1" applyBorder="1" applyAlignment="1">
      <alignment horizontal="center" vertical="center" wrapText="1"/>
    </xf>
    <xf numFmtId="0" fontId="9" fillId="0" borderId="0" xfId="0" applyFont="1" applyAlignment="1">
      <alignment vertical="center"/>
    </xf>
    <xf numFmtId="0" fontId="9" fillId="0" borderId="0" xfId="0" applyFont="1" applyAlignment="1">
      <alignment horizontal="center" vertical="center"/>
    </xf>
    <xf numFmtId="0" fontId="9" fillId="0" borderId="0" xfId="0" applyFont="1" applyAlignment="1" applyProtection="1">
      <alignment horizontal="center" vertical="center"/>
      <protection locked="0"/>
    </xf>
    <xf numFmtId="0" fontId="4" fillId="8" borderId="0" xfId="0" applyFont="1" applyFill="1" applyAlignment="1" applyProtection="1">
      <alignment horizontal="center" vertical="center"/>
      <protection locked="0"/>
    </xf>
    <xf numFmtId="0" fontId="5" fillId="14" borderId="61" xfId="0" applyFont="1" applyFill="1" applyBorder="1" applyAlignment="1" applyProtection="1">
      <alignment vertical="center"/>
      <protection locked="0"/>
    </xf>
    <xf numFmtId="0" fontId="5" fillId="14" borderId="40" xfId="0" applyFont="1" applyFill="1" applyBorder="1" applyAlignment="1" applyProtection="1">
      <alignment vertical="center"/>
      <protection locked="0"/>
    </xf>
    <xf numFmtId="0" fontId="5" fillId="14" borderId="1" xfId="0" applyFont="1" applyFill="1" applyBorder="1" applyAlignment="1" applyProtection="1">
      <alignment vertical="center"/>
      <protection locked="0"/>
    </xf>
    <xf numFmtId="0" fontId="55" fillId="2" borderId="31" xfId="0" applyFont="1" applyFill="1" applyBorder="1" applyAlignment="1">
      <alignment horizontal="left" vertical="center" wrapText="1"/>
    </xf>
    <xf numFmtId="0" fontId="55" fillId="2" borderId="0" xfId="0" applyFont="1" applyFill="1" applyAlignment="1">
      <alignment horizontal="left" vertical="center" wrapText="1"/>
    </xf>
    <xf numFmtId="0" fontId="0" fillId="0" borderId="62" xfId="0" applyBorder="1" applyAlignment="1">
      <alignment horizontal="center" vertical="center" wrapText="1"/>
    </xf>
    <xf numFmtId="0" fontId="0" fillId="0" borderId="13" xfId="0" applyBorder="1" applyAlignment="1">
      <alignment horizontal="left" vertical="center" wrapText="1"/>
    </xf>
    <xf numFmtId="0" fontId="0" fillId="8" borderId="45" xfId="0" applyFill="1" applyBorder="1" applyAlignment="1">
      <alignment horizontal="center" vertical="center" wrapText="1"/>
    </xf>
    <xf numFmtId="0" fontId="0" fillId="18" borderId="26" xfId="0" applyFill="1" applyBorder="1" applyAlignment="1">
      <alignment horizontal="center" vertical="center" wrapText="1"/>
    </xf>
    <xf numFmtId="0" fontId="0" fillId="0" borderId="11" xfId="0" applyBorder="1" applyAlignment="1">
      <alignment horizontal="left" vertical="center" wrapText="1"/>
    </xf>
    <xf numFmtId="0" fontId="0" fillId="0" borderId="11" xfId="0" applyBorder="1" applyAlignment="1">
      <alignment vertical="center" wrapText="1"/>
    </xf>
    <xf numFmtId="0" fontId="0" fillId="8" borderId="11" xfId="0" applyFill="1" applyBorder="1" applyAlignment="1">
      <alignment vertical="center" wrapText="1"/>
    </xf>
    <xf numFmtId="0" fontId="0" fillId="0" borderId="64" xfId="0" applyBorder="1" applyAlignment="1">
      <alignment vertical="center" wrapText="1"/>
    </xf>
    <xf numFmtId="0" fontId="0" fillId="0" borderId="15" xfId="0" applyBorder="1" applyAlignment="1">
      <alignment vertical="center"/>
    </xf>
    <xf numFmtId="0" fontId="0" fillId="0" borderId="13" xfId="0" applyBorder="1" applyAlignment="1">
      <alignment vertical="center"/>
    </xf>
    <xf numFmtId="0" fontId="0" fillId="0" borderId="22" xfId="0" applyBorder="1" applyAlignment="1">
      <alignment horizontal="center" vertical="center" wrapText="1"/>
    </xf>
    <xf numFmtId="0" fontId="30" fillId="0" borderId="22" xfId="0" applyFont="1" applyBorder="1" applyAlignment="1">
      <alignment horizontal="center" vertical="center" wrapText="1"/>
    </xf>
    <xf numFmtId="0" fontId="0" fillId="8" borderId="22" xfId="0" applyFill="1" applyBorder="1" applyAlignment="1">
      <alignment horizontal="center" vertical="center" wrapText="1"/>
    </xf>
    <xf numFmtId="0" fontId="56" fillId="0" borderId="0" xfId="0" applyFont="1" applyAlignment="1">
      <alignment horizontal="center" vertical="center" wrapText="1"/>
    </xf>
    <xf numFmtId="0" fontId="58" fillId="0" borderId="0" xfId="0" applyFont="1" applyAlignment="1">
      <alignment horizontal="center" vertical="center" wrapText="1"/>
    </xf>
    <xf numFmtId="0" fontId="57" fillId="8" borderId="0" xfId="0" applyFont="1" applyFill="1" applyAlignment="1" applyProtection="1">
      <alignment horizontal="center" vertical="center" wrapText="1"/>
      <protection locked="0"/>
    </xf>
    <xf numFmtId="0" fontId="0" fillId="0" borderId="14" xfId="0" applyBorder="1" applyAlignment="1">
      <alignment vertical="center" wrapText="1"/>
    </xf>
    <xf numFmtId="0" fontId="16" fillId="14" borderId="11" xfId="0" applyFont="1" applyFill="1" applyBorder="1" applyAlignment="1">
      <alignment horizontal="center" vertical="center" wrapText="1"/>
    </xf>
    <xf numFmtId="0" fontId="35" fillId="25" borderId="14" xfId="0" applyFont="1" applyFill="1" applyBorder="1" applyAlignment="1">
      <alignment horizontal="left" vertical="center" wrapText="1"/>
    </xf>
    <xf numFmtId="0" fontId="5" fillId="14" borderId="61" xfId="0" applyFont="1" applyFill="1" applyBorder="1" applyAlignment="1" applyProtection="1">
      <alignment horizontal="center" vertical="center"/>
      <protection locked="0"/>
    </xf>
    <xf numFmtId="0" fontId="5" fillId="14" borderId="45" xfId="0" applyFont="1" applyFill="1" applyBorder="1" applyAlignment="1" applyProtection="1">
      <alignment horizontal="center" vertical="center"/>
      <protection locked="0"/>
    </xf>
    <xf numFmtId="0" fontId="5" fillId="14" borderId="40" xfId="0" applyFont="1" applyFill="1" applyBorder="1" applyAlignment="1" applyProtection="1">
      <alignment horizontal="center" vertical="center"/>
      <protection locked="0"/>
    </xf>
    <xf numFmtId="0" fontId="50" fillId="9" borderId="23" xfId="0" applyFont="1" applyFill="1" applyBorder="1" applyAlignment="1">
      <alignment horizontal="left" vertical="center" wrapText="1"/>
    </xf>
    <xf numFmtId="0" fontId="50" fillId="9" borderId="28" xfId="0" applyFont="1" applyFill="1" applyBorder="1" applyAlignment="1">
      <alignment horizontal="left" vertical="center" wrapText="1"/>
    </xf>
    <xf numFmtId="0" fontId="50" fillId="9" borderId="38" xfId="0" applyFont="1" applyFill="1" applyBorder="1" applyAlignment="1">
      <alignment horizontal="left" vertical="center" wrapText="1"/>
    </xf>
    <xf numFmtId="0" fontId="50" fillId="9" borderId="24" xfId="0" applyFont="1" applyFill="1" applyBorder="1" applyAlignment="1">
      <alignment horizontal="left" vertical="center" wrapText="1"/>
    </xf>
    <xf numFmtId="0" fontId="50" fillId="9" borderId="29" xfId="0" applyFont="1" applyFill="1" applyBorder="1" applyAlignment="1">
      <alignment horizontal="left" vertical="center" wrapText="1"/>
    </xf>
    <xf numFmtId="0" fontId="50" fillId="9" borderId="39" xfId="0" applyFont="1" applyFill="1" applyBorder="1" applyAlignment="1">
      <alignment horizontal="left" vertical="center" wrapText="1"/>
    </xf>
    <xf numFmtId="0" fontId="40" fillId="16" borderId="23" xfId="0" applyFont="1" applyFill="1" applyBorder="1" applyAlignment="1">
      <alignment horizontal="center"/>
    </xf>
    <xf numFmtId="0" fontId="40" fillId="16" borderId="28" xfId="0" applyFont="1" applyFill="1" applyBorder="1" applyAlignment="1">
      <alignment horizontal="center"/>
    </xf>
    <xf numFmtId="0" fontId="40" fillId="16" borderId="38" xfId="0" applyFont="1" applyFill="1" applyBorder="1" applyAlignment="1">
      <alignment horizontal="center"/>
    </xf>
    <xf numFmtId="0" fontId="48" fillId="9" borderId="56" xfId="0" applyFont="1" applyFill="1" applyBorder="1" applyAlignment="1">
      <alignment horizontal="center" vertical="center" wrapText="1"/>
    </xf>
    <xf numFmtId="0" fontId="48" fillId="9" borderId="54" xfId="0" applyFont="1" applyFill="1" applyBorder="1" applyAlignment="1">
      <alignment horizontal="center" vertical="center" wrapText="1"/>
    </xf>
    <xf numFmtId="0" fontId="48" fillId="9" borderId="35" xfId="0" applyFont="1" applyFill="1" applyBorder="1" applyAlignment="1">
      <alignment horizontal="center" vertical="center" wrapText="1"/>
    </xf>
    <xf numFmtId="0" fontId="3" fillId="16" borderId="6" xfId="0" applyFont="1" applyFill="1" applyBorder="1" applyAlignment="1">
      <alignment horizontal="center" vertical="center"/>
    </xf>
    <xf numFmtId="0" fontId="3" fillId="16" borderId="7" xfId="0" applyFont="1" applyFill="1" applyBorder="1" applyAlignment="1">
      <alignment horizontal="center" vertical="center"/>
    </xf>
    <xf numFmtId="0" fontId="3" fillId="16" borderId="61" xfId="0" applyFont="1" applyFill="1" applyBorder="1" applyAlignment="1">
      <alignment horizontal="center" vertical="center"/>
    </xf>
    <xf numFmtId="0" fontId="3" fillId="16" borderId="40" xfId="0" applyFont="1" applyFill="1" applyBorder="1" applyAlignment="1">
      <alignment horizontal="center" vertical="center"/>
    </xf>
    <xf numFmtId="0" fontId="9" fillId="14" borderId="17" xfId="0" applyFont="1" applyFill="1" applyBorder="1" applyAlignment="1">
      <alignment horizontal="left" vertical="center"/>
    </xf>
    <xf numFmtId="0" fontId="9" fillId="14" borderId="1" xfId="0" applyFont="1" applyFill="1" applyBorder="1" applyAlignment="1" applyProtection="1">
      <alignment horizontal="left" vertical="center"/>
      <protection locked="0"/>
    </xf>
    <xf numFmtId="0" fontId="9" fillId="14" borderId="41" xfId="0" applyFont="1" applyFill="1" applyBorder="1" applyAlignment="1">
      <alignment horizontal="center" vertical="center"/>
    </xf>
    <xf numFmtId="0" fontId="9" fillId="14" borderId="42" xfId="0" applyFont="1" applyFill="1" applyBorder="1" applyAlignment="1">
      <alignment horizontal="center" vertical="center"/>
    </xf>
    <xf numFmtId="0" fontId="0" fillId="0" borderId="20" xfId="0" applyBorder="1" applyAlignment="1">
      <alignment horizontal="left" vertical="center" wrapText="1"/>
    </xf>
    <xf numFmtId="0" fontId="0" fillId="0" borderId="14" xfId="0" applyBorder="1" applyAlignment="1">
      <alignment horizontal="left" vertical="center" wrapText="1"/>
    </xf>
    <xf numFmtId="0" fontId="0" fillId="0" borderId="46" xfId="0" applyBorder="1" applyAlignment="1">
      <alignment horizontal="center" vertical="center" wrapText="1"/>
    </xf>
    <xf numFmtId="0" fontId="0" fillId="0" borderId="49" xfId="0" applyBorder="1" applyAlignment="1">
      <alignment horizontal="center" vertical="center" wrapText="1"/>
    </xf>
    <xf numFmtId="0" fontId="9" fillId="14" borderId="2" xfId="0" applyFont="1" applyFill="1" applyBorder="1" applyAlignment="1" applyProtection="1">
      <alignment horizontal="center" vertical="center"/>
      <protection locked="0"/>
    </xf>
    <xf numFmtId="0" fontId="9" fillId="14" borderId="16" xfId="0" applyFont="1" applyFill="1" applyBorder="1" applyAlignment="1" applyProtection="1">
      <alignment horizontal="center" vertical="center"/>
      <protection locked="0"/>
    </xf>
    <xf numFmtId="0" fontId="9" fillId="14" borderId="63" xfId="0" applyFont="1" applyFill="1" applyBorder="1" applyAlignment="1">
      <alignment horizontal="left" vertical="center"/>
    </xf>
    <xf numFmtId="0" fontId="9" fillId="14" borderId="0" xfId="0" applyFont="1" applyFill="1" applyAlignment="1">
      <alignment horizontal="left" vertical="center"/>
    </xf>
    <xf numFmtId="0" fontId="9" fillId="14" borderId="48" xfId="0" applyFont="1" applyFill="1" applyBorder="1" applyAlignment="1">
      <alignment horizontal="left" vertical="center"/>
    </xf>
    <xf numFmtId="0" fontId="0" fillId="0" borderId="63" xfId="0" applyBorder="1" applyAlignment="1">
      <alignment horizontal="center" vertical="center" wrapText="1"/>
    </xf>
    <xf numFmtId="0" fontId="0" fillId="0" borderId="48" xfId="0" applyBorder="1" applyAlignment="1">
      <alignment horizontal="center" vertical="center" wrapText="1"/>
    </xf>
    <xf numFmtId="0" fontId="0" fillId="0" borderId="26" xfId="0" applyBorder="1" applyAlignment="1">
      <alignment horizontal="left" vertical="center" wrapText="1"/>
    </xf>
    <xf numFmtId="0" fontId="9" fillId="14" borderId="19" xfId="0" applyFont="1" applyFill="1" applyBorder="1" applyAlignment="1">
      <alignment horizontal="center" vertical="center"/>
    </xf>
    <xf numFmtId="0" fontId="9" fillId="14" borderId="18" xfId="0" applyFont="1" applyFill="1" applyBorder="1" applyAlignment="1" applyProtection="1">
      <alignment horizontal="center" vertical="center"/>
      <protection locked="0"/>
    </xf>
    <xf numFmtId="0" fontId="6" fillId="0" borderId="1" xfId="0" applyFont="1" applyBorder="1" applyAlignment="1">
      <alignment horizontal="center" vertical="center" wrapText="1"/>
    </xf>
    <xf numFmtId="0" fontId="0" fillId="0" borderId="6" xfId="0" applyBorder="1" applyAlignment="1">
      <alignment horizontal="center" vertical="center" wrapText="1"/>
    </xf>
    <xf numFmtId="0" fontId="0" fillId="0" borderId="21" xfId="0" applyBorder="1" applyAlignment="1">
      <alignment horizontal="center" vertical="center" wrapText="1"/>
    </xf>
    <xf numFmtId="0" fontId="0" fillId="0" borderId="15" xfId="0" applyBorder="1" applyAlignment="1">
      <alignment horizontal="left" vertical="center" wrapText="1"/>
    </xf>
    <xf numFmtId="0" fontId="0" fillId="0" borderId="27" xfId="0" applyBorder="1" applyAlignment="1">
      <alignment horizontal="left" vertical="center" wrapText="1"/>
    </xf>
    <xf numFmtId="0" fontId="0" fillId="0" borderId="45" xfId="0" applyBorder="1" applyAlignment="1">
      <alignment horizontal="center" vertical="center" wrapText="1"/>
    </xf>
    <xf numFmtId="0" fontId="6" fillId="0" borderId="2" xfId="0" applyFont="1" applyBorder="1" applyAlignment="1">
      <alignment horizontal="center" vertical="center" wrapText="1"/>
    </xf>
    <xf numFmtId="0" fontId="6" fillId="0" borderId="16" xfId="0" applyFont="1" applyBorder="1" applyAlignment="1">
      <alignment horizontal="center" vertical="center" wrapText="1"/>
    </xf>
    <xf numFmtId="0" fontId="9" fillId="14" borderId="41" xfId="0" applyFont="1" applyFill="1" applyBorder="1" applyAlignment="1">
      <alignment horizontal="left" vertical="center"/>
    </xf>
    <xf numFmtId="0" fontId="9" fillId="14" borderId="19" xfId="0" applyFont="1" applyFill="1" applyBorder="1" applyAlignment="1">
      <alignment horizontal="left" vertical="center"/>
    </xf>
    <xf numFmtId="0" fontId="9" fillId="14" borderId="42" xfId="0" applyFont="1" applyFill="1" applyBorder="1" applyAlignment="1">
      <alignment horizontal="left" vertical="center"/>
    </xf>
    <xf numFmtId="0" fontId="0" fillId="0" borderId="41" xfId="0" applyBorder="1" applyAlignment="1">
      <alignment horizontal="center" vertical="center" wrapText="1"/>
    </xf>
    <xf numFmtId="0" fontId="0" fillId="0" borderId="19" xfId="0" applyBorder="1" applyAlignment="1">
      <alignment horizontal="center" vertical="center" wrapText="1"/>
    </xf>
    <xf numFmtId="0" fontId="0" fillId="0" borderId="42" xfId="0" applyBorder="1" applyAlignment="1">
      <alignment horizontal="center" vertical="center" wrapText="1"/>
    </xf>
    <xf numFmtId="0" fontId="0" fillId="0" borderId="30" xfId="0" applyBorder="1" applyAlignment="1">
      <alignment horizontal="left" vertical="center" wrapText="1"/>
    </xf>
    <xf numFmtId="0" fontId="0" fillId="0" borderId="25" xfId="0" applyBorder="1" applyAlignment="1">
      <alignment horizontal="left" vertical="center" wrapText="1"/>
    </xf>
    <xf numFmtId="0" fontId="0" fillId="0" borderId="36" xfId="0" applyBorder="1" applyAlignment="1">
      <alignment horizontal="left" vertical="center" wrapText="1"/>
    </xf>
    <xf numFmtId="0" fontId="0" fillId="0" borderId="2" xfId="0" applyBorder="1" applyAlignment="1">
      <alignment horizontal="center" vertical="center" wrapText="1"/>
    </xf>
    <xf numFmtId="0" fontId="0" fillId="0" borderId="18" xfId="0" applyBorder="1" applyAlignment="1">
      <alignment horizontal="center" vertical="center" wrapText="1"/>
    </xf>
    <xf numFmtId="0" fontId="0" fillId="0" borderId="16" xfId="0" applyBorder="1" applyAlignment="1">
      <alignment horizontal="center" vertical="center" wrapText="1"/>
    </xf>
    <xf numFmtId="0" fontId="12" fillId="0" borderId="44" xfId="0" applyFont="1" applyBorder="1" applyAlignment="1">
      <alignment horizontal="center" vertical="center" wrapText="1"/>
    </xf>
    <xf numFmtId="0" fontId="12" fillId="0" borderId="32" xfId="0" applyFont="1" applyBorder="1" applyAlignment="1">
      <alignment horizontal="center" vertical="center" wrapText="1"/>
    </xf>
    <xf numFmtId="0" fontId="12" fillId="0" borderId="41" xfId="0" applyFont="1" applyBorder="1" applyAlignment="1">
      <alignment horizontal="center" vertical="center" wrapText="1"/>
    </xf>
    <xf numFmtId="0" fontId="12" fillId="0" borderId="19" xfId="0" applyFont="1" applyBorder="1" applyAlignment="1">
      <alignment horizontal="center" vertical="center" wrapText="1"/>
    </xf>
    <xf numFmtId="0" fontId="12" fillId="0" borderId="42" xfId="0" applyFont="1" applyBorder="1" applyAlignment="1">
      <alignment horizontal="center" vertical="center" wrapText="1"/>
    </xf>
    <xf numFmtId="0" fontId="12" fillId="0" borderId="6" xfId="0" applyFont="1" applyBorder="1" applyAlignment="1">
      <alignment horizontal="center" vertical="center" wrapText="1"/>
    </xf>
    <xf numFmtId="0" fontId="0" fillId="0" borderId="1" xfId="0" applyBorder="1" applyAlignment="1">
      <alignment horizontal="center" vertical="center" wrapText="1"/>
    </xf>
    <xf numFmtId="0" fontId="9" fillId="14" borderId="1" xfId="0" applyFont="1" applyFill="1" applyBorder="1" applyAlignment="1">
      <alignment horizontal="center" vertical="center"/>
    </xf>
    <xf numFmtId="0" fontId="9" fillId="14" borderId="1" xfId="0" applyFont="1" applyFill="1" applyBorder="1" applyAlignment="1" applyProtection="1">
      <alignment horizontal="center" vertical="center"/>
      <protection locked="0"/>
    </xf>
    <xf numFmtId="0" fontId="0" fillId="0" borderId="16" xfId="0" applyBorder="1" applyAlignment="1">
      <alignment horizontal="left" vertical="center" wrapText="1"/>
    </xf>
    <xf numFmtId="0" fontId="0" fillId="0" borderId="1" xfId="0" applyBorder="1" applyAlignment="1">
      <alignment horizontal="left" vertical="center" wrapText="1"/>
    </xf>
    <xf numFmtId="0" fontId="0" fillId="0" borderId="46" xfId="0" applyBorder="1" applyAlignment="1">
      <alignment horizontal="left" vertical="center" wrapText="1"/>
    </xf>
    <xf numFmtId="0" fontId="0" fillId="0" borderId="21" xfId="0" applyBorder="1" applyAlignment="1">
      <alignment horizontal="left" vertical="center" wrapText="1"/>
    </xf>
    <xf numFmtId="0" fontId="0" fillId="0" borderId="49" xfId="0" applyBorder="1" applyAlignment="1">
      <alignment horizontal="left" vertical="center" wrapText="1"/>
    </xf>
    <xf numFmtId="0" fontId="9" fillId="14" borderId="1" xfId="0" applyFont="1" applyFill="1" applyBorder="1" applyAlignment="1">
      <alignment horizontal="left" vertical="center"/>
    </xf>
  </cellXfs>
  <cellStyles count="1">
    <cellStyle name="Normal" xfId="0" builtinId="0"/>
  </cellStyles>
  <dxfs count="198">
    <dxf>
      <font>
        <color rgb="FF006100"/>
      </font>
      <fill>
        <patternFill>
          <bgColor rgb="FFC6EFCE"/>
        </patternFill>
      </fill>
    </dxf>
    <dxf>
      <font>
        <b/>
        <i val="0"/>
        <color rgb="FF006100"/>
      </font>
      <fill>
        <patternFill patternType="none">
          <bgColor auto="1"/>
        </patternFill>
      </fill>
    </dxf>
    <dxf>
      <font>
        <b/>
        <i val="0"/>
        <color rgb="FF006100"/>
      </font>
      <fill>
        <patternFill patternType="none">
          <bgColor auto="1"/>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b/>
        <i val="0"/>
        <color rgb="FF006100"/>
      </font>
      <fill>
        <patternFill patternType="none">
          <bgColor auto="1"/>
        </patternFill>
      </fill>
    </dxf>
    <dxf>
      <font>
        <b/>
        <i val="0"/>
        <color rgb="FF006100"/>
      </font>
      <fill>
        <patternFill patternType="none">
          <bgColor auto="1"/>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i val="0"/>
        <color rgb="FF006100"/>
      </font>
      <fill>
        <patternFill patternType="none">
          <bgColor auto="1"/>
        </patternFill>
      </fill>
    </dxf>
    <dxf>
      <font>
        <color rgb="FF006100"/>
      </font>
      <fill>
        <patternFill>
          <bgColor rgb="FFC6EFCE"/>
        </patternFill>
      </fill>
    </dxf>
    <dxf>
      <fill>
        <patternFill>
          <bgColor rgb="FF92D050"/>
        </patternFill>
      </fill>
    </dxf>
    <dxf>
      <font>
        <b/>
        <i val="0"/>
      </font>
      <fill>
        <patternFill>
          <bgColor rgb="FFFF0000"/>
        </patternFill>
      </fill>
    </dxf>
    <dxf>
      <fill>
        <patternFill>
          <bgColor rgb="FFFFFF00"/>
        </patternFill>
      </fill>
    </dxf>
    <dxf>
      <fill>
        <patternFill>
          <bgColor rgb="FF00B050"/>
        </patternFill>
      </fill>
    </dxf>
    <dxf>
      <font>
        <b/>
        <i val="0"/>
        <strike val="0"/>
        <color theme="0"/>
      </font>
      <fill>
        <patternFill>
          <bgColor theme="8" tint="-0.499984740745262"/>
        </patternFill>
      </fill>
    </dxf>
    <dxf>
      <fill>
        <patternFill>
          <bgColor rgb="FFFF0000"/>
        </patternFill>
      </fill>
    </dxf>
    <dxf>
      <fill>
        <patternFill>
          <bgColor rgb="FFFFFF00"/>
        </patternFill>
      </fill>
    </dxf>
    <dxf>
      <font>
        <b/>
        <i val="0"/>
        <strike val="0"/>
        <color theme="0"/>
      </font>
      <fill>
        <patternFill>
          <bgColor theme="4" tint="-0.24994659260841701"/>
        </patternFill>
      </fill>
    </dxf>
    <dxf>
      <font>
        <color theme="1"/>
      </font>
      <fill>
        <patternFill>
          <bgColor rgb="FF00B050"/>
        </patternFill>
      </fill>
    </dxf>
    <dxf>
      <fill>
        <patternFill>
          <bgColor rgb="FFFF0000"/>
        </patternFill>
      </fill>
    </dxf>
    <dxf>
      <font>
        <color auto="1"/>
      </font>
      <fill>
        <patternFill>
          <bgColor theme="8" tint="0.59996337778862885"/>
        </patternFill>
      </fill>
    </dxf>
  </dxfs>
  <tableStyles count="0" defaultTableStyle="TableStyleMedium2" defaultPivotStyle="PivotStyleLight16"/>
  <colors>
    <mruColors>
      <color rgb="FF910028"/>
      <color rgb="FFE72460"/>
      <color rgb="FFFF5D5D"/>
      <color rgb="FFE1F3CD"/>
      <color rgb="FF008000"/>
      <color rgb="FFFED8E3"/>
      <color rgb="FF449851"/>
      <color rgb="FFFCE3CD"/>
      <color rgb="FF02460F"/>
      <color rgb="FFE07F6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13" Type="http://schemas.openxmlformats.org/officeDocument/2006/relationships/calcChain" Target="calcChain.xml" /><Relationship Id="rId3" Type="http://schemas.openxmlformats.org/officeDocument/2006/relationships/worksheet" Target="worksheets/sheet3.xml" /><Relationship Id="rId7" Type="http://schemas.openxmlformats.org/officeDocument/2006/relationships/worksheet" Target="worksheets/sheet7.xml" /><Relationship Id="rId12" Type="http://schemas.openxmlformats.org/officeDocument/2006/relationships/sharedStrings" Target="sharedStrings.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styles" Target="styles.xml" /><Relationship Id="rId5" Type="http://schemas.openxmlformats.org/officeDocument/2006/relationships/worksheet" Target="worksheets/sheet5.xml" /><Relationship Id="rId10" Type="http://schemas.openxmlformats.org/officeDocument/2006/relationships/theme" Target="theme/theme1.xml" /><Relationship Id="rId4" Type="http://schemas.openxmlformats.org/officeDocument/2006/relationships/worksheet" Target="worksheets/sheet4.xml" /><Relationship Id="rId9" Type="http://schemas.openxmlformats.org/officeDocument/2006/relationships/worksheet" Target="worksheets/sheet9.xml" /><Relationship Id="rId14" Type="http://schemas.openxmlformats.org/officeDocument/2006/relationships/customXml" Target="../customXml/item1.xml" /></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 /></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 /><Relationship Id="rId1" Type="http://schemas.openxmlformats.org/officeDocument/2006/relationships/vmlDrawing" Target="../drawings/vmlDrawing1.vml" /></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 /><Relationship Id="rId2" Type="http://schemas.openxmlformats.org/officeDocument/2006/relationships/vmlDrawing" Target="../drawings/vmlDrawing2.vml" /><Relationship Id="rId1" Type="http://schemas.openxmlformats.org/officeDocument/2006/relationships/printerSettings" Target="../printerSettings/printerSettings2.bin" /></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 /><Relationship Id="rId1" Type="http://schemas.openxmlformats.org/officeDocument/2006/relationships/vmlDrawing" Target="../drawings/vmlDrawing3.vml" /></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 /><Relationship Id="rId2" Type="http://schemas.openxmlformats.org/officeDocument/2006/relationships/vmlDrawing" Target="../drawings/vmlDrawing4.vml" /><Relationship Id="rId1" Type="http://schemas.openxmlformats.org/officeDocument/2006/relationships/printerSettings" Target="../printerSettings/printerSettings3.bin" /></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 /><Relationship Id="rId1" Type="http://schemas.openxmlformats.org/officeDocument/2006/relationships/vmlDrawing" Target="../drawings/vmlDrawing5.vml" /></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 /><Relationship Id="rId2" Type="http://schemas.openxmlformats.org/officeDocument/2006/relationships/vmlDrawing" Target="../drawings/vmlDrawing6.vml" /><Relationship Id="rId1" Type="http://schemas.openxmlformats.org/officeDocument/2006/relationships/printerSettings" Target="../printerSettings/printerSettings4.bin" /></Relationships>
</file>

<file path=xl/worksheets/_rels/sheet9.xml.rels><?xml version="1.0" encoding="UTF-8" standalone="yes"?>
<Relationships xmlns="http://schemas.openxmlformats.org/package/2006/relationships"><Relationship Id="rId2" Type="http://schemas.openxmlformats.org/officeDocument/2006/relationships/comments" Target="../comments7.xml" /><Relationship Id="rId1" Type="http://schemas.openxmlformats.org/officeDocument/2006/relationships/vmlDrawing" Target="../drawings/vmlDrawing7.v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D4BCC-F1AB-40A3-937F-CEC8971A925A}">
  <dimension ref="A1:A27"/>
  <sheetViews>
    <sheetView zoomScaleNormal="100" zoomScaleSheetLayoutView="100" workbookViewId="0"/>
  </sheetViews>
  <sheetFormatPr defaultRowHeight="15" x14ac:dyDescent="0.2"/>
  <cols>
    <col min="1" max="1" width="145.015625" customWidth="1"/>
  </cols>
  <sheetData>
    <row r="1" spans="1:1" ht="21.75" thickBot="1" x14ac:dyDescent="0.25">
      <c r="A1" s="147" t="s">
        <v>975</v>
      </c>
    </row>
    <row r="2" spans="1:1" ht="18.75" x14ac:dyDescent="0.25">
      <c r="A2" s="148" t="s">
        <v>575</v>
      </c>
    </row>
    <row r="3" spans="1:1" x14ac:dyDescent="0.2">
      <c r="A3" s="149" t="s">
        <v>966</v>
      </c>
    </row>
    <row r="4" spans="1:1" ht="23.25" x14ac:dyDescent="0.2">
      <c r="A4" s="150" t="s">
        <v>1132</v>
      </c>
    </row>
    <row r="5" spans="1:1" ht="23.25" x14ac:dyDescent="0.2">
      <c r="A5" s="150" t="s">
        <v>1133</v>
      </c>
    </row>
    <row r="6" spans="1:1" x14ac:dyDescent="0.2">
      <c r="A6" s="150" t="s">
        <v>965</v>
      </c>
    </row>
    <row r="7" spans="1:1" ht="23.25" x14ac:dyDescent="0.2">
      <c r="A7" s="150" t="s">
        <v>1134</v>
      </c>
    </row>
    <row r="8" spans="1:1" ht="35.25" thickBot="1" x14ac:dyDescent="0.25">
      <c r="A8" s="331" t="s">
        <v>1135</v>
      </c>
    </row>
    <row r="9" spans="1:1" ht="9.75" customHeight="1" thickBot="1" x14ac:dyDescent="0.25">
      <c r="A9" s="147"/>
    </row>
    <row r="10" spans="1:1" ht="25.5" x14ac:dyDescent="0.2">
      <c r="A10" s="151" t="s">
        <v>967</v>
      </c>
    </row>
    <row r="11" spans="1:1" ht="9.75" customHeight="1" thickBot="1" x14ac:dyDescent="0.25">
      <c r="A11" s="156"/>
    </row>
    <row r="12" spans="1:1" ht="58.5" thickBot="1" x14ac:dyDescent="0.25">
      <c r="A12" s="157" t="s">
        <v>1122</v>
      </c>
    </row>
    <row r="13" spans="1:1" ht="15.75" thickBot="1" x14ac:dyDescent="0.25">
      <c r="A13" s="152"/>
    </row>
    <row r="14" spans="1:1" ht="84.75" thickBot="1" x14ac:dyDescent="0.25">
      <c r="A14" s="157" t="s">
        <v>1129</v>
      </c>
    </row>
    <row r="15" spans="1:1" ht="15.75" thickBot="1" x14ac:dyDescent="0.25">
      <c r="A15" s="153"/>
    </row>
    <row r="16" spans="1:1" ht="31.5" thickBot="1" x14ac:dyDescent="0.25">
      <c r="A16" s="157" t="s">
        <v>968</v>
      </c>
    </row>
    <row r="17" spans="1:1" ht="15.75" thickBot="1" x14ac:dyDescent="0.25">
      <c r="A17" s="154"/>
    </row>
    <row r="18" spans="1:1" ht="95.25" thickBot="1" x14ac:dyDescent="0.25">
      <c r="A18" s="157" t="s">
        <v>1123</v>
      </c>
    </row>
    <row r="19" spans="1:1" ht="15.75" thickBot="1" x14ac:dyDescent="0.25">
      <c r="A19" s="155"/>
    </row>
    <row r="20" spans="1:1" ht="152.25" thickBot="1" x14ac:dyDescent="0.25">
      <c r="A20" s="157" t="s">
        <v>1124</v>
      </c>
    </row>
    <row r="21" spans="1:1" ht="15.75" thickBot="1" x14ac:dyDescent="0.25"/>
    <row r="22" spans="1:1" ht="179.25" thickBot="1" x14ac:dyDescent="0.25">
      <c r="A22" s="157" t="s">
        <v>1136</v>
      </c>
    </row>
    <row r="25" spans="1:1" ht="21.95" customHeight="1" x14ac:dyDescent="0.2"/>
    <row r="26" spans="1:1" ht="24.95" customHeight="1" x14ac:dyDescent="0.2"/>
    <row r="27" spans="1:1" ht="24.95" customHeight="1" x14ac:dyDescent="0.2"/>
  </sheetData>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E64EF-80FA-49FA-BDFB-12BA0812691D}">
  <dimension ref="A1:C7"/>
  <sheetViews>
    <sheetView tabSelected="1" workbookViewId="0"/>
  </sheetViews>
  <sheetFormatPr defaultRowHeight="15" x14ac:dyDescent="0.2"/>
  <cols>
    <col min="1" max="1" width="47.62109375" bestFit="1" customWidth="1"/>
    <col min="2" max="2" width="44.12109375" customWidth="1"/>
    <col min="3" max="3" width="0" hidden="1" customWidth="1"/>
  </cols>
  <sheetData>
    <row r="1" spans="1:3" ht="21" x14ac:dyDescent="0.3">
      <c r="A1" s="177" t="s">
        <v>955</v>
      </c>
      <c r="B1" s="175"/>
      <c r="C1" s="169" t="s">
        <v>980</v>
      </c>
    </row>
    <row r="2" spans="1:3" ht="21" x14ac:dyDescent="0.3">
      <c r="A2" s="178" t="s">
        <v>959</v>
      </c>
      <c r="B2" s="176" t="s">
        <v>980</v>
      </c>
      <c r="C2" s="169" t="s">
        <v>976</v>
      </c>
    </row>
    <row r="3" spans="1:3" ht="21" x14ac:dyDescent="0.3">
      <c r="A3" s="179"/>
      <c r="B3" s="180"/>
      <c r="C3" s="169" t="s">
        <v>977</v>
      </c>
    </row>
    <row r="4" spans="1:3" ht="18.75" x14ac:dyDescent="0.25">
      <c r="A4" s="181" t="s">
        <v>952</v>
      </c>
      <c r="B4" s="182">
        <f>'Habilidades para a Vida'!I3+'Meio Ambiente'!I3+'Paz e Desenvolvimento'!G3+'Saúde e Bem Estar'!G3</f>
        <v>0</v>
      </c>
      <c r="C4" s="169" t="s">
        <v>978</v>
      </c>
    </row>
    <row r="5" spans="1:3" ht="21" x14ac:dyDescent="0.3">
      <c r="A5" s="181"/>
      <c r="B5" s="183"/>
      <c r="C5" s="169" t="s">
        <v>979</v>
      </c>
    </row>
    <row r="6" spans="1:3" ht="21" x14ac:dyDescent="0.3">
      <c r="A6" s="179" t="s">
        <v>951</v>
      </c>
      <c r="B6" s="184" t="str">
        <f>IF(B4&lt;=3,"PISTAS",IF(B4&lt;=7,"TRILHA",IF(B4&lt;=12,"RUMO","TRAVESSIA")))</f>
        <v>PISTAS</v>
      </c>
    </row>
    <row r="7" spans="1:3" ht="21" x14ac:dyDescent="0.25">
      <c r="A7" s="181"/>
      <c r="B7" s="185" t="str">
        <f>IF(B6=B2,"Equipação OK","Necessário adaptar itens")</f>
        <v>Necessário adaptar itens</v>
      </c>
    </row>
  </sheetData>
  <sheetProtection sheet="1" objects="1" scenarios="1"/>
  <conditionalFormatting sqref="B2">
    <cfRule type="expression" dxfId="197" priority="1">
      <formula>AND($B$2="Selecione a progressão")</formula>
    </cfRule>
    <cfRule type="expression" dxfId="196" priority="6">
      <formula>AND($B$2="Travessia")</formula>
    </cfRule>
    <cfRule type="expression" dxfId="195" priority="7">
      <formula>AND($B$2="Trilha")</formula>
    </cfRule>
    <cfRule type="expression" dxfId="194" priority="8">
      <formula>AND($B$2="Rumo")</formula>
    </cfRule>
    <cfRule type="expression" dxfId="193" priority="11">
      <formula>AND($B$2="Pistas")</formula>
    </cfRule>
  </conditionalFormatting>
  <conditionalFormatting sqref="B6">
    <cfRule type="expression" dxfId="192" priority="2">
      <formula>AND($B$6="Travessia")</formula>
    </cfRule>
    <cfRule type="expression" dxfId="191" priority="3">
      <formula>AND($B$6="Rumo")</formula>
    </cfRule>
    <cfRule type="expression" dxfId="190" priority="4">
      <formula>AND($B$6="Trilha")</formula>
    </cfRule>
    <cfRule type="expression" dxfId="189" priority="5">
      <formula>AND($B$6="Pistas")</formula>
    </cfRule>
  </conditionalFormatting>
  <conditionalFormatting sqref="B7">
    <cfRule type="expression" dxfId="188" priority="15">
      <formula>AND($B$7="Necessário adaptar itens")</formula>
    </cfRule>
    <cfRule type="expression" dxfId="187" priority="17">
      <formula>AND($B$7="Equipação OK")</formula>
    </cfRule>
  </conditionalFormatting>
  <dataValidations count="1">
    <dataValidation type="list" allowBlank="1" showInputMessage="1" showErrorMessage="1" sqref="B2" xr:uid="{606BE3AE-F32C-4BBF-9AF1-0E63AF0D36FD}">
      <formula1>$C$1:$C$5</formula1>
    </dataValidation>
  </dataValidations>
  <pageMargins left="0.511811024" right="0.511811024" top="0.78740157499999996" bottom="0.78740157499999996" header="0.31496062000000002" footer="0.31496062000000002"/>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7FB9F-CB1A-43C5-9930-76E2628C6F5F}">
  <dimension ref="A1:E191"/>
  <sheetViews>
    <sheetView showZeros="0" workbookViewId="0"/>
  </sheetViews>
  <sheetFormatPr defaultRowHeight="15" x14ac:dyDescent="0.2"/>
  <cols>
    <col min="1" max="1" width="9.14453125" style="75"/>
    <col min="2" max="2" width="4.03515625" style="2" bestFit="1" customWidth="1"/>
    <col min="3" max="3" width="130.75390625" style="1" customWidth="1"/>
    <col min="5" max="5" width="0" hidden="1" customWidth="1"/>
  </cols>
  <sheetData>
    <row r="1" spans="1:5" ht="18.75" x14ac:dyDescent="0.2">
      <c r="C1" s="106" t="s">
        <v>1081</v>
      </c>
    </row>
    <row r="2" spans="1:5" ht="15.75" x14ac:dyDescent="0.2">
      <c r="C2" s="326" t="s">
        <v>1127</v>
      </c>
    </row>
    <row r="3" spans="1:5" ht="15.75" x14ac:dyDescent="0.2">
      <c r="C3" s="328" t="s">
        <v>1126</v>
      </c>
      <c r="E3" t="s">
        <v>1125</v>
      </c>
    </row>
    <row r="4" spans="1:5" ht="27.75" x14ac:dyDescent="0.2">
      <c r="C4" s="327" t="str">
        <f>IF(C3="Não concluiu 100% dos itens","Marcar abaixo apenas o numeral 1 (sem as aspas) nas células em azul claro na coluna A, ao lado dos itens que já foram realizados pelo jovem no programa antigo","OK, todos os itens desta aba foram marcados automaticamente")</f>
        <v>Marcar abaixo apenas o numeral 1 (sem as aspas) nas células em azul claro na coluna A, ao lado dos itens que já foram realizados pelo jovem no programa antigo</v>
      </c>
      <c r="E4" t="s">
        <v>1126</v>
      </c>
    </row>
    <row r="6" spans="1:5" ht="15.75" thickBot="1" x14ac:dyDescent="0.25">
      <c r="A6" s="100"/>
      <c r="B6" s="4"/>
      <c r="C6" s="31" t="s">
        <v>58</v>
      </c>
    </row>
    <row r="7" spans="1:5" x14ac:dyDescent="0.2">
      <c r="A7" s="101">
        <f>IF(A11=3,1,0)</f>
        <v>0</v>
      </c>
      <c r="B7" s="5"/>
      <c r="C7" s="6" t="s">
        <v>61</v>
      </c>
    </row>
    <row r="8" spans="1:5" ht="27.75" x14ac:dyDescent="0.2">
      <c r="A8" s="105">
        <f>IF($C$3="Sim, já concluiu 100% dos itens",1,0)</f>
        <v>0</v>
      </c>
      <c r="B8" s="3">
        <v>1</v>
      </c>
      <c r="C8" s="7" t="s">
        <v>57</v>
      </c>
    </row>
    <row r="9" spans="1:5" x14ac:dyDescent="0.2">
      <c r="A9" s="105">
        <f>IF($C$3="Sim, já concluiu 100% dos itens",1,0)</f>
        <v>0</v>
      </c>
      <c r="B9" s="3">
        <v>2</v>
      </c>
      <c r="C9" s="7" t="s">
        <v>59</v>
      </c>
    </row>
    <row r="10" spans="1:5" ht="15.75" thickBot="1" x14ac:dyDescent="0.25">
      <c r="A10" s="105">
        <f>IF($C$3="Sim, já concluiu 100% dos itens",1,0)</f>
        <v>0</v>
      </c>
      <c r="B10" s="8">
        <v>3</v>
      </c>
      <c r="C10" s="9" t="s">
        <v>60</v>
      </c>
    </row>
    <row r="11" spans="1:5" ht="15.75" hidden="1" thickBot="1" x14ac:dyDescent="0.25">
      <c r="A11" s="102">
        <f>SUM(A8:A10)</f>
        <v>0</v>
      </c>
      <c r="B11" s="27"/>
      <c r="C11" s="28"/>
    </row>
    <row r="12" spans="1:5" x14ac:dyDescent="0.2">
      <c r="A12" s="101">
        <f>IF(A17=4,1,0)</f>
        <v>0</v>
      </c>
      <c r="B12" s="5"/>
      <c r="C12" s="6" t="s">
        <v>62</v>
      </c>
    </row>
    <row r="13" spans="1:5" x14ac:dyDescent="0.2">
      <c r="A13" s="105">
        <f>IF($C$3="Sim, já concluiu 100% dos itens",1,0)</f>
        <v>0</v>
      </c>
      <c r="B13" s="3">
        <v>4</v>
      </c>
      <c r="C13" s="7" t="s">
        <v>63</v>
      </c>
    </row>
    <row r="14" spans="1:5" ht="27.75" x14ac:dyDescent="0.2">
      <c r="A14" s="105">
        <f>IF($C$3="Sim, já concluiu 100% dos itens",1,0)</f>
        <v>0</v>
      </c>
      <c r="B14" s="3">
        <v>5</v>
      </c>
      <c r="C14" s="7" t="s">
        <v>64</v>
      </c>
    </row>
    <row r="15" spans="1:5" x14ac:dyDescent="0.2">
      <c r="A15" s="105">
        <f>IF($C$3="Sim, já concluiu 100% dos itens",1,0)</f>
        <v>0</v>
      </c>
      <c r="B15" s="3">
        <v>6</v>
      </c>
      <c r="C15" s="7" t="s">
        <v>65</v>
      </c>
    </row>
    <row r="16" spans="1:5" ht="15.75" thickBot="1" x14ac:dyDescent="0.25">
      <c r="A16" s="105">
        <f>IF($C$3="Sim, já concluiu 100% dos itens",1,0)</f>
        <v>0</v>
      </c>
      <c r="B16" s="8">
        <v>7</v>
      </c>
      <c r="C16" s="9" t="s">
        <v>66</v>
      </c>
    </row>
    <row r="17" spans="1:3" ht="15.75" hidden="1" thickBot="1" x14ac:dyDescent="0.25">
      <c r="A17" s="102">
        <f>SUM(A13:A16)</f>
        <v>0</v>
      </c>
      <c r="B17" s="27"/>
      <c r="C17" s="28"/>
    </row>
    <row r="18" spans="1:3" x14ac:dyDescent="0.2">
      <c r="A18" s="101">
        <f>IF(A23=4,1,0)</f>
        <v>0</v>
      </c>
      <c r="B18" s="5"/>
      <c r="C18" s="6" t="s">
        <v>67</v>
      </c>
    </row>
    <row r="19" spans="1:3" x14ac:dyDescent="0.2">
      <c r="A19" s="105">
        <f>IF($C$3="Sim, já concluiu 100% dos itens",1,0)</f>
        <v>0</v>
      </c>
      <c r="B19" s="3">
        <v>8</v>
      </c>
      <c r="C19" s="7" t="s">
        <v>68</v>
      </c>
    </row>
    <row r="20" spans="1:3" ht="27.75" x14ac:dyDescent="0.2">
      <c r="A20" s="105">
        <f>IF($C$3="Sim, já concluiu 100% dos itens",1,0)</f>
        <v>0</v>
      </c>
      <c r="B20" s="3">
        <v>9</v>
      </c>
      <c r="C20" s="7" t="s">
        <v>69</v>
      </c>
    </row>
    <row r="21" spans="1:3" x14ac:dyDescent="0.2">
      <c r="A21" s="105">
        <f>IF($C$3="Sim, já concluiu 100% dos itens",1,0)</f>
        <v>0</v>
      </c>
      <c r="B21" s="3">
        <v>10</v>
      </c>
      <c r="C21" s="7" t="s">
        <v>70</v>
      </c>
    </row>
    <row r="22" spans="1:3" ht="15.75" thickBot="1" x14ac:dyDescent="0.25">
      <c r="A22" s="105">
        <f>IF($C$3="Sim, já concluiu 100% dos itens",1,0)</f>
        <v>0</v>
      </c>
      <c r="B22" s="8">
        <v>11</v>
      </c>
      <c r="C22" s="9" t="s">
        <v>71</v>
      </c>
    </row>
    <row r="23" spans="1:3" ht="15.75" hidden="1" thickBot="1" x14ac:dyDescent="0.25">
      <c r="A23" s="102">
        <f>SUM(A19:A22)</f>
        <v>0</v>
      </c>
      <c r="B23" s="27"/>
      <c r="C23" s="28"/>
    </row>
    <row r="24" spans="1:3" x14ac:dyDescent="0.2">
      <c r="A24" s="101">
        <f>IF(A29=4,1,0)</f>
        <v>0</v>
      </c>
      <c r="B24" s="5"/>
      <c r="C24" s="6" t="s">
        <v>72</v>
      </c>
    </row>
    <row r="25" spans="1:3" x14ac:dyDescent="0.2">
      <c r="A25" s="105">
        <f>IF($C$3="Sim, já concluiu 100% dos itens",1,0)</f>
        <v>0</v>
      </c>
      <c r="B25" s="3">
        <v>12</v>
      </c>
      <c r="C25" s="7" t="s">
        <v>73</v>
      </c>
    </row>
    <row r="26" spans="1:3" ht="27.75" x14ac:dyDescent="0.2">
      <c r="A26" s="105">
        <f>IF($C$3="Sim, já concluiu 100% dos itens",1,0)</f>
        <v>0</v>
      </c>
      <c r="B26" s="3">
        <v>13</v>
      </c>
      <c r="C26" s="7" t="s">
        <v>74</v>
      </c>
    </row>
    <row r="27" spans="1:3" x14ac:dyDescent="0.2">
      <c r="A27" s="105">
        <f>IF($C$3="Sim, já concluiu 100% dos itens",1,0)</f>
        <v>0</v>
      </c>
      <c r="B27" s="3">
        <v>14</v>
      </c>
      <c r="C27" s="7" t="s">
        <v>75</v>
      </c>
    </row>
    <row r="28" spans="1:3" ht="15.75" thickBot="1" x14ac:dyDescent="0.25">
      <c r="A28" s="105">
        <f>IF($C$3="Sim, já concluiu 100% dos itens",1,0)</f>
        <v>0</v>
      </c>
      <c r="B28" s="8">
        <v>15</v>
      </c>
      <c r="C28" s="9" t="s">
        <v>76</v>
      </c>
    </row>
    <row r="29" spans="1:3" ht="15.75" hidden="1" thickBot="1" x14ac:dyDescent="0.25">
      <c r="A29" s="102">
        <f>SUM(A25:A28)</f>
        <v>0</v>
      </c>
      <c r="B29" s="27"/>
      <c r="C29" s="28"/>
    </row>
    <row r="30" spans="1:3" x14ac:dyDescent="0.2">
      <c r="A30" s="101">
        <f>IF(A34=3,1,0)</f>
        <v>0</v>
      </c>
      <c r="B30" s="5"/>
      <c r="C30" s="6" t="s">
        <v>77</v>
      </c>
    </row>
    <row r="31" spans="1:3" x14ac:dyDescent="0.2">
      <c r="A31" s="105">
        <f>IF($C$3="Sim, já concluiu 100% dos itens",1,0)</f>
        <v>0</v>
      </c>
      <c r="B31" s="3">
        <v>16</v>
      </c>
      <c r="C31" s="7" t="s">
        <v>78</v>
      </c>
    </row>
    <row r="32" spans="1:3" x14ac:dyDescent="0.2">
      <c r="A32" s="105">
        <f>IF($C$3="Sim, já concluiu 100% dos itens",1,0)</f>
        <v>0</v>
      </c>
      <c r="B32" s="3">
        <v>17</v>
      </c>
      <c r="C32" s="7" t="s">
        <v>79</v>
      </c>
    </row>
    <row r="33" spans="1:3" ht="15.75" thickBot="1" x14ac:dyDescent="0.25">
      <c r="A33" s="105">
        <f>IF($C$3="Sim, já concluiu 100% dos itens",1,0)</f>
        <v>0</v>
      </c>
      <c r="B33" s="8">
        <v>18</v>
      </c>
      <c r="C33" s="9" t="s">
        <v>80</v>
      </c>
    </row>
    <row r="34" spans="1:3" ht="15.75" hidden="1" thickBot="1" x14ac:dyDescent="0.25">
      <c r="A34" s="102">
        <f>SUM(A31:A33)</f>
        <v>0</v>
      </c>
      <c r="B34" s="27"/>
      <c r="C34" s="28"/>
    </row>
    <row r="35" spans="1:3" x14ac:dyDescent="0.2">
      <c r="A35" s="101">
        <f>IF(A38=2,1,0)</f>
        <v>0</v>
      </c>
      <c r="B35" s="5"/>
      <c r="C35" s="6" t="s">
        <v>81</v>
      </c>
    </row>
    <row r="36" spans="1:3" x14ac:dyDescent="0.2">
      <c r="A36" s="105">
        <f>IF($C$3="Sim, já concluiu 100% dos itens",1,0)</f>
        <v>0</v>
      </c>
      <c r="B36" s="3">
        <v>19</v>
      </c>
      <c r="C36" s="7" t="s">
        <v>82</v>
      </c>
    </row>
    <row r="37" spans="1:3" ht="15.75" thickBot="1" x14ac:dyDescent="0.25">
      <c r="A37" s="105">
        <f>IF($C$3="Sim, já concluiu 100% dos itens",1,0)</f>
        <v>0</v>
      </c>
      <c r="B37" s="8">
        <v>20</v>
      </c>
      <c r="C37" s="9" t="s">
        <v>83</v>
      </c>
    </row>
    <row r="38" spans="1:3" ht="15.75" hidden="1" thickBot="1" x14ac:dyDescent="0.25">
      <c r="A38" s="102">
        <f>SUM(A36:A37)</f>
        <v>0</v>
      </c>
      <c r="B38" s="27"/>
      <c r="C38" s="28"/>
    </row>
    <row r="39" spans="1:3" ht="15.75" thickBot="1" x14ac:dyDescent="0.25">
      <c r="A39" s="103"/>
      <c r="B39" s="5"/>
      <c r="C39" s="32" t="s">
        <v>84</v>
      </c>
    </row>
    <row r="40" spans="1:3" x14ac:dyDescent="0.2">
      <c r="A40" s="101">
        <f>IF(A44=3,1,0)</f>
        <v>0</v>
      </c>
      <c r="B40" s="3"/>
      <c r="C40" s="11" t="s">
        <v>85</v>
      </c>
    </row>
    <row r="41" spans="1:3" x14ac:dyDescent="0.2">
      <c r="A41" s="105">
        <f>IF($C$3="Sim, já concluiu 100% dos itens",1,0)</f>
        <v>0</v>
      </c>
      <c r="B41" s="3">
        <v>21</v>
      </c>
      <c r="C41" s="7" t="s">
        <v>86</v>
      </c>
    </row>
    <row r="42" spans="1:3" x14ac:dyDescent="0.2">
      <c r="A42" s="105">
        <f>IF($C$3="Sim, já concluiu 100% dos itens",1,0)</f>
        <v>0</v>
      </c>
      <c r="B42" s="3">
        <v>22</v>
      </c>
      <c r="C42" s="7" t="s">
        <v>87</v>
      </c>
    </row>
    <row r="43" spans="1:3" ht="15.75" thickBot="1" x14ac:dyDescent="0.25">
      <c r="A43" s="105">
        <f>IF($C$3="Sim, já concluiu 100% dos itens",1,0)</f>
        <v>0</v>
      </c>
      <c r="B43" s="8">
        <v>23</v>
      </c>
      <c r="C43" s="9" t="s">
        <v>88</v>
      </c>
    </row>
    <row r="44" spans="1:3" ht="15.75" hidden="1" thickBot="1" x14ac:dyDescent="0.25">
      <c r="A44" s="102">
        <f>SUM(A41:A43)</f>
        <v>0</v>
      </c>
      <c r="B44" s="27"/>
      <c r="C44" s="28"/>
    </row>
    <row r="45" spans="1:3" ht="27.75" x14ac:dyDescent="0.2">
      <c r="A45" s="101">
        <f>IF(A50=4,1,0)</f>
        <v>0</v>
      </c>
      <c r="B45" s="5"/>
      <c r="C45" s="10" t="s">
        <v>89</v>
      </c>
    </row>
    <row r="46" spans="1:3" x14ac:dyDescent="0.2">
      <c r="A46" s="105">
        <f>IF($C$3="Sim, já concluiu 100% dos itens",1,0)</f>
        <v>0</v>
      </c>
      <c r="B46" s="3">
        <v>24</v>
      </c>
      <c r="C46" s="7" t="s">
        <v>90</v>
      </c>
    </row>
    <row r="47" spans="1:3" x14ac:dyDescent="0.2">
      <c r="A47" s="105">
        <f>IF($C$3="Sim, já concluiu 100% dos itens",1,0)</f>
        <v>0</v>
      </c>
      <c r="B47" s="3">
        <v>25</v>
      </c>
      <c r="C47" s="7" t="s">
        <v>91</v>
      </c>
    </row>
    <row r="48" spans="1:3" x14ac:dyDescent="0.2">
      <c r="A48" s="105">
        <f>IF($C$3="Sim, já concluiu 100% dos itens",1,0)</f>
        <v>0</v>
      </c>
      <c r="B48" s="3">
        <v>26</v>
      </c>
      <c r="C48" s="7" t="s">
        <v>92</v>
      </c>
    </row>
    <row r="49" spans="1:3" ht="15.75" thickBot="1" x14ac:dyDescent="0.25">
      <c r="A49" s="105">
        <f>IF($C$3="Sim, já concluiu 100% dos itens",1,0)</f>
        <v>0</v>
      </c>
      <c r="B49" s="8">
        <v>27</v>
      </c>
      <c r="C49" s="9" t="s">
        <v>93</v>
      </c>
    </row>
    <row r="50" spans="1:3" ht="15.75" hidden="1" thickBot="1" x14ac:dyDescent="0.25">
      <c r="A50" s="102">
        <f>SUM(A46:A49)</f>
        <v>0</v>
      </c>
      <c r="B50" s="27"/>
      <c r="C50" s="28"/>
    </row>
    <row r="51" spans="1:3" x14ac:dyDescent="0.2">
      <c r="A51" s="101">
        <f>IF(A56=4,1,0)</f>
        <v>0</v>
      </c>
      <c r="B51" s="5"/>
      <c r="C51" s="10" t="s">
        <v>94</v>
      </c>
    </row>
    <row r="52" spans="1:3" x14ac:dyDescent="0.2">
      <c r="A52" s="105">
        <f>IF($C$3="Sim, já concluiu 100% dos itens",1,0)</f>
        <v>0</v>
      </c>
      <c r="B52" s="3">
        <v>28</v>
      </c>
      <c r="C52" s="7" t="s">
        <v>95</v>
      </c>
    </row>
    <row r="53" spans="1:3" x14ac:dyDescent="0.2">
      <c r="A53" s="105">
        <f>IF($C$3="Sim, já concluiu 100% dos itens",1,0)</f>
        <v>0</v>
      </c>
      <c r="B53" s="3">
        <v>29</v>
      </c>
      <c r="C53" s="7" t="s">
        <v>96</v>
      </c>
    </row>
    <row r="54" spans="1:3" x14ac:dyDescent="0.2">
      <c r="A54" s="105">
        <f>IF($C$3="Sim, já concluiu 100% dos itens",1,0)</f>
        <v>0</v>
      </c>
      <c r="B54" s="3">
        <v>30</v>
      </c>
      <c r="C54" s="7" t="s">
        <v>97</v>
      </c>
    </row>
    <row r="55" spans="1:3" ht="15.75" thickBot="1" x14ac:dyDescent="0.25">
      <c r="A55" s="105">
        <f>IF($C$3="Sim, já concluiu 100% dos itens",1,0)</f>
        <v>0</v>
      </c>
      <c r="B55" s="8">
        <v>31</v>
      </c>
      <c r="C55" s="9" t="s">
        <v>98</v>
      </c>
    </row>
    <row r="56" spans="1:3" ht="15.75" hidden="1" thickBot="1" x14ac:dyDescent="0.25">
      <c r="A56" s="102">
        <f>SUM(A52:A55)</f>
        <v>0</v>
      </c>
      <c r="B56" s="27"/>
      <c r="C56" s="28"/>
    </row>
    <row r="57" spans="1:3" x14ac:dyDescent="0.2">
      <c r="A57" s="101">
        <f>IF(A60=2,1,0)</f>
        <v>0</v>
      </c>
      <c r="B57" s="5"/>
      <c r="C57" s="10" t="s">
        <v>99</v>
      </c>
    </row>
    <row r="58" spans="1:3" x14ac:dyDescent="0.2">
      <c r="A58" s="105">
        <f>IF($C$3="Sim, já concluiu 100% dos itens",1,0)</f>
        <v>0</v>
      </c>
      <c r="B58" s="3">
        <v>32</v>
      </c>
      <c r="C58" s="7" t="s">
        <v>100</v>
      </c>
    </row>
    <row r="59" spans="1:3" ht="15.75" thickBot="1" x14ac:dyDescent="0.25">
      <c r="A59" s="105">
        <f>IF($C$3="Sim, já concluiu 100% dos itens",1,0)</f>
        <v>0</v>
      </c>
      <c r="B59" s="8">
        <v>33</v>
      </c>
      <c r="C59" s="9" t="s">
        <v>101</v>
      </c>
    </row>
    <row r="60" spans="1:3" ht="15.75" hidden="1" thickBot="1" x14ac:dyDescent="0.25">
      <c r="A60" s="102">
        <f>SUM(A58:A59)</f>
        <v>0</v>
      </c>
      <c r="B60" s="27"/>
      <c r="C60" s="28"/>
    </row>
    <row r="61" spans="1:3" x14ac:dyDescent="0.2">
      <c r="A61" s="101">
        <f>IF(A65=3,1,0)</f>
        <v>0</v>
      </c>
      <c r="B61" s="5"/>
      <c r="C61" s="10" t="s">
        <v>102</v>
      </c>
    </row>
    <row r="62" spans="1:3" x14ac:dyDescent="0.2">
      <c r="A62" s="105">
        <f>IF($C$3="Sim, já concluiu 100% dos itens",1,0)</f>
        <v>0</v>
      </c>
      <c r="B62" s="3">
        <v>34</v>
      </c>
      <c r="C62" s="7" t="s">
        <v>103</v>
      </c>
    </row>
    <row r="63" spans="1:3" x14ac:dyDescent="0.2">
      <c r="A63" s="105">
        <f>IF($C$3="Sim, já concluiu 100% dos itens",1,0)</f>
        <v>0</v>
      </c>
      <c r="B63" s="3">
        <v>35</v>
      </c>
      <c r="C63" s="7" t="s">
        <v>104</v>
      </c>
    </row>
    <row r="64" spans="1:3" ht="15.75" thickBot="1" x14ac:dyDescent="0.25">
      <c r="A64" s="105">
        <f>IF($C$3="Sim, já concluiu 100% dos itens",1,0)</f>
        <v>0</v>
      </c>
      <c r="B64" s="8">
        <v>36</v>
      </c>
      <c r="C64" s="9" t="s">
        <v>105</v>
      </c>
    </row>
    <row r="65" spans="1:3" ht="15.75" hidden="1" thickBot="1" x14ac:dyDescent="0.25">
      <c r="A65" s="102">
        <f>SUM(A62:A64)</f>
        <v>0</v>
      </c>
      <c r="B65" s="27"/>
      <c r="C65" s="28"/>
    </row>
    <row r="66" spans="1:3" x14ac:dyDescent="0.2">
      <c r="A66" s="101">
        <f>IF(A70=3,1,0)</f>
        <v>0</v>
      </c>
      <c r="B66" s="5"/>
      <c r="C66" s="10" t="s">
        <v>106</v>
      </c>
    </row>
    <row r="67" spans="1:3" x14ac:dyDescent="0.2">
      <c r="A67" s="105">
        <f>IF($C$3="Sim, já concluiu 100% dos itens",1,0)</f>
        <v>0</v>
      </c>
      <c r="B67" s="3">
        <v>37</v>
      </c>
      <c r="C67" s="7" t="s">
        <v>107</v>
      </c>
    </row>
    <row r="68" spans="1:3" x14ac:dyDescent="0.2">
      <c r="A68" s="105">
        <f>IF($C$3="Sim, já concluiu 100% dos itens",1,0)</f>
        <v>0</v>
      </c>
      <c r="B68" s="3">
        <v>38</v>
      </c>
      <c r="C68" s="7" t="s">
        <v>108</v>
      </c>
    </row>
    <row r="69" spans="1:3" ht="15.75" thickBot="1" x14ac:dyDescent="0.25">
      <c r="A69" s="105">
        <f>IF($C$3="Sim, já concluiu 100% dos itens",1,0)</f>
        <v>0</v>
      </c>
      <c r="B69" s="8">
        <v>39</v>
      </c>
      <c r="C69" s="9" t="s">
        <v>109</v>
      </c>
    </row>
    <row r="70" spans="1:3" ht="15.75" hidden="1" thickBot="1" x14ac:dyDescent="0.25">
      <c r="A70" s="102">
        <f>SUM(A67:A69)</f>
        <v>0</v>
      </c>
      <c r="B70" s="27"/>
      <c r="C70" s="28"/>
    </row>
    <row r="71" spans="1:3" x14ac:dyDescent="0.2">
      <c r="A71" s="101">
        <f>IF(A75=3,1,0)</f>
        <v>0</v>
      </c>
      <c r="B71" s="5"/>
      <c r="C71" s="10" t="s">
        <v>110</v>
      </c>
    </row>
    <row r="72" spans="1:3" ht="27.75" x14ac:dyDescent="0.2">
      <c r="A72" s="105">
        <f>IF($C$3="Sim, já concluiu 100% dos itens",1,0)</f>
        <v>0</v>
      </c>
      <c r="B72" s="3">
        <v>40</v>
      </c>
      <c r="C72" s="7" t="s">
        <v>111</v>
      </c>
    </row>
    <row r="73" spans="1:3" ht="27.75" x14ac:dyDescent="0.2">
      <c r="A73" s="105">
        <f>IF($C$3="Sim, já concluiu 100% dos itens",1,0)</f>
        <v>0</v>
      </c>
      <c r="B73" s="3">
        <v>41</v>
      </c>
      <c r="C73" s="7" t="s">
        <v>112</v>
      </c>
    </row>
    <row r="74" spans="1:3" ht="15.75" thickBot="1" x14ac:dyDescent="0.25">
      <c r="A74" s="105">
        <f>IF($C$3="Sim, já concluiu 100% dos itens",1,0)</f>
        <v>0</v>
      </c>
      <c r="B74" s="8">
        <v>42</v>
      </c>
      <c r="C74" s="9" t="s">
        <v>113</v>
      </c>
    </row>
    <row r="75" spans="1:3" ht="15.75" hidden="1" thickBot="1" x14ac:dyDescent="0.25">
      <c r="A75" s="102">
        <f>SUM(A72:A74)</f>
        <v>0</v>
      </c>
      <c r="B75" s="27"/>
      <c r="C75" s="28"/>
    </row>
    <row r="76" spans="1:3" ht="15.75" thickBot="1" x14ac:dyDescent="0.25">
      <c r="A76" s="103"/>
      <c r="B76" s="5"/>
      <c r="C76" s="33" t="s">
        <v>114</v>
      </c>
    </row>
    <row r="77" spans="1:3" x14ac:dyDescent="0.2">
      <c r="A77" s="101">
        <f>IF(A81=3,1,0)</f>
        <v>0</v>
      </c>
      <c r="B77" s="3"/>
      <c r="C77" s="13" t="s">
        <v>115</v>
      </c>
    </row>
    <row r="78" spans="1:3" x14ac:dyDescent="0.2">
      <c r="A78" s="105">
        <f>IF($C$3="Sim, já concluiu 100% dos itens",1,0)</f>
        <v>0</v>
      </c>
      <c r="B78" s="3">
        <v>43</v>
      </c>
      <c r="C78" s="7" t="s">
        <v>116</v>
      </c>
    </row>
    <row r="79" spans="1:3" x14ac:dyDescent="0.2">
      <c r="A79" s="105">
        <f>IF($C$3="Sim, já concluiu 100% dos itens",1,0)</f>
        <v>0</v>
      </c>
      <c r="B79" s="3">
        <v>44</v>
      </c>
      <c r="C79" s="7" t="s">
        <v>117</v>
      </c>
    </row>
    <row r="80" spans="1:3" ht="15.75" thickBot="1" x14ac:dyDescent="0.25">
      <c r="A80" s="105">
        <f>IF($C$3="Sim, já concluiu 100% dos itens",1,0)</f>
        <v>0</v>
      </c>
      <c r="B80" s="8">
        <v>45</v>
      </c>
      <c r="C80" s="9" t="s">
        <v>118</v>
      </c>
    </row>
    <row r="81" spans="1:3" ht="15.75" hidden="1" thickBot="1" x14ac:dyDescent="0.25">
      <c r="A81" s="102">
        <f>SUM(A78:A80)</f>
        <v>0</v>
      </c>
      <c r="B81" s="27"/>
      <c r="C81" s="28"/>
    </row>
    <row r="82" spans="1:3" x14ac:dyDescent="0.2">
      <c r="A82" s="101">
        <f>IF(A85=2,1,0)</f>
        <v>0</v>
      </c>
      <c r="B82" s="5"/>
      <c r="C82" s="12" t="s">
        <v>119</v>
      </c>
    </row>
    <row r="83" spans="1:3" x14ac:dyDescent="0.2">
      <c r="A83" s="105">
        <f>IF($C$3="Sim, já concluiu 100% dos itens",1,0)</f>
        <v>0</v>
      </c>
      <c r="B83" s="3">
        <v>46</v>
      </c>
      <c r="C83" s="7" t="s">
        <v>120</v>
      </c>
    </row>
    <row r="84" spans="1:3" ht="15.75" thickBot="1" x14ac:dyDescent="0.25">
      <c r="A84" s="105">
        <f>IF($C$3="Sim, já concluiu 100% dos itens",1,0)</f>
        <v>0</v>
      </c>
      <c r="B84" s="8">
        <v>47</v>
      </c>
      <c r="C84" s="9" t="s">
        <v>121</v>
      </c>
    </row>
    <row r="85" spans="1:3" ht="15.75" hidden="1" thickBot="1" x14ac:dyDescent="0.25">
      <c r="A85" s="102">
        <f>SUM(A83:A84)</f>
        <v>0</v>
      </c>
      <c r="B85" s="27"/>
      <c r="C85" s="28"/>
    </row>
    <row r="86" spans="1:3" x14ac:dyDescent="0.2">
      <c r="A86" s="101">
        <f>IF(A89=2,1,0)</f>
        <v>0</v>
      </c>
      <c r="B86" s="5"/>
      <c r="C86" s="12" t="s">
        <v>122</v>
      </c>
    </row>
    <row r="87" spans="1:3" x14ac:dyDescent="0.2">
      <c r="A87" s="105">
        <f>IF($C$3="Sim, já concluiu 100% dos itens",1,0)</f>
        <v>0</v>
      </c>
      <c r="B87" s="3">
        <v>48</v>
      </c>
      <c r="C87" s="7" t="s">
        <v>123</v>
      </c>
    </row>
    <row r="88" spans="1:3" ht="15.75" thickBot="1" x14ac:dyDescent="0.25">
      <c r="A88" s="105">
        <f>IF($C$3="Sim, já concluiu 100% dos itens",1,0)</f>
        <v>0</v>
      </c>
      <c r="B88" s="8">
        <v>49</v>
      </c>
      <c r="C88" s="9" t="s">
        <v>124</v>
      </c>
    </row>
    <row r="89" spans="1:3" ht="15.75" hidden="1" thickBot="1" x14ac:dyDescent="0.25">
      <c r="A89" s="102">
        <f>SUM(A87:A88)</f>
        <v>0</v>
      </c>
      <c r="B89" s="27"/>
      <c r="C89" s="28"/>
    </row>
    <row r="90" spans="1:3" x14ac:dyDescent="0.2">
      <c r="A90" s="101">
        <f>IF(A93=2,1,0)</f>
        <v>0</v>
      </c>
      <c r="B90" s="5"/>
      <c r="C90" s="12" t="s">
        <v>125</v>
      </c>
    </row>
    <row r="91" spans="1:3" x14ac:dyDescent="0.2">
      <c r="A91" s="105">
        <f>IF($C$3="Sim, já concluiu 100% dos itens",1,0)</f>
        <v>0</v>
      </c>
      <c r="B91" s="3">
        <v>50</v>
      </c>
      <c r="C91" s="7" t="s">
        <v>126</v>
      </c>
    </row>
    <row r="92" spans="1:3" ht="15.75" thickBot="1" x14ac:dyDescent="0.25">
      <c r="A92" s="105">
        <f>IF($C$3="Sim, já concluiu 100% dos itens",1,0)</f>
        <v>0</v>
      </c>
      <c r="B92" s="8">
        <v>51</v>
      </c>
      <c r="C92" s="9" t="s">
        <v>127</v>
      </c>
    </row>
    <row r="93" spans="1:3" ht="15.75" hidden="1" thickBot="1" x14ac:dyDescent="0.25">
      <c r="A93" s="102">
        <f>SUM(A91:A92)</f>
        <v>0</v>
      </c>
      <c r="B93" s="27"/>
      <c r="C93" s="28"/>
    </row>
    <row r="94" spans="1:3" x14ac:dyDescent="0.2">
      <c r="A94" s="101">
        <f>IF(A98=3,1,0)</f>
        <v>0</v>
      </c>
      <c r="B94" s="5"/>
      <c r="C94" s="12" t="s">
        <v>128</v>
      </c>
    </row>
    <row r="95" spans="1:3" x14ac:dyDescent="0.2">
      <c r="A95" s="105">
        <f>IF($C$3="Sim, já concluiu 100% dos itens",1,0)</f>
        <v>0</v>
      </c>
      <c r="B95" s="3">
        <v>52</v>
      </c>
      <c r="C95" s="7" t="s">
        <v>129</v>
      </c>
    </row>
    <row r="96" spans="1:3" x14ac:dyDescent="0.2">
      <c r="A96" s="105">
        <f>IF($C$3="Sim, já concluiu 100% dos itens",1,0)</f>
        <v>0</v>
      </c>
      <c r="B96" s="3">
        <v>53</v>
      </c>
      <c r="C96" s="7" t="s">
        <v>130</v>
      </c>
    </row>
    <row r="97" spans="1:3" ht="15.75" thickBot="1" x14ac:dyDescent="0.25">
      <c r="A97" s="105">
        <f>IF($C$3="Sim, já concluiu 100% dos itens",1,0)</f>
        <v>0</v>
      </c>
      <c r="B97" s="8">
        <v>54</v>
      </c>
      <c r="C97" s="9" t="s">
        <v>131</v>
      </c>
    </row>
    <row r="98" spans="1:3" ht="15.75" hidden="1" thickBot="1" x14ac:dyDescent="0.25">
      <c r="A98" s="102">
        <f>SUM(A95:A97)</f>
        <v>0</v>
      </c>
      <c r="B98" s="27"/>
      <c r="C98" s="28"/>
    </row>
    <row r="99" spans="1:3" ht="15.75" thickBot="1" x14ac:dyDescent="0.25">
      <c r="A99" s="103"/>
      <c r="B99" s="5"/>
      <c r="C99" s="34" t="s">
        <v>132</v>
      </c>
    </row>
    <row r="100" spans="1:3" x14ac:dyDescent="0.2">
      <c r="A100" s="101">
        <f>IF(A105=4,1,0)</f>
        <v>0</v>
      </c>
      <c r="B100" s="3"/>
      <c r="C100" s="15" t="s">
        <v>133</v>
      </c>
    </row>
    <row r="101" spans="1:3" x14ac:dyDescent="0.2">
      <c r="A101" s="105">
        <f>IF($C$3="Sim, já concluiu 100% dos itens",1,0)</f>
        <v>0</v>
      </c>
      <c r="B101" s="3">
        <v>55</v>
      </c>
      <c r="C101" s="7" t="s">
        <v>134</v>
      </c>
    </row>
    <row r="102" spans="1:3" x14ac:dyDescent="0.2">
      <c r="A102" s="105">
        <f>IF($C$3="Sim, já concluiu 100% dos itens",1,0)</f>
        <v>0</v>
      </c>
      <c r="B102" s="3">
        <v>56</v>
      </c>
      <c r="C102" s="7" t="s">
        <v>135</v>
      </c>
    </row>
    <row r="103" spans="1:3" x14ac:dyDescent="0.2">
      <c r="A103" s="105">
        <f>IF($C$3="Sim, já concluiu 100% dos itens",1,0)</f>
        <v>0</v>
      </c>
      <c r="B103" s="3">
        <v>57</v>
      </c>
      <c r="C103" s="7" t="s">
        <v>136</v>
      </c>
    </row>
    <row r="104" spans="1:3" ht="15.75" thickBot="1" x14ac:dyDescent="0.25">
      <c r="A104" s="105">
        <f>IF($C$3="Sim, já concluiu 100% dos itens",1,0)</f>
        <v>0</v>
      </c>
      <c r="B104" s="8">
        <v>58</v>
      </c>
      <c r="C104" s="9" t="s">
        <v>137</v>
      </c>
    </row>
    <row r="105" spans="1:3" ht="15.75" hidden="1" thickBot="1" x14ac:dyDescent="0.25">
      <c r="A105" s="102">
        <f>SUM(A101:A104)</f>
        <v>0</v>
      </c>
      <c r="B105" s="27"/>
      <c r="C105" s="28"/>
    </row>
    <row r="106" spans="1:3" x14ac:dyDescent="0.2">
      <c r="A106" s="101">
        <f>IF(A111=4,1,0)</f>
        <v>0</v>
      </c>
      <c r="B106" s="5"/>
      <c r="C106" s="14" t="s">
        <v>138</v>
      </c>
    </row>
    <row r="107" spans="1:3" x14ac:dyDescent="0.2">
      <c r="A107" s="105">
        <f>IF($C$3="Sim, já concluiu 100% dos itens",1,0)</f>
        <v>0</v>
      </c>
      <c r="B107" s="3">
        <v>59</v>
      </c>
      <c r="C107" s="7" t="s">
        <v>139</v>
      </c>
    </row>
    <row r="108" spans="1:3" x14ac:dyDescent="0.2">
      <c r="A108" s="105">
        <f>IF($C$3="Sim, já concluiu 100% dos itens",1,0)</f>
        <v>0</v>
      </c>
      <c r="B108" s="3">
        <v>60</v>
      </c>
      <c r="C108" s="7" t="s">
        <v>140</v>
      </c>
    </row>
    <row r="109" spans="1:3" x14ac:dyDescent="0.2">
      <c r="A109" s="105">
        <f>IF($C$3="Sim, já concluiu 100% dos itens",1,0)</f>
        <v>0</v>
      </c>
      <c r="B109" s="3">
        <v>61</v>
      </c>
      <c r="C109" s="7" t="s">
        <v>141</v>
      </c>
    </row>
    <row r="110" spans="1:3" ht="15.75" thickBot="1" x14ac:dyDescent="0.25">
      <c r="A110" s="105">
        <f>IF($C$3="Sim, já concluiu 100% dos itens",1,0)</f>
        <v>0</v>
      </c>
      <c r="B110" s="8">
        <v>62</v>
      </c>
      <c r="C110" s="9" t="s">
        <v>142</v>
      </c>
    </row>
    <row r="111" spans="1:3" ht="15.75" hidden="1" thickBot="1" x14ac:dyDescent="0.25">
      <c r="A111" s="102">
        <f>SUM(A107:A110)</f>
        <v>0</v>
      </c>
      <c r="B111" s="27"/>
      <c r="C111" s="28"/>
    </row>
    <row r="112" spans="1:3" x14ac:dyDescent="0.2">
      <c r="A112" s="101">
        <f>IF(A115=2,1,0)</f>
        <v>0</v>
      </c>
      <c r="B112" s="5"/>
      <c r="C112" s="14" t="s">
        <v>143</v>
      </c>
    </row>
    <row r="113" spans="1:3" x14ac:dyDescent="0.2">
      <c r="A113" s="105">
        <f>IF($C$3="Sim, já concluiu 100% dos itens",1,0)</f>
        <v>0</v>
      </c>
      <c r="B113" s="3">
        <v>63</v>
      </c>
      <c r="C113" s="7" t="s">
        <v>144</v>
      </c>
    </row>
    <row r="114" spans="1:3" ht="15.75" thickBot="1" x14ac:dyDescent="0.25">
      <c r="A114" s="105">
        <f>IF($C$3="Sim, já concluiu 100% dos itens",1,0)</f>
        <v>0</v>
      </c>
      <c r="B114" s="8">
        <v>64</v>
      </c>
      <c r="C114" s="9" t="s">
        <v>145</v>
      </c>
    </row>
    <row r="115" spans="1:3" ht="15.75" hidden="1" thickBot="1" x14ac:dyDescent="0.25">
      <c r="A115" s="102">
        <f>SUM(A113:A114)</f>
        <v>0</v>
      </c>
      <c r="B115" s="27"/>
      <c r="C115" s="28"/>
    </row>
    <row r="116" spans="1:3" x14ac:dyDescent="0.2">
      <c r="A116" s="101">
        <f>IF(A120=3,1,0)</f>
        <v>0</v>
      </c>
      <c r="B116" s="5"/>
      <c r="C116" s="14" t="s">
        <v>146</v>
      </c>
    </row>
    <row r="117" spans="1:3" x14ac:dyDescent="0.2">
      <c r="A117" s="105">
        <f>IF($C$3="Sim, já concluiu 100% dos itens",1,0)</f>
        <v>0</v>
      </c>
      <c r="B117" s="3">
        <v>65</v>
      </c>
      <c r="C117" s="7" t="s">
        <v>147</v>
      </c>
    </row>
    <row r="118" spans="1:3" x14ac:dyDescent="0.2">
      <c r="A118" s="105">
        <f>IF($C$3="Sim, já concluiu 100% dos itens",1,0)</f>
        <v>0</v>
      </c>
      <c r="B118" s="3">
        <v>66</v>
      </c>
      <c r="C118" s="7" t="s">
        <v>148</v>
      </c>
    </row>
    <row r="119" spans="1:3" ht="15.75" thickBot="1" x14ac:dyDescent="0.25">
      <c r="A119" s="105">
        <f>IF($C$3="Sim, já concluiu 100% dos itens",1,0)</f>
        <v>0</v>
      </c>
      <c r="B119" s="8">
        <v>67</v>
      </c>
      <c r="C119" s="9" t="s">
        <v>149</v>
      </c>
    </row>
    <row r="120" spans="1:3" ht="15.75" hidden="1" thickBot="1" x14ac:dyDescent="0.25">
      <c r="A120" s="102">
        <f>SUM(A117:A119)</f>
        <v>0</v>
      </c>
      <c r="B120" s="27"/>
      <c r="C120" s="28"/>
    </row>
    <row r="121" spans="1:3" x14ac:dyDescent="0.2">
      <c r="A121" s="101">
        <f>IF(A125=3,1,0)</f>
        <v>0</v>
      </c>
      <c r="B121" s="5"/>
      <c r="C121" s="14" t="s">
        <v>150</v>
      </c>
    </row>
    <row r="122" spans="1:3" x14ac:dyDescent="0.2">
      <c r="A122" s="105">
        <f>IF($C$3="Sim, já concluiu 100% dos itens",1,0)</f>
        <v>0</v>
      </c>
      <c r="B122" s="3">
        <v>68</v>
      </c>
      <c r="C122" s="7" t="s">
        <v>151</v>
      </c>
    </row>
    <row r="123" spans="1:3" x14ac:dyDescent="0.2">
      <c r="A123" s="105">
        <f>IF($C$3="Sim, já concluiu 100% dos itens",1,0)</f>
        <v>0</v>
      </c>
      <c r="B123" s="3">
        <v>69</v>
      </c>
      <c r="C123" s="7" t="s">
        <v>152</v>
      </c>
    </row>
    <row r="124" spans="1:3" ht="15.75" thickBot="1" x14ac:dyDescent="0.25">
      <c r="A124" s="105">
        <f>IF($C$3="Sim, já concluiu 100% dos itens",1,0)</f>
        <v>0</v>
      </c>
      <c r="B124" s="8">
        <v>70</v>
      </c>
      <c r="C124" s="9" t="s">
        <v>153</v>
      </c>
    </row>
    <row r="125" spans="1:3" ht="15.75" hidden="1" thickBot="1" x14ac:dyDescent="0.25">
      <c r="A125" s="102">
        <f>SUM(A122:A124)</f>
        <v>0</v>
      </c>
      <c r="B125" s="27"/>
      <c r="C125" s="28"/>
    </row>
    <row r="126" spans="1:3" ht="15.75" thickBot="1" x14ac:dyDescent="0.25">
      <c r="A126" s="103"/>
      <c r="B126" s="5"/>
      <c r="C126" s="35" t="s">
        <v>155</v>
      </c>
    </row>
    <row r="127" spans="1:3" x14ac:dyDescent="0.2">
      <c r="A127" s="101">
        <f>IF(A130=2,1,0)</f>
        <v>0</v>
      </c>
      <c r="B127" s="3"/>
      <c r="C127" s="17" t="s">
        <v>154</v>
      </c>
    </row>
    <row r="128" spans="1:3" x14ac:dyDescent="0.2">
      <c r="A128" s="105">
        <f>IF($C$3="Sim, já concluiu 100% dos itens",1,0)</f>
        <v>0</v>
      </c>
      <c r="B128" s="3">
        <v>71</v>
      </c>
      <c r="C128" s="7" t="s">
        <v>156</v>
      </c>
    </row>
    <row r="129" spans="1:3" ht="15.75" thickBot="1" x14ac:dyDescent="0.25">
      <c r="A129" s="105">
        <f>IF($C$3="Sim, já concluiu 100% dos itens",1,0)</f>
        <v>0</v>
      </c>
      <c r="B129" s="8">
        <v>72</v>
      </c>
      <c r="C129" s="9" t="s">
        <v>157</v>
      </c>
    </row>
    <row r="130" spans="1:3" ht="15.75" hidden="1" thickBot="1" x14ac:dyDescent="0.25">
      <c r="A130" s="102">
        <f>SUM(A128:A129)</f>
        <v>0</v>
      </c>
      <c r="B130" s="27"/>
      <c r="C130" s="28"/>
    </row>
    <row r="131" spans="1:3" x14ac:dyDescent="0.2">
      <c r="A131" s="101">
        <f>IF(A136=4,1,0)</f>
        <v>0</v>
      </c>
      <c r="B131" s="5"/>
      <c r="C131" s="16" t="s">
        <v>158</v>
      </c>
    </row>
    <row r="132" spans="1:3" x14ac:dyDescent="0.2">
      <c r="A132" s="105">
        <f>IF($C$3="Sim, já concluiu 100% dos itens",1,0)</f>
        <v>0</v>
      </c>
      <c r="B132" s="3">
        <v>73</v>
      </c>
      <c r="C132" s="7" t="s">
        <v>159</v>
      </c>
    </row>
    <row r="133" spans="1:3" x14ac:dyDescent="0.2">
      <c r="A133" s="105">
        <f>IF($C$3="Sim, já concluiu 100% dos itens",1,0)</f>
        <v>0</v>
      </c>
      <c r="B133" s="3">
        <v>74</v>
      </c>
      <c r="C133" s="7" t="s">
        <v>160</v>
      </c>
    </row>
    <row r="134" spans="1:3" x14ac:dyDescent="0.2">
      <c r="A134" s="105">
        <f>IF($C$3="Sim, já concluiu 100% dos itens",1,0)</f>
        <v>0</v>
      </c>
      <c r="B134" s="3">
        <v>75</v>
      </c>
      <c r="C134" s="7" t="s">
        <v>161</v>
      </c>
    </row>
    <row r="135" spans="1:3" ht="28.5" thickBot="1" x14ac:dyDescent="0.25">
      <c r="A135" s="105">
        <f>IF($C$3="Sim, já concluiu 100% dos itens",1,0)</f>
        <v>0</v>
      </c>
      <c r="B135" s="8">
        <v>76</v>
      </c>
      <c r="C135" s="9" t="s">
        <v>162</v>
      </c>
    </row>
    <row r="136" spans="1:3" ht="15.75" hidden="1" thickBot="1" x14ac:dyDescent="0.25">
      <c r="A136" s="102">
        <f>SUM(A132:A135)</f>
        <v>0</v>
      </c>
      <c r="B136" s="27"/>
      <c r="C136" s="28"/>
    </row>
    <row r="137" spans="1:3" x14ac:dyDescent="0.2">
      <c r="A137" s="101">
        <f>IF(A141=3,1,0)</f>
        <v>0</v>
      </c>
      <c r="B137" s="5"/>
      <c r="C137" s="16" t="s">
        <v>163</v>
      </c>
    </row>
    <row r="138" spans="1:3" x14ac:dyDescent="0.2">
      <c r="A138" s="105">
        <f>IF($C$3="Sim, já concluiu 100% dos itens",1,0)</f>
        <v>0</v>
      </c>
      <c r="B138" s="3">
        <v>77</v>
      </c>
      <c r="C138" s="7" t="s">
        <v>164</v>
      </c>
    </row>
    <row r="139" spans="1:3" x14ac:dyDescent="0.2">
      <c r="A139" s="105">
        <f>IF($C$3="Sim, já concluiu 100% dos itens",1,0)</f>
        <v>0</v>
      </c>
      <c r="B139" s="3">
        <v>78</v>
      </c>
      <c r="C139" s="7" t="s">
        <v>165</v>
      </c>
    </row>
    <row r="140" spans="1:3" ht="15.75" thickBot="1" x14ac:dyDescent="0.25">
      <c r="A140" s="105">
        <f>IF($C$3="Sim, já concluiu 100% dos itens",1,0)</f>
        <v>0</v>
      </c>
      <c r="B140" s="8">
        <v>79</v>
      </c>
      <c r="C140" s="9" t="s">
        <v>166</v>
      </c>
    </row>
    <row r="141" spans="1:3" ht="15.75" hidden="1" thickBot="1" x14ac:dyDescent="0.25">
      <c r="A141" s="102">
        <f>SUM(A138:A140)</f>
        <v>0</v>
      </c>
      <c r="B141" s="27"/>
      <c r="C141" s="28"/>
    </row>
    <row r="142" spans="1:3" x14ac:dyDescent="0.2">
      <c r="A142" s="101">
        <f>IF(A145=2,1,0)</f>
        <v>0</v>
      </c>
      <c r="B142" s="5"/>
      <c r="C142" s="16" t="s">
        <v>167</v>
      </c>
    </row>
    <row r="143" spans="1:3" x14ac:dyDescent="0.2">
      <c r="A143" s="105">
        <f>IF($C$3="Sim, já concluiu 100% dos itens",1,0)</f>
        <v>0</v>
      </c>
      <c r="B143" s="3">
        <v>80</v>
      </c>
      <c r="C143" s="7" t="s">
        <v>168</v>
      </c>
    </row>
    <row r="144" spans="1:3" ht="15.75" thickBot="1" x14ac:dyDescent="0.25">
      <c r="A144" s="105">
        <f>IF($C$3="Sim, já concluiu 100% dos itens",1,0)</f>
        <v>0</v>
      </c>
      <c r="B144" s="8">
        <v>81</v>
      </c>
      <c r="C144" s="9" t="s">
        <v>169</v>
      </c>
    </row>
    <row r="145" spans="1:3" ht="15.75" hidden="1" thickBot="1" x14ac:dyDescent="0.25">
      <c r="A145" s="102">
        <f>SUM(A143:A144)</f>
        <v>0</v>
      </c>
      <c r="B145" s="27"/>
      <c r="C145" s="28"/>
    </row>
    <row r="146" spans="1:3" x14ac:dyDescent="0.2">
      <c r="A146" s="101">
        <f>IF(A149=2,1,0)</f>
        <v>0</v>
      </c>
      <c r="B146" s="5"/>
      <c r="C146" s="16" t="s">
        <v>170</v>
      </c>
    </row>
    <row r="147" spans="1:3" x14ac:dyDescent="0.2">
      <c r="A147" s="105">
        <f>IF($C$3="Sim, já concluiu 100% dos itens",1,0)</f>
        <v>0</v>
      </c>
      <c r="B147" s="3">
        <v>82</v>
      </c>
      <c r="C147" s="7" t="s">
        <v>171</v>
      </c>
    </row>
    <row r="148" spans="1:3" ht="15.75" thickBot="1" x14ac:dyDescent="0.25">
      <c r="A148" s="105">
        <f>IF($C$3="Sim, já concluiu 100% dos itens",1,0)</f>
        <v>0</v>
      </c>
      <c r="B148" s="8">
        <v>83</v>
      </c>
      <c r="C148" s="9" t="s">
        <v>172</v>
      </c>
    </row>
    <row r="149" spans="1:3" ht="15.75" hidden="1" thickBot="1" x14ac:dyDescent="0.25">
      <c r="A149" s="102">
        <f>SUM(A147:A148)</f>
        <v>0</v>
      </c>
      <c r="B149" s="27"/>
      <c r="C149" s="28"/>
    </row>
    <row r="150" spans="1:3" x14ac:dyDescent="0.2">
      <c r="A150" s="101">
        <f>IF(A155=4,1,0)</f>
        <v>0</v>
      </c>
      <c r="B150" s="5"/>
      <c r="C150" s="16" t="s">
        <v>173</v>
      </c>
    </row>
    <row r="151" spans="1:3" x14ac:dyDescent="0.2">
      <c r="A151" s="105">
        <f>IF($C$3="Sim, já concluiu 100% dos itens",1,0)</f>
        <v>0</v>
      </c>
      <c r="B151" s="3">
        <v>84</v>
      </c>
      <c r="C151" s="7" t="s">
        <v>174</v>
      </c>
    </row>
    <row r="152" spans="1:3" x14ac:dyDescent="0.2">
      <c r="A152" s="105">
        <f>IF($C$3="Sim, já concluiu 100% dos itens",1,0)</f>
        <v>0</v>
      </c>
      <c r="B152" s="3">
        <v>85</v>
      </c>
      <c r="C152" s="7" t="s">
        <v>175</v>
      </c>
    </row>
    <row r="153" spans="1:3" x14ac:dyDescent="0.2">
      <c r="A153" s="105">
        <f>IF($C$3="Sim, já concluiu 100% dos itens",1,0)</f>
        <v>0</v>
      </c>
      <c r="B153" s="3">
        <v>86</v>
      </c>
      <c r="C153" s="7" t="s">
        <v>176</v>
      </c>
    </row>
    <row r="154" spans="1:3" ht="15.75" thickBot="1" x14ac:dyDescent="0.25">
      <c r="A154" s="105">
        <f>IF($C$3="Sim, já concluiu 100% dos itens",1,0)</f>
        <v>0</v>
      </c>
      <c r="B154" s="8">
        <v>87</v>
      </c>
      <c r="C154" s="9" t="s">
        <v>177</v>
      </c>
    </row>
    <row r="155" spans="1:3" ht="15.75" hidden="1" thickBot="1" x14ac:dyDescent="0.25">
      <c r="A155" s="102">
        <f>SUM(A151:A154)</f>
        <v>0</v>
      </c>
      <c r="B155" s="27"/>
      <c r="C155" s="28"/>
    </row>
    <row r="156" spans="1:3" x14ac:dyDescent="0.2">
      <c r="A156" s="101">
        <f>IF(A161=4,1,0)</f>
        <v>0</v>
      </c>
      <c r="B156" s="5"/>
      <c r="C156" s="16" t="s">
        <v>178</v>
      </c>
    </row>
    <row r="157" spans="1:3" x14ac:dyDescent="0.2">
      <c r="A157" s="105">
        <f>IF($C$3="Sim, já concluiu 100% dos itens",1,0)</f>
        <v>0</v>
      </c>
      <c r="B157" s="3">
        <v>88</v>
      </c>
      <c r="C157" s="7" t="s">
        <v>179</v>
      </c>
    </row>
    <row r="158" spans="1:3" x14ac:dyDescent="0.2">
      <c r="A158" s="105">
        <f>IF($C$3="Sim, já concluiu 100% dos itens",1,0)</f>
        <v>0</v>
      </c>
      <c r="B158" s="3">
        <v>89</v>
      </c>
      <c r="C158" s="7" t="s">
        <v>180</v>
      </c>
    </row>
    <row r="159" spans="1:3" x14ac:dyDescent="0.2">
      <c r="A159" s="105">
        <f>IF($C$3="Sim, já concluiu 100% dos itens",1,0)</f>
        <v>0</v>
      </c>
      <c r="B159" s="3">
        <v>90</v>
      </c>
      <c r="C159" s="7" t="s">
        <v>181</v>
      </c>
    </row>
    <row r="160" spans="1:3" ht="15.75" thickBot="1" x14ac:dyDescent="0.25">
      <c r="A160" s="105">
        <f>IF($C$3="Sim, já concluiu 100% dos itens",1,0)</f>
        <v>0</v>
      </c>
      <c r="B160" s="8">
        <v>91</v>
      </c>
      <c r="C160" s="9" t="s">
        <v>182</v>
      </c>
    </row>
    <row r="161" spans="1:3" ht="15.75" hidden="1" thickBot="1" x14ac:dyDescent="0.25">
      <c r="A161" s="102">
        <f>SUM(A157:A160)</f>
        <v>0</v>
      </c>
      <c r="B161" s="27"/>
      <c r="C161" s="28"/>
    </row>
    <row r="162" spans="1:3" x14ac:dyDescent="0.2">
      <c r="A162" s="101">
        <f>IF(A165=2,1,0)</f>
        <v>0</v>
      </c>
      <c r="B162" s="5"/>
      <c r="C162" s="16" t="s">
        <v>183</v>
      </c>
    </row>
    <row r="163" spans="1:3" x14ac:dyDescent="0.2">
      <c r="A163" s="105">
        <f>IF($C$3="Sim, já concluiu 100% dos itens",1,0)</f>
        <v>0</v>
      </c>
      <c r="B163" s="3">
        <v>92</v>
      </c>
      <c r="C163" s="7" t="s">
        <v>184</v>
      </c>
    </row>
    <row r="164" spans="1:3" ht="15.75" thickBot="1" x14ac:dyDescent="0.25">
      <c r="A164" s="105">
        <f>IF($C$3="Sim, já concluiu 100% dos itens",1,0)</f>
        <v>0</v>
      </c>
      <c r="B164" s="8">
        <v>93</v>
      </c>
      <c r="C164" s="9" t="s">
        <v>185</v>
      </c>
    </row>
    <row r="165" spans="1:3" ht="15.75" hidden="1" thickBot="1" x14ac:dyDescent="0.25">
      <c r="A165" s="102">
        <f>SUM(A163:A164)</f>
        <v>0</v>
      </c>
      <c r="B165" s="27"/>
      <c r="C165" s="28"/>
    </row>
    <row r="166" spans="1:3" x14ac:dyDescent="0.2">
      <c r="A166" s="101">
        <f>IF(A170=3,1,0)</f>
        <v>0</v>
      </c>
      <c r="B166" s="5"/>
      <c r="C166" s="16" t="s">
        <v>186</v>
      </c>
    </row>
    <row r="167" spans="1:3" x14ac:dyDescent="0.2">
      <c r="A167" s="105">
        <f>IF($C$3="Sim, já concluiu 100% dos itens",1,0)</f>
        <v>0</v>
      </c>
      <c r="B167" s="3">
        <v>94</v>
      </c>
      <c r="C167" s="7" t="s">
        <v>187</v>
      </c>
    </row>
    <row r="168" spans="1:3" x14ac:dyDescent="0.2">
      <c r="A168" s="105">
        <f>IF($C$3="Sim, já concluiu 100% dos itens",1,0)</f>
        <v>0</v>
      </c>
      <c r="B168" s="3">
        <v>95</v>
      </c>
      <c r="C168" s="7" t="s">
        <v>188</v>
      </c>
    </row>
    <row r="169" spans="1:3" ht="15.75" thickBot="1" x14ac:dyDescent="0.25">
      <c r="A169" s="105">
        <f>IF($C$3="Sim, já concluiu 100% dos itens",1,0)</f>
        <v>0</v>
      </c>
      <c r="B169" s="8">
        <v>96</v>
      </c>
      <c r="C169" s="9" t="s">
        <v>189</v>
      </c>
    </row>
    <row r="170" spans="1:3" ht="15.75" hidden="1" thickBot="1" x14ac:dyDescent="0.25">
      <c r="A170" s="102">
        <f>SUM(A167:A169)</f>
        <v>0</v>
      </c>
      <c r="B170" s="27"/>
      <c r="C170" s="28"/>
    </row>
    <row r="171" spans="1:3" ht="15.75" thickBot="1" x14ac:dyDescent="0.25">
      <c r="A171" s="103"/>
      <c r="B171" s="5"/>
      <c r="C171" s="36" t="s">
        <v>190</v>
      </c>
    </row>
    <row r="172" spans="1:3" x14ac:dyDescent="0.2">
      <c r="A172" s="101">
        <f>IF(A176=3,1,0)</f>
        <v>0</v>
      </c>
      <c r="B172" s="3"/>
      <c r="C172" s="19" t="s">
        <v>191</v>
      </c>
    </row>
    <row r="173" spans="1:3" x14ac:dyDescent="0.2">
      <c r="A173" s="105">
        <f>IF($C$3="Sim, já concluiu 100% dos itens",1,0)</f>
        <v>0</v>
      </c>
      <c r="B173" s="3">
        <v>97</v>
      </c>
      <c r="C173" s="7" t="s">
        <v>192</v>
      </c>
    </row>
    <row r="174" spans="1:3" x14ac:dyDescent="0.2">
      <c r="A174" s="105">
        <f>IF($C$3="Sim, já concluiu 100% dos itens",1,0)</f>
        <v>0</v>
      </c>
      <c r="B174" s="3">
        <v>98</v>
      </c>
      <c r="C174" s="7" t="s">
        <v>193</v>
      </c>
    </row>
    <row r="175" spans="1:3" ht="15.75" thickBot="1" x14ac:dyDescent="0.25">
      <c r="A175" s="105">
        <f>IF($C$3="Sim, já concluiu 100% dos itens",1,0)</f>
        <v>0</v>
      </c>
      <c r="B175" s="8">
        <v>99</v>
      </c>
      <c r="C175" s="9" t="s">
        <v>194</v>
      </c>
    </row>
    <row r="176" spans="1:3" ht="15.75" hidden="1" thickBot="1" x14ac:dyDescent="0.25">
      <c r="A176" s="102">
        <f>SUM(A173:A175)</f>
        <v>0</v>
      </c>
      <c r="B176" s="27"/>
      <c r="C176" s="28"/>
    </row>
    <row r="177" spans="1:3" x14ac:dyDescent="0.2">
      <c r="A177" s="101">
        <f>IF(A181=3,1,0)</f>
        <v>0</v>
      </c>
      <c r="B177" s="5"/>
      <c r="C177" s="18" t="s">
        <v>195</v>
      </c>
    </row>
    <row r="178" spans="1:3" x14ac:dyDescent="0.2">
      <c r="A178" s="105">
        <f>IF($C$3="Sim, já concluiu 100% dos itens",1,0)</f>
        <v>0</v>
      </c>
      <c r="B178" s="3">
        <v>100</v>
      </c>
      <c r="C178" s="7" t="s">
        <v>196</v>
      </c>
    </row>
    <row r="179" spans="1:3" x14ac:dyDescent="0.2">
      <c r="A179" s="105">
        <f>IF($C$3="Sim, já concluiu 100% dos itens",1,0)</f>
        <v>0</v>
      </c>
      <c r="B179" s="3">
        <v>101</v>
      </c>
      <c r="C179" s="7" t="s">
        <v>197</v>
      </c>
    </row>
    <row r="180" spans="1:3" ht="15.75" thickBot="1" x14ac:dyDescent="0.25">
      <c r="A180" s="105">
        <f>IF($C$3="Sim, já concluiu 100% dos itens",1,0)</f>
        <v>0</v>
      </c>
      <c r="B180" s="8">
        <v>102</v>
      </c>
      <c r="C180" s="9" t="s">
        <v>198</v>
      </c>
    </row>
    <row r="181" spans="1:3" ht="15.75" hidden="1" thickBot="1" x14ac:dyDescent="0.25">
      <c r="A181" s="102">
        <f>SUM(A178:A180)</f>
        <v>0</v>
      </c>
      <c r="B181" s="27"/>
      <c r="C181" s="28"/>
    </row>
    <row r="182" spans="1:3" x14ac:dyDescent="0.2">
      <c r="A182" s="101">
        <f>IF(A187=4,1,0)</f>
        <v>0</v>
      </c>
      <c r="B182" s="5"/>
      <c r="C182" s="18" t="s">
        <v>199</v>
      </c>
    </row>
    <row r="183" spans="1:3" x14ac:dyDescent="0.2">
      <c r="A183" s="105">
        <f>IF($C$3="Sim, já concluiu 100% dos itens",1,0)</f>
        <v>0</v>
      </c>
      <c r="B183" s="3">
        <v>103</v>
      </c>
      <c r="C183" s="7" t="s">
        <v>200</v>
      </c>
    </row>
    <row r="184" spans="1:3" x14ac:dyDescent="0.2">
      <c r="A184" s="105">
        <f>IF($C$3="Sim, já concluiu 100% dos itens",1,0)</f>
        <v>0</v>
      </c>
      <c r="B184" s="3">
        <v>104</v>
      </c>
      <c r="C184" s="7" t="s">
        <v>201</v>
      </c>
    </row>
    <row r="185" spans="1:3" x14ac:dyDescent="0.2">
      <c r="A185" s="105">
        <f>IF($C$3="Sim, já concluiu 100% dos itens",1,0)</f>
        <v>0</v>
      </c>
      <c r="B185" s="3">
        <v>105</v>
      </c>
      <c r="C185" s="7" t="s">
        <v>202</v>
      </c>
    </row>
    <row r="186" spans="1:3" ht="15.75" thickBot="1" x14ac:dyDescent="0.25">
      <c r="A186" s="105">
        <f>IF($C$3="Sim, já concluiu 100% dos itens",1,0)</f>
        <v>0</v>
      </c>
      <c r="B186" s="8">
        <v>106</v>
      </c>
      <c r="C186" s="9" t="s">
        <v>203</v>
      </c>
    </row>
    <row r="187" spans="1:3" ht="15.75" hidden="1" thickBot="1" x14ac:dyDescent="0.25">
      <c r="A187" s="102">
        <f>SUM(A183:A186)</f>
        <v>0</v>
      </c>
      <c r="B187" s="27"/>
      <c r="C187" s="28"/>
    </row>
    <row r="188" spans="1:3" x14ac:dyDescent="0.2">
      <c r="A188" s="101">
        <f>IF(A191=2,1,0)</f>
        <v>0</v>
      </c>
      <c r="B188" s="5"/>
      <c r="C188" s="18" t="s">
        <v>204</v>
      </c>
    </row>
    <row r="189" spans="1:3" x14ac:dyDescent="0.2">
      <c r="A189" s="105">
        <f>IF($C$3="Sim, já concluiu 100% dos itens",1,0)</f>
        <v>0</v>
      </c>
      <c r="B189" s="3">
        <v>107</v>
      </c>
      <c r="C189" s="7" t="s">
        <v>205</v>
      </c>
    </row>
    <row r="190" spans="1:3" ht="15.75" thickBot="1" x14ac:dyDescent="0.25">
      <c r="A190" s="105">
        <f>IF($C$3="Sim, já concluiu 100% dos itens",1,0)</f>
        <v>0</v>
      </c>
      <c r="B190" s="8">
        <v>108</v>
      </c>
      <c r="C190" s="9" t="s">
        <v>206</v>
      </c>
    </row>
    <row r="191" spans="1:3" hidden="1" x14ac:dyDescent="0.2">
      <c r="A191" s="104">
        <f>SUM(A189:A190)</f>
        <v>0</v>
      </c>
      <c r="B191" s="29"/>
      <c r="C191" s="30"/>
    </row>
  </sheetData>
  <sheetProtection sheet="1" objects="1" scenarios="1"/>
  <dataValidations count="1">
    <dataValidation type="list" allowBlank="1" showInputMessage="1" showErrorMessage="1" sqref="C3" xr:uid="{3B2B4406-29F2-4481-BFCF-40757473BA76}">
      <formula1>$E$3:$E$4</formula1>
    </dataValidation>
  </dataValidations>
  <pageMargins left="0.511811024" right="0.511811024" top="0.78740157499999996" bottom="0.78740157499999996" header="0.31496062000000002" footer="0.31496062000000002"/>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CB5FC-DA52-4021-88E2-DC0C068707F1}">
  <dimension ref="A1:C199"/>
  <sheetViews>
    <sheetView showZeros="0" workbookViewId="0"/>
  </sheetViews>
  <sheetFormatPr defaultRowHeight="15" x14ac:dyDescent="0.2"/>
  <cols>
    <col min="1" max="1" width="9.14453125" style="2"/>
    <col min="2" max="2" width="4.03515625" style="2" bestFit="1" customWidth="1"/>
    <col min="3" max="3" width="130.75390625" style="20" customWidth="1"/>
  </cols>
  <sheetData>
    <row r="1" spans="1:3" ht="18.75" x14ac:dyDescent="0.2">
      <c r="C1" s="107" t="s">
        <v>613</v>
      </c>
    </row>
    <row r="2" spans="1:3" ht="27.75" x14ac:dyDescent="0.2">
      <c r="C2" s="327" t="s">
        <v>1128</v>
      </c>
    </row>
    <row r="4" spans="1:3" ht="15.75" thickBot="1" x14ac:dyDescent="0.25">
      <c r="C4" s="31" t="s">
        <v>58</v>
      </c>
    </row>
    <row r="5" spans="1:3" ht="27.75" x14ac:dyDescent="0.2">
      <c r="A5" s="114">
        <f>IF(A9=3,1,0)</f>
        <v>0</v>
      </c>
      <c r="B5" s="5"/>
      <c r="C5" s="115" t="s">
        <v>612</v>
      </c>
    </row>
    <row r="6" spans="1:3" x14ac:dyDescent="0.2">
      <c r="A6" s="105"/>
      <c r="B6" s="3">
        <v>1</v>
      </c>
      <c r="C6" s="91" t="s">
        <v>614</v>
      </c>
    </row>
    <row r="7" spans="1:3" ht="27.75" x14ac:dyDescent="0.2">
      <c r="A7" s="105"/>
      <c r="B7" s="3">
        <v>2</v>
      </c>
      <c r="C7" s="91" t="s">
        <v>615</v>
      </c>
    </row>
    <row r="8" spans="1:3" ht="15.75" thickBot="1" x14ac:dyDescent="0.25">
      <c r="A8" s="116"/>
      <c r="B8" s="8">
        <v>3</v>
      </c>
      <c r="C8" s="94" t="s">
        <v>616</v>
      </c>
    </row>
    <row r="9" spans="1:3" hidden="1" x14ac:dyDescent="0.2">
      <c r="A9" s="117">
        <f>SUM(A6:A8)</f>
        <v>0</v>
      </c>
      <c r="B9" s="118"/>
      <c r="C9" s="119"/>
    </row>
    <row r="10" spans="1:3" x14ac:dyDescent="0.2">
      <c r="A10" s="114">
        <f>IF(A15=4,1,0)</f>
        <v>0</v>
      </c>
      <c r="B10" s="5"/>
      <c r="C10" s="115" t="s">
        <v>617</v>
      </c>
    </row>
    <row r="11" spans="1:3" x14ac:dyDescent="0.2">
      <c r="A11" s="105"/>
      <c r="B11" s="3">
        <v>4</v>
      </c>
      <c r="C11" s="91" t="s">
        <v>618</v>
      </c>
    </row>
    <row r="12" spans="1:3" x14ac:dyDescent="0.2">
      <c r="A12" s="105"/>
      <c r="B12" s="3">
        <v>5</v>
      </c>
      <c r="C12" s="91" t="s">
        <v>619</v>
      </c>
    </row>
    <row r="13" spans="1:3" ht="27.75" x14ac:dyDescent="0.2">
      <c r="A13" s="105"/>
      <c r="B13" s="3">
        <v>6</v>
      </c>
      <c r="C13" s="91" t="s">
        <v>620</v>
      </c>
    </row>
    <row r="14" spans="1:3" ht="15.75" thickBot="1" x14ac:dyDescent="0.25">
      <c r="A14" s="116"/>
      <c r="B14" s="8">
        <v>7</v>
      </c>
      <c r="C14" s="94" t="s">
        <v>621</v>
      </c>
    </row>
    <row r="15" spans="1:3" hidden="1" x14ac:dyDescent="0.2">
      <c r="A15" s="117">
        <f>SUM(A11:A14)</f>
        <v>0</v>
      </c>
      <c r="B15" s="118"/>
      <c r="C15" s="119"/>
    </row>
    <row r="16" spans="1:3" x14ac:dyDescent="0.2">
      <c r="A16" s="114">
        <f>IF(A21=4,1,0)</f>
        <v>0</v>
      </c>
      <c r="B16" s="5"/>
      <c r="C16" s="115" t="s">
        <v>622</v>
      </c>
    </row>
    <row r="17" spans="1:3" x14ac:dyDescent="0.2">
      <c r="A17" s="105"/>
      <c r="B17" s="3">
        <v>8</v>
      </c>
      <c r="C17" s="91" t="s">
        <v>623</v>
      </c>
    </row>
    <row r="18" spans="1:3" x14ac:dyDescent="0.2">
      <c r="A18" s="105"/>
      <c r="B18" s="3">
        <v>9</v>
      </c>
      <c r="C18" s="91" t="s">
        <v>624</v>
      </c>
    </row>
    <row r="19" spans="1:3" x14ac:dyDescent="0.2">
      <c r="A19" s="105"/>
      <c r="B19" s="3">
        <v>10</v>
      </c>
      <c r="C19" s="91" t="s">
        <v>625</v>
      </c>
    </row>
    <row r="20" spans="1:3" ht="15.75" thickBot="1" x14ac:dyDescent="0.25">
      <c r="A20" s="116"/>
      <c r="B20" s="8">
        <v>11</v>
      </c>
      <c r="C20" s="94" t="s">
        <v>626</v>
      </c>
    </row>
    <row r="21" spans="1:3" hidden="1" x14ac:dyDescent="0.2">
      <c r="A21" s="117">
        <f>SUM(A17:A20)</f>
        <v>0</v>
      </c>
      <c r="B21" s="118"/>
      <c r="C21" s="119"/>
    </row>
    <row r="22" spans="1:3" x14ac:dyDescent="0.2">
      <c r="A22" s="114">
        <f>IF(A26=3,1,0)</f>
        <v>0</v>
      </c>
      <c r="B22" s="5"/>
      <c r="C22" s="115" t="s">
        <v>627</v>
      </c>
    </row>
    <row r="23" spans="1:3" x14ac:dyDescent="0.2">
      <c r="A23" s="105"/>
      <c r="B23" s="3">
        <v>12</v>
      </c>
      <c r="C23" s="91" t="s">
        <v>628</v>
      </c>
    </row>
    <row r="24" spans="1:3" x14ac:dyDescent="0.2">
      <c r="A24" s="105"/>
      <c r="B24" s="3">
        <v>13</v>
      </c>
      <c r="C24" s="91" t="s">
        <v>629</v>
      </c>
    </row>
    <row r="25" spans="1:3" ht="15.75" thickBot="1" x14ac:dyDescent="0.25">
      <c r="A25" s="116"/>
      <c r="B25" s="8">
        <v>14</v>
      </c>
      <c r="C25" s="94" t="s">
        <v>630</v>
      </c>
    </row>
    <row r="26" spans="1:3" hidden="1" x14ac:dyDescent="0.2">
      <c r="A26" s="117">
        <f>SUM(A23:A25)</f>
        <v>0</v>
      </c>
      <c r="B26" s="118"/>
      <c r="C26" s="119"/>
    </row>
    <row r="27" spans="1:3" x14ac:dyDescent="0.2">
      <c r="A27" s="114">
        <f>IF(A32=4,1,0)</f>
        <v>0</v>
      </c>
      <c r="B27" s="5"/>
      <c r="C27" s="115" t="s">
        <v>631</v>
      </c>
    </row>
    <row r="28" spans="1:3" x14ac:dyDescent="0.2">
      <c r="A28" s="105"/>
      <c r="B28" s="3">
        <v>15</v>
      </c>
      <c r="C28" s="91" t="s">
        <v>632</v>
      </c>
    </row>
    <row r="29" spans="1:3" x14ac:dyDescent="0.2">
      <c r="A29" s="105"/>
      <c r="B29" s="3">
        <v>16</v>
      </c>
      <c r="C29" s="91" t="s">
        <v>633</v>
      </c>
    </row>
    <row r="30" spans="1:3" x14ac:dyDescent="0.2">
      <c r="A30" s="105"/>
      <c r="B30" s="3">
        <v>17</v>
      </c>
      <c r="C30" s="91" t="s">
        <v>634</v>
      </c>
    </row>
    <row r="31" spans="1:3" ht="15.75" thickBot="1" x14ac:dyDescent="0.25">
      <c r="A31" s="116"/>
      <c r="B31" s="8">
        <v>18</v>
      </c>
      <c r="C31" s="94" t="s">
        <v>635</v>
      </c>
    </row>
    <row r="32" spans="1:3" hidden="1" x14ac:dyDescent="0.2">
      <c r="A32" s="117">
        <f>SUM(A28:A31)</f>
        <v>0</v>
      </c>
      <c r="B32" s="118"/>
      <c r="C32" s="119"/>
    </row>
    <row r="33" spans="1:3" x14ac:dyDescent="0.2">
      <c r="A33" s="114">
        <f>IF(A36=2,1,0)</f>
        <v>0</v>
      </c>
      <c r="B33" s="5"/>
      <c r="C33" s="115" t="s">
        <v>636</v>
      </c>
    </row>
    <row r="34" spans="1:3" x14ac:dyDescent="0.2">
      <c r="A34" s="105"/>
      <c r="B34" s="3">
        <v>19</v>
      </c>
      <c r="C34" s="91" t="s">
        <v>637</v>
      </c>
    </row>
    <row r="35" spans="1:3" ht="15.75" thickBot="1" x14ac:dyDescent="0.25">
      <c r="A35" s="116"/>
      <c r="B35" s="8">
        <v>20</v>
      </c>
      <c r="C35" s="94" t="s">
        <v>638</v>
      </c>
    </row>
    <row r="36" spans="1:3" hidden="1" x14ac:dyDescent="0.2">
      <c r="A36" s="111">
        <f>SUM(A34:A35)</f>
        <v>0</v>
      </c>
      <c r="B36" s="112"/>
      <c r="C36" s="113"/>
    </row>
    <row r="37" spans="1:3" ht="15.75" thickBot="1" x14ac:dyDescent="0.25">
      <c r="A37" s="120"/>
      <c r="B37" s="4"/>
      <c r="C37" s="121" t="s">
        <v>84</v>
      </c>
    </row>
    <row r="38" spans="1:3" x14ac:dyDescent="0.2">
      <c r="A38" s="114">
        <f>IF(A43=4,1,0)</f>
        <v>0</v>
      </c>
      <c r="B38" s="5"/>
      <c r="C38" s="108" t="s">
        <v>639</v>
      </c>
    </row>
    <row r="39" spans="1:3" x14ac:dyDescent="0.2">
      <c r="A39" s="105"/>
      <c r="B39" s="3">
        <v>21</v>
      </c>
      <c r="C39" s="91" t="s">
        <v>640</v>
      </c>
    </row>
    <row r="40" spans="1:3" x14ac:dyDescent="0.2">
      <c r="A40" s="105"/>
      <c r="B40" s="3">
        <v>22</v>
      </c>
      <c r="C40" s="91" t="s">
        <v>641</v>
      </c>
    </row>
    <row r="41" spans="1:3" x14ac:dyDescent="0.2">
      <c r="A41" s="105"/>
      <c r="B41" s="3">
        <v>23</v>
      </c>
      <c r="C41" s="91" t="s">
        <v>642</v>
      </c>
    </row>
    <row r="42" spans="1:3" ht="15.75" thickBot="1" x14ac:dyDescent="0.25">
      <c r="A42" s="116"/>
      <c r="B42" s="8">
        <v>24</v>
      </c>
      <c r="C42" s="94" t="s">
        <v>643</v>
      </c>
    </row>
    <row r="43" spans="1:3" hidden="1" x14ac:dyDescent="0.2">
      <c r="A43" s="117">
        <f>SUM(A39:A42)</f>
        <v>0</v>
      </c>
      <c r="B43" s="118"/>
      <c r="C43" s="119"/>
    </row>
    <row r="44" spans="1:3" x14ac:dyDescent="0.2">
      <c r="A44" s="114">
        <f>IF(A49=4,1,0)</f>
        <v>0</v>
      </c>
      <c r="B44" s="5"/>
      <c r="C44" s="108" t="s">
        <v>644</v>
      </c>
    </row>
    <row r="45" spans="1:3" x14ac:dyDescent="0.2">
      <c r="A45" s="105"/>
      <c r="B45" s="3">
        <v>25</v>
      </c>
      <c r="C45" s="91" t="s">
        <v>645</v>
      </c>
    </row>
    <row r="46" spans="1:3" x14ac:dyDescent="0.2">
      <c r="A46" s="105"/>
      <c r="B46" s="3">
        <v>26</v>
      </c>
      <c r="C46" s="91" t="s">
        <v>646</v>
      </c>
    </row>
    <row r="47" spans="1:3" x14ac:dyDescent="0.2">
      <c r="A47" s="105"/>
      <c r="B47" s="3">
        <v>27</v>
      </c>
      <c r="C47" s="91" t="s">
        <v>647</v>
      </c>
    </row>
    <row r="48" spans="1:3" ht="15.75" thickBot="1" x14ac:dyDescent="0.25">
      <c r="A48" s="116"/>
      <c r="B48" s="8">
        <v>28</v>
      </c>
      <c r="C48" s="94" t="s">
        <v>648</v>
      </c>
    </row>
    <row r="49" spans="1:3" hidden="1" x14ac:dyDescent="0.2">
      <c r="A49" s="117">
        <f>SUM(A45:A48)</f>
        <v>0</v>
      </c>
      <c r="B49" s="118"/>
      <c r="C49" s="119"/>
    </row>
    <row r="50" spans="1:3" x14ac:dyDescent="0.2">
      <c r="A50" s="114">
        <f>IF(A55=4,1,0)</f>
        <v>0</v>
      </c>
      <c r="B50" s="5"/>
      <c r="C50" s="108" t="s">
        <v>649</v>
      </c>
    </row>
    <row r="51" spans="1:3" x14ac:dyDescent="0.2">
      <c r="A51" s="105"/>
      <c r="B51" s="3">
        <v>29</v>
      </c>
      <c r="C51" s="91" t="s">
        <v>650</v>
      </c>
    </row>
    <row r="52" spans="1:3" x14ac:dyDescent="0.2">
      <c r="A52" s="105"/>
      <c r="B52" s="3">
        <v>30</v>
      </c>
      <c r="C52" s="91" t="s">
        <v>651</v>
      </c>
    </row>
    <row r="53" spans="1:3" x14ac:dyDescent="0.2">
      <c r="A53" s="105"/>
      <c r="B53" s="3">
        <v>31</v>
      </c>
      <c r="C53" s="91" t="s">
        <v>652</v>
      </c>
    </row>
    <row r="54" spans="1:3" ht="15.75" thickBot="1" x14ac:dyDescent="0.25">
      <c r="A54" s="116"/>
      <c r="B54" s="8">
        <v>32</v>
      </c>
      <c r="C54" s="94" t="s">
        <v>653</v>
      </c>
    </row>
    <row r="55" spans="1:3" hidden="1" x14ac:dyDescent="0.2">
      <c r="A55" s="117">
        <f>SUM(A51:A54)</f>
        <v>0</v>
      </c>
      <c r="B55" s="118"/>
      <c r="C55" s="119"/>
    </row>
    <row r="56" spans="1:3" x14ac:dyDescent="0.2">
      <c r="A56" s="114">
        <f>IF(A60=3,1,0)</f>
        <v>0</v>
      </c>
      <c r="B56" s="5"/>
      <c r="C56" s="108" t="s">
        <v>654</v>
      </c>
    </row>
    <row r="57" spans="1:3" x14ac:dyDescent="0.2">
      <c r="A57" s="105"/>
      <c r="B57" s="3">
        <v>33</v>
      </c>
      <c r="C57" s="91" t="s">
        <v>655</v>
      </c>
    </row>
    <row r="58" spans="1:3" x14ac:dyDescent="0.2">
      <c r="A58" s="105"/>
      <c r="B58" s="3">
        <v>34</v>
      </c>
      <c r="C58" s="91" t="s">
        <v>656</v>
      </c>
    </row>
    <row r="59" spans="1:3" ht="15.75" thickBot="1" x14ac:dyDescent="0.25">
      <c r="A59" s="116"/>
      <c r="B59" s="8">
        <v>35</v>
      </c>
      <c r="C59" s="94" t="s">
        <v>657</v>
      </c>
    </row>
    <row r="60" spans="1:3" hidden="1" x14ac:dyDescent="0.2">
      <c r="A60" s="117">
        <f>SUM(A57:A59)</f>
        <v>0</v>
      </c>
      <c r="B60" s="118"/>
      <c r="C60" s="119"/>
    </row>
    <row r="61" spans="1:3" x14ac:dyDescent="0.2">
      <c r="A61" s="114">
        <f>IF(A65=3,1,0)</f>
        <v>0</v>
      </c>
      <c r="B61" s="5"/>
      <c r="C61" s="108" t="s">
        <v>658</v>
      </c>
    </row>
    <row r="62" spans="1:3" x14ac:dyDescent="0.2">
      <c r="A62" s="105"/>
      <c r="B62" s="3">
        <v>36</v>
      </c>
      <c r="C62" s="91" t="s">
        <v>659</v>
      </c>
    </row>
    <row r="63" spans="1:3" x14ac:dyDescent="0.2">
      <c r="A63" s="105"/>
      <c r="B63" s="3">
        <v>37</v>
      </c>
      <c r="C63" s="91" t="s">
        <v>660</v>
      </c>
    </row>
    <row r="64" spans="1:3" ht="15.75" thickBot="1" x14ac:dyDescent="0.25">
      <c r="A64" s="116"/>
      <c r="B64" s="8">
        <v>38</v>
      </c>
      <c r="C64" s="94" t="s">
        <v>661</v>
      </c>
    </row>
    <row r="65" spans="1:3" hidden="1" x14ac:dyDescent="0.2">
      <c r="A65" s="117">
        <f>SUM(A62:A64)</f>
        <v>0</v>
      </c>
      <c r="B65" s="118"/>
      <c r="C65" s="119"/>
    </row>
    <row r="66" spans="1:3" x14ac:dyDescent="0.2">
      <c r="A66" s="114">
        <f>IF(A71=4,1,0)</f>
        <v>0</v>
      </c>
      <c r="B66" s="5"/>
      <c r="C66" s="108" t="s">
        <v>662</v>
      </c>
    </row>
    <row r="67" spans="1:3" x14ac:dyDescent="0.2">
      <c r="A67" s="105"/>
      <c r="B67" s="3">
        <v>39</v>
      </c>
      <c r="C67" s="91" t="s">
        <v>663</v>
      </c>
    </row>
    <row r="68" spans="1:3" x14ac:dyDescent="0.2">
      <c r="A68" s="105"/>
      <c r="B68" s="3">
        <v>40</v>
      </c>
      <c r="C68" s="91" t="s">
        <v>664</v>
      </c>
    </row>
    <row r="69" spans="1:3" x14ac:dyDescent="0.2">
      <c r="A69" s="105"/>
      <c r="B69" s="3">
        <v>41</v>
      </c>
      <c r="C69" s="91" t="s">
        <v>665</v>
      </c>
    </row>
    <row r="70" spans="1:3" ht="15.75" thickBot="1" x14ac:dyDescent="0.25">
      <c r="A70" s="116"/>
      <c r="B70" s="8">
        <v>42</v>
      </c>
      <c r="C70" s="94" t="s">
        <v>666</v>
      </c>
    </row>
    <row r="71" spans="1:3" hidden="1" x14ac:dyDescent="0.2">
      <c r="A71" s="117">
        <f>SUM(A67:A70)</f>
        <v>0</v>
      </c>
      <c r="B71" s="118"/>
      <c r="C71" s="119"/>
    </row>
    <row r="72" spans="1:3" x14ac:dyDescent="0.2">
      <c r="A72" s="114">
        <f>IF(A77=4,1,0)</f>
        <v>0</v>
      </c>
      <c r="B72" s="5"/>
      <c r="C72" s="108" t="s">
        <v>667</v>
      </c>
    </row>
    <row r="73" spans="1:3" ht="41.25" x14ac:dyDescent="0.2">
      <c r="A73" s="105"/>
      <c r="B73" s="3">
        <v>43</v>
      </c>
      <c r="C73" s="91" t="s">
        <v>668</v>
      </c>
    </row>
    <row r="74" spans="1:3" x14ac:dyDescent="0.2">
      <c r="A74" s="105"/>
      <c r="B74" s="3">
        <v>44</v>
      </c>
      <c r="C74" s="91" t="s">
        <v>669</v>
      </c>
    </row>
    <row r="75" spans="1:3" x14ac:dyDescent="0.2">
      <c r="A75" s="105"/>
      <c r="B75" s="3">
        <v>45</v>
      </c>
      <c r="C75" s="91" t="s">
        <v>670</v>
      </c>
    </row>
    <row r="76" spans="1:3" ht="15.75" thickBot="1" x14ac:dyDescent="0.25">
      <c r="A76" s="116"/>
      <c r="B76" s="8">
        <v>46</v>
      </c>
      <c r="C76" s="94" t="s">
        <v>671</v>
      </c>
    </row>
    <row r="77" spans="1:3" hidden="1" x14ac:dyDescent="0.2">
      <c r="A77" s="111">
        <f>SUM(A73:A76)</f>
        <v>0</v>
      </c>
      <c r="B77" s="112"/>
      <c r="C77" s="113"/>
    </row>
    <row r="78" spans="1:3" ht="15.75" thickBot="1" x14ac:dyDescent="0.25">
      <c r="A78" s="120"/>
      <c r="B78" s="4"/>
      <c r="C78" s="122" t="s">
        <v>114</v>
      </c>
    </row>
    <row r="79" spans="1:3" x14ac:dyDescent="0.2">
      <c r="A79" s="114">
        <f>IF(A84=4,1,0)</f>
        <v>0</v>
      </c>
      <c r="B79" s="5"/>
      <c r="C79" s="12" t="s">
        <v>672</v>
      </c>
    </row>
    <row r="80" spans="1:3" x14ac:dyDescent="0.2">
      <c r="A80" s="105"/>
      <c r="B80" s="3">
        <v>47</v>
      </c>
      <c r="C80" s="91" t="s">
        <v>673</v>
      </c>
    </row>
    <row r="81" spans="1:3" x14ac:dyDescent="0.2">
      <c r="A81" s="105"/>
      <c r="B81" s="3">
        <v>48</v>
      </c>
      <c r="C81" s="91" t="s">
        <v>674</v>
      </c>
    </row>
    <row r="82" spans="1:3" x14ac:dyDescent="0.2">
      <c r="A82" s="105"/>
      <c r="B82" s="3">
        <v>49</v>
      </c>
      <c r="C82" s="91" t="s">
        <v>675</v>
      </c>
    </row>
    <row r="83" spans="1:3" ht="15.75" thickBot="1" x14ac:dyDescent="0.25">
      <c r="A83" s="116"/>
      <c r="B83" s="8">
        <v>50</v>
      </c>
      <c r="C83" s="94" t="s">
        <v>676</v>
      </c>
    </row>
    <row r="84" spans="1:3" hidden="1" x14ac:dyDescent="0.2">
      <c r="A84" s="117">
        <f>SUM(A80:A83)</f>
        <v>0</v>
      </c>
      <c r="B84" s="118"/>
      <c r="C84" s="119"/>
    </row>
    <row r="85" spans="1:3" x14ac:dyDescent="0.2">
      <c r="A85" s="114">
        <f>IF(A90=4,1,0)</f>
        <v>0</v>
      </c>
      <c r="B85" s="5"/>
      <c r="C85" s="12" t="s">
        <v>677</v>
      </c>
    </row>
    <row r="86" spans="1:3" x14ac:dyDescent="0.2">
      <c r="A86" s="105"/>
      <c r="B86" s="3">
        <v>51</v>
      </c>
      <c r="C86" s="91" t="s">
        <v>678</v>
      </c>
    </row>
    <row r="87" spans="1:3" x14ac:dyDescent="0.2">
      <c r="A87" s="105"/>
      <c r="B87" s="3">
        <v>52</v>
      </c>
      <c r="C87" s="91" t="s">
        <v>679</v>
      </c>
    </row>
    <row r="88" spans="1:3" x14ac:dyDescent="0.2">
      <c r="A88" s="105"/>
      <c r="B88" s="3">
        <v>53</v>
      </c>
      <c r="C88" s="91" t="s">
        <v>680</v>
      </c>
    </row>
    <row r="89" spans="1:3" ht="15.75" thickBot="1" x14ac:dyDescent="0.25">
      <c r="A89" s="116"/>
      <c r="B89" s="8">
        <v>54</v>
      </c>
      <c r="C89" s="94" t="s">
        <v>681</v>
      </c>
    </row>
    <row r="90" spans="1:3" hidden="1" x14ac:dyDescent="0.2">
      <c r="A90" s="117">
        <f>SUM(A86:A89)</f>
        <v>0</v>
      </c>
      <c r="B90" s="118"/>
      <c r="C90" s="119"/>
    </row>
    <row r="91" spans="1:3" x14ac:dyDescent="0.2">
      <c r="A91" s="114">
        <f>IF(A95=3,1,0)</f>
        <v>0</v>
      </c>
      <c r="B91" s="5"/>
      <c r="C91" s="12" t="s">
        <v>682</v>
      </c>
    </row>
    <row r="92" spans="1:3" x14ac:dyDescent="0.2">
      <c r="A92" s="105"/>
      <c r="B92" s="3">
        <v>55</v>
      </c>
      <c r="C92" s="91" t="s">
        <v>683</v>
      </c>
    </row>
    <row r="93" spans="1:3" x14ac:dyDescent="0.2">
      <c r="A93" s="105"/>
      <c r="B93" s="3">
        <v>56</v>
      </c>
      <c r="C93" s="91" t="s">
        <v>684</v>
      </c>
    </row>
    <row r="94" spans="1:3" ht="15.75" thickBot="1" x14ac:dyDescent="0.25">
      <c r="A94" s="116"/>
      <c r="B94" s="8">
        <v>57</v>
      </c>
      <c r="C94" s="94" t="s">
        <v>685</v>
      </c>
    </row>
    <row r="95" spans="1:3" hidden="1" x14ac:dyDescent="0.2">
      <c r="A95" s="117">
        <f>SUM(A92:A94)</f>
        <v>0</v>
      </c>
      <c r="B95" s="118"/>
      <c r="C95" s="119"/>
    </row>
    <row r="96" spans="1:3" x14ac:dyDescent="0.2">
      <c r="A96" s="114">
        <f>IF(A99=2,1,0)</f>
        <v>0</v>
      </c>
      <c r="B96" s="5"/>
      <c r="C96" s="12" t="s">
        <v>686</v>
      </c>
    </row>
    <row r="97" spans="1:3" x14ac:dyDescent="0.2">
      <c r="A97" s="105"/>
      <c r="B97" s="3">
        <v>58</v>
      </c>
      <c r="C97" s="91" t="s">
        <v>687</v>
      </c>
    </row>
    <row r="98" spans="1:3" ht="15.75" thickBot="1" x14ac:dyDescent="0.25">
      <c r="A98" s="116"/>
      <c r="B98" s="8">
        <v>59</v>
      </c>
      <c r="C98" s="94" t="s">
        <v>688</v>
      </c>
    </row>
    <row r="99" spans="1:3" hidden="1" x14ac:dyDescent="0.2">
      <c r="A99" s="117">
        <f>SUM(A97:A98)</f>
        <v>0</v>
      </c>
      <c r="B99" s="118"/>
      <c r="C99" s="119"/>
    </row>
    <row r="100" spans="1:3" x14ac:dyDescent="0.2">
      <c r="A100" s="114">
        <f>IF(A104=3,1,0)</f>
        <v>0</v>
      </c>
      <c r="B100" s="5"/>
      <c r="C100" s="12" t="s">
        <v>689</v>
      </c>
    </row>
    <row r="101" spans="1:3" x14ac:dyDescent="0.2">
      <c r="A101" s="105"/>
      <c r="B101" s="3">
        <v>60</v>
      </c>
      <c r="C101" s="91" t="s">
        <v>690</v>
      </c>
    </row>
    <row r="102" spans="1:3" x14ac:dyDescent="0.2">
      <c r="A102" s="105"/>
      <c r="B102" s="3">
        <v>61</v>
      </c>
      <c r="C102" s="91" t="s">
        <v>691</v>
      </c>
    </row>
    <row r="103" spans="1:3" ht="15.75" thickBot="1" x14ac:dyDescent="0.25">
      <c r="A103" s="116"/>
      <c r="B103" s="8">
        <v>62</v>
      </c>
      <c r="C103" s="94" t="s">
        <v>692</v>
      </c>
    </row>
    <row r="104" spans="1:3" hidden="1" x14ac:dyDescent="0.2">
      <c r="A104" s="111">
        <f>SUM(A101:A103)</f>
        <v>0</v>
      </c>
      <c r="B104" s="112"/>
      <c r="C104" s="113"/>
    </row>
    <row r="105" spans="1:3" ht="15.75" thickBot="1" x14ac:dyDescent="0.25">
      <c r="A105" s="120"/>
      <c r="B105" s="4"/>
      <c r="C105" s="123" t="s">
        <v>132</v>
      </c>
    </row>
    <row r="106" spans="1:3" x14ac:dyDescent="0.2">
      <c r="A106" s="114">
        <f>IF(A110=3,1,0)</f>
        <v>0</v>
      </c>
      <c r="B106" s="5"/>
      <c r="C106" s="124" t="s">
        <v>693</v>
      </c>
    </row>
    <row r="107" spans="1:3" x14ac:dyDescent="0.2">
      <c r="A107" s="105"/>
      <c r="B107" s="3">
        <v>63</v>
      </c>
      <c r="C107" s="91" t="s">
        <v>694</v>
      </c>
    </row>
    <row r="108" spans="1:3" x14ac:dyDescent="0.2">
      <c r="A108" s="105"/>
      <c r="B108" s="3">
        <v>64</v>
      </c>
      <c r="C108" s="91" t="s">
        <v>695</v>
      </c>
    </row>
    <row r="109" spans="1:3" ht="15.75" thickBot="1" x14ac:dyDescent="0.25">
      <c r="A109" s="116"/>
      <c r="B109" s="8">
        <v>65</v>
      </c>
      <c r="C109" s="94" t="s">
        <v>696</v>
      </c>
    </row>
    <row r="110" spans="1:3" hidden="1" x14ac:dyDescent="0.2">
      <c r="A110" s="117">
        <f>SUM(A107:A109)</f>
        <v>0</v>
      </c>
      <c r="B110" s="118"/>
      <c r="C110" s="119"/>
    </row>
    <row r="111" spans="1:3" x14ac:dyDescent="0.2">
      <c r="A111" s="114">
        <f>IF(A116=4,1,0)</f>
        <v>0</v>
      </c>
      <c r="B111" s="5"/>
      <c r="C111" s="124" t="s">
        <v>697</v>
      </c>
    </row>
    <row r="112" spans="1:3" x14ac:dyDescent="0.2">
      <c r="A112" s="105"/>
      <c r="B112" s="3">
        <v>66</v>
      </c>
      <c r="C112" s="91" t="s">
        <v>698</v>
      </c>
    </row>
    <row r="113" spans="1:3" x14ac:dyDescent="0.2">
      <c r="A113" s="105"/>
      <c r="B113" s="3">
        <v>67</v>
      </c>
      <c r="C113" s="91" t="s">
        <v>701</v>
      </c>
    </row>
    <row r="114" spans="1:3" x14ac:dyDescent="0.2">
      <c r="A114" s="105"/>
      <c r="B114" s="3">
        <v>68</v>
      </c>
      <c r="C114" s="91" t="s">
        <v>699</v>
      </c>
    </row>
    <row r="115" spans="1:3" ht="15.75" thickBot="1" x14ac:dyDescent="0.25">
      <c r="A115" s="116"/>
      <c r="B115" s="8">
        <v>69</v>
      </c>
      <c r="C115" s="94" t="s">
        <v>700</v>
      </c>
    </row>
    <row r="116" spans="1:3" hidden="1" x14ac:dyDescent="0.2">
      <c r="A116" s="117">
        <f>SUM(A112:A115)</f>
        <v>0</v>
      </c>
      <c r="B116" s="118"/>
      <c r="C116" s="119"/>
    </row>
    <row r="117" spans="1:3" x14ac:dyDescent="0.2">
      <c r="A117" s="114">
        <f>IF(A121=3,1,0)</f>
        <v>0</v>
      </c>
      <c r="B117" s="5"/>
      <c r="C117" s="124" t="s">
        <v>702</v>
      </c>
    </row>
    <row r="118" spans="1:3" x14ac:dyDescent="0.2">
      <c r="A118" s="105"/>
      <c r="B118" s="3">
        <v>70</v>
      </c>
      <c r="C118" s="91" t="s">
        <v>703</v>
      </c>
    </row>
    <row r="119" spans="1:3" x14ac:dyDescent="0.2">
      <c r="A119" s="105"/>
      <c r="B119" s="3">
        <v>71</v>
      </c>
      <c r="C119" s="91" t="s">
        <v>704</v>
      </c>
    </row>
    <row r="120" spans="1:3" ht="15.75" thickBot="1" x14ac:dyDescent="0.25">
      <c r="A120" s="116"/>
      <c r="B120" s="8">
        <v>72</v>
      </c>
      <c r="C120" s="94" t="s">
        <v>705</v>
      </c>
    </row>
    <row r="121" spans="1:3" hidden="1" x14ac:dyDescent="0.2">
      <c r="A121" s="117">
        <f>SUM(A118:A120)</f>
        <v>0</v>
      </c>
      <c r="B121" s="118"/>
      <c r="C121" s="119"/>
    </row>
    <row r="122" spans="1:3" x14ac:dyDescent="0.2">
      <c r="A122" s="114">
        <f>IF(A125=2,1,0)</f>
        <v>0</v>
      </c>
      <c r="B122" s="5"/>
      <c r="C122" s="124" t="s">
        <v>706</v>
      </c>
    </row>
    <row r="123" spans="1:3" x14ac:dyDescent="0.2">
      <c r="A123" s="105"/>
      <c r="B123" s="3">
        <v>73</v>
      </c>
      <c r="C123" s="91" t="s">
        <v>707</v>
      </c>
    </row>
    <row r="124" spans="1:3" ht="15.75" thickBot="1" x14ac:dyDescent="0.25">
      <c r="A124" s="116"/>
      <c r="B124" s="8">
        <v>74</v>
      </c>
      <c r="C124" s="94" t="s">
        <v>708</v>
      </c>
    </row>
    <row r="125" spans="1:3" ht="15.75" hidden="1" thickBot="1" x14ac:dyDescent="0.25">
      <c r="A125" s="117">
        <f>SUM(A123:A124)</f>
        <v>0</v>
      </c>
      <c r="B125" s="118"/>
      <c r="C125" s="119"/>
    </row>
    <row r="126" spans="1:3" x14ac:dyDescent="0.2">
      <c r="A126" s="114">
        <f>IF(A130=3,1,0)</f>
        <v>0</v>
      </c>
      <c r="B126" s="5"/>
      <c r="C126" s="124" t="s">
        <v>709</v>
      </c>
    </row>
    <row r="127" spans="1:3" x14ac:dyDescent="0.2">
      <c r="A127" s="105"/>
      <c r="B127" s="3">
        <v>75</v>
      </c>
      <c r="C127" s="91" t="s">
        <v>710</v>
      </c>
    </row>
    <row r="128" spans="1:3" x14ac:dyDescent="0.2">
      <c r="A128" s="105"/>
      <c r="B128" s="3">
        <v>76</v>
      </c>
      <c r="C128" s="91" t="s">
        <v>711</v>
      </c>
    </row>
    <row r="129" spans="1:3" ht="15.75" thickBot="1" x14ac:dyDescent="0.25">
      <c r="A129" s="116"/>
      <c r="B129" s="8">
        <v>77</v>
      </c>
      <c r="C129" s="94" t="s">
        <v>712</v>
      </c>
    </row>
    <row r="130" spans="1:3" hidden="1" x14ac:dyDescent="0.2">
      <c r="A130" s="111">
        <f>SUM(A127:A129)</f>
        <v>0</v>
      </c>
      <c r="B130" s="112"/>
      <c r="C130" s="113"/>
    </row>
    <row r="131" spans="1:3" ht="15.75" thickBot="1" x14ac:dyDescent="0.25">
      <c r="A131" s="120"/>
      <c r="B131" s="4"/>
      <c r="C131" s="125" t="s">
        <v>155</v>
      </c>
    </row>
    <row r="132" spans="1:3" x14ac:dyDescent="0.2">
      <c r="A132" s="114">
        <f>IF(A136=3,1,0)</f>
        <v>0</v>
      </c>
      <c r="B132" s="5"/>
      <c r="C132" s="109" t="s">
        <v>713</v>
      </c>
    </row>
    <row r="133" spans="1:3" x14ac:dyDescent="0.2">
      <c r="A133" s="105"/>
      <c r="B133" s="3">
        <v>78</v>
      </c>
      <c r="C133" s="91" t="s">
        <v>714</v>
      </c>
    </row>
    <row r="134" spans="1:3" x14ac:dyDescent="0.2">
      <c r="A134" s="105"/>
      <c r="B134" s="3">
        <v>79</v>
      </c>
      <c r="C134" s="91" t="s">
        <v>715</v>
      </c>
    </row>
    <row r="135" spans="1:3" ht="15.75" thickBot="1" x14ac:dyDescent="0.25">
      <c r="A135" s="116"/>
      <c r="B135" s="8">
        <v>80</v>
      </c>
      <c r="C135" s="94" t="s">
        <v>716</v>
      </c>
    </row>
    <row r="136" spans="1:3" hidden="1" x14ac:dyDescent="0.2">
      <c r="A136" s="117">
        <f>SUM(A133:A135)</f>
        <v>0</v>
      </c>
      <c r="B136" s="118"/>
      <c r="C136" s="119"/>
    </row>
    <row r="137" spans="1:3" x14ac:dyDescent="0.2">
      <c r="A137" s="114">
        <f>IF(A141=3,1,0)</f>
        <v>0</v>
      </c>
      <c r="B137" s="5"/>
      <c r="C137" s="109" t="s">
        <v>717</v>
      </c>
    </row>
    <row r="138" spans="1:3" x14ac:dyDescent="0.2">
      <c r="A138" s="105"/>
      <c r="B138" s="3">
        <v>81</v>
      </c>
      <c r="C138" s="91" t="s">
        <v>718</v>
      </c>
    </row>
    <row r="139" spans="1:3" x14ac:dyDescent="0.2">
      <c r="A139" s="105"/>
      <c r="B139" s="3">
        <v>82</v>
      </c>
      <c r="C139" s="91" t="s">
        <v>719</v>
      </c>
    </row>
    <row r="140" spans="1:3" ht="15.75" thickBot="1" x14ac:dyDescent="0.25">
      <c r="A140" s="116"/>
      <c r="B140" s="8">
        <v>83</v>
      </c>
      <c r="C140" s="94" t="s">
        <v>720</v>
      </c>
    </row>
    <row r="141" spans="1:3" hidden="1" x14ac:dyDescent="0.2">
      <c r="A141" s="117">
        <f>SUM(A138:A140)</f>
        <v>0</v>
      </c>
      <c r="B141" s="118"/>
      <c r="C141" s="119"/>
    </row>
    <row r="142" spans="1:3" x14ac:dyDescent="0.2">
      <c r="A142" s="114">
        <f>IF(A147=4,1,0)</f>
        <v>0</v>
      </c>
      <c r="B142" s="5"/>
      <c r="C142" s="109" t="s">
        <v>721</v>
      </c>
    </row>
    <row r="143" spans="1:3" x14ac:dyDescent="0.2">
      <c r="A143" s="105"/>
      <c r="B143" s="3">
        <v>84</v>
      </c>
      <c r="C143" s="91" t="s">
        <v>722</v>
      </c>
    </row>
    <row r="144" spans="1:3" x14ac:dyDescent="0.2">
      <c r="A144" s="105"/>
      <c r="B144" s="3">
        <v>85</v>
      </c>
      <c r="C144" s="91" t="s">
        <v>723</v>
      </c>
    </row>
    <row r="145" spans="1:3" x14ac:dyDescent="0.2">
      <c r="A145" s="105"/>
      <c r="B145" s="3">
        <v>86</v>
      </c>
      <c r="C145" s="91" t="s">
        <v>724</v>
      </c>
    </row>
    <row r="146" spans="1:3" ht="15.75" thickBot="1" x14ac:dyDescent="0.25">
      <c r="A146" s="116"/>
      <c r="B146" s="8">
        <v>87</v>
      </c>
      <c r="C146" s="94" t="s">
        <v>725</v>
      </c>
    </row>
    <row r="147" spans="1:3" hidden="1" x14ac:dyDescent="0.2">
      <c r="A147" s="117">
        <f>SUM(A143:A146)</f>
        <v>0</v>
      </c>
      <c r="B147" s="118"/>
      <c r="C147" s="119"/>
    </row>
    <row r="148" spans="1:3" x14ac:dyDescent="0.2">
      <c r="A148" s="114">
        <f>IF(A150=1,1,0)</f>
        <v>0</v>
      </c>
      <c r="B148" s="5"/>
      <c r="C148" s="109" t="s">
        <v>726</v>
      </c>
    </row>
    <row r="149" spans="1:3" ht="55.5" thickBot="1" x14ac:dyDescent="0.25">
      <c r="A149" s="105"/>
      <c r="B149" s="3">
        <v>88</v>
      </c>
      <c r="C149" s="91" t="s">
        <v>950</v>
      </c>
    </row>
    <row r="150" spans="1:3" ht="15.75" hidden="1" thickBot="1" x14ac:dyDescent="0.25">
      <c r="A150" s="117">
        <f>A149</f>
        <v>0</v>
      </c>
      <c r="B150" s="118"/>
      <c r="C150" s="119"/>
    </row>
    <row r="151" spans="1:3" x14ac:dyDescent="0.2">
      <c r="A151" s="114">
        <f>IF(A155=3,1,0)</f>
        <v>0</v>
      </c>
      <c r="B151" s="5"/>
      <c r="C151" s="109" t="s">
        <v>727</v>
      </c>
    </row>
    <row r="152" spans="1:3" x14ac:dyDescent="0.2">
      <c r="A152" s="105"/>
      <c r="B152" s="3">
        <v>89</v>
      </c>
      <c r="C152" s="91" t="s">
        <v>728</v>
      </c>
    </row>
    <row r="153" spans="1:3" x14ac:dyDescent="0.2">
      <c r="A153" s="105"/>
      <c r="B153" s="3">
        <v>90</v>
      </c>
      <c r="C153" s="91" t="s">
        <v>729</v>
      </c>
    </row>
    <row r="154" spans="1:3" ht="15.75" thickBot="1" x14ac:dyDescent="0.25">
      <c r="A154" s="116"/>
      <c r="B154" s="8">
        <v>91</v>
      </c>
      <c r="C154" s="94" t="s">
        <v>730</v>
      </c>
    </row>
    <row r="155" spans="1:3" hidden="1" x14ac:dyDescent="0.2">
      <c r="A155" s="117">
        <f>SUM(A152:A154)</f>
        <v>0</v>
      </c>
      <c r="B155" s="118"/>
      <c r="C155" s="119"/>
    </row>
    <row r="156" spans="1:3" x14ac:dyDescent="0.2">
      <c r="A156" s="114">
        <f>IF(A160=3,1,0)</f>
        <v>0</v>
      </c>
      <c r="B156" s="5"/>
      <c r="C156" s="109" t="s">
        <v>731</v>
      </c>
    </row>
    <row r="157" spans="1:3" x14ac:dyDescent="0.2">
      <c r="A157" s="105"/>
      <c r="B157" s="3">
        <v>92</v>
      </c>
      <c r="C157" s="91" t="s">
        <v>732</v>
      </c>
    </row>
    <row r="158" spans="1:3" x14ac:dyDescent="0.2">
      <c r="A158" s="105"/>
      <c r="B158" s="3">
        <v>93</v>
      </c>
      <c r="C158" s="91" t="s">
        <v>733</v>
      </c>
    </row>
    <row r="159" spans="1:3" ht="15.75" thickBot="1" x14ac:dyDescent="0.25">
      <c r="A159" s="116"/>
      <c r="B159" s="8">
        <v>94</v>
      </c>
      <c r="C159" s="94" t="s">
        <v>734</v>
      </c>
    </row>
    <row r="160" spans="1:3" hidden="1" x14ac:dyDescent="0.2">
      <c r="A160" s="117">
        <f>SUM(A157:A159)</f>
        <v>0</v>
      </c>
      <c r="B160" s="118"/>
      <c r="C160" s="119"/>
    </row>
    <row r="161" spans="1:3" x14ac:dyDescent="0.2">
      <c r="A161" s="114">
        <f>IF(A166=4,1,0)</f>
        <v>0</v>
      </c>
      <c r="B161" s="5"/>
      <c r="C161" s="109" t="s">
        <v>735</v>
      </c>
    </row>
    <row r="162" spans="1:3" x14ac:dyDescent="0.2">
      <c r="A162" s="105"/>
      <c r="B162" s="3">
        <v>95</v>
      </c>
      <c r="C162" s="91" t="s">
        <v>736</v>
      </c>
    </row>
    <row r="163" spans="1:3" x14ac:dyDescent="0.2">
      <c r="A163" s="105"/>
      <c r="B163" s="3">
        <v>96</v>
      </c>
      <c r="C163" s="91" t="s">
        <v>737</v>
      </c>
    </row>
    <row r="164" spans="1:3" x14ac:dyDescent="0.2">
      <c r="A164" s="105"/>
      <c r="B164" s="3">
        <v>97</v>
      </c>
      <c r="C164" s="91" t="s">
        <v>738</v>
      </c>
    </row>
    <row r="165" spans="1:3" ht="15.75" thickBot="1" x14ac:dyDescent="0.25">
      <c r="A165" s="116"/>
      <c r="B165" s="8">
        <v>98</v>
      </c>
      <c r="C165" s="94" t="s">
        <v>739</v>
      </c>
    </row>
    <row r="166" spans="1:3" hidden="1" x14ac:dyDescent="0.2">
      <c r="A166" s="117">
        <f>SUM(A162:A165)</f>
        <v>0</v>
      </c>
      <c r="B166" s="118"/>
      <c r="C166" s="119"/>
    </row>
    <row r="167" spans="1:3" x14ac:dyDescent="0.2">
      <c r="A167" s="114">
        <f>IF(A173&gt;=1,1,0)</f>
        <v>0</v>
      </c>
      <c r="B167" s="5"/>
      <c r="C167" s="109" t="s">
        <v>740</v>
      </c>
    </row>
    <row r="168" spans="1:3" x14ac:dyDescent="0.2">
      <c r="A168" s="297"/>
      <c r="B168" s="3">
        <v>99</v>
      </c>
      <c r="C168" s="91" t="s">
        <v>741</v>
      </c>
    </row>
    <row r="169" spans="1:3" x14ac:dyDescent="0.2">
      <c r="A169" s="105"/>
      <c r="B169" s="3"/>
      <c r="C169" s="91" t="s">
        <v>766</v>
      </c>
    </row>
    <row r="170" spans="1:3" x14ac:dyDescent="0.2">
      <c r="A170" s="105"/>
      <c r="B170" s="3"/>
      <c r="C170" s="91" t="s">
        <v>742</v>
      </c>
    </row>
    <row r="171" spans="1:3" x14ac:dyDescent="0.2">
      <c r="A171" s="105"/>
      <c r="B171" s="3"/>
      <c r="C171" s="91" t="s">
        <v>744</v>
      </c>
    </row>
    <row r="172" spans="1:3" ht="15.75" thickBot="1" x14ac:dyDescent="0.25">
      <c r="A172" s="116"/>
      <c r="B172" s="8"/>
      <c r="C172" s="94" t="s">
        <v>743</v>
      </c>
    </row>
    <row r="173" spans="1:3" hidden="1" x14ac:dyDescent="0.2">
      <c r="A173" s="117">
        <f>SUM(A168:A172)</f>
        <v>0</v>
      </c>
      <c r="B173" s="118"/>
      <c r="C173" s="119"/>
    </row>
    <row r="174" spans="1:3" x14ac:dyDescent="0.2">
      <c r="A174" s="114">
        <f>IF(A179&gt;=3,1,0)</f>
        <v>0</v>
      </c>
      <c r="B174" s="5"/>
      <c r="C174" s="109" t="s">
        <v>745</v>
      </c>
    </row>
    <row r="175" spans="1:3" ht="27.75" x14ac:dyDescent="0.2">
      <c r="A175" s="105"/>
      <c r="B175" s="3">
        <v>100</v>
      </c>
      <c r="C175" s="91" t="s">
        <v>746</v>
      </c>
    </row>
    <row r="176" spans="1:3" x14ac:dyDescent="0.2">
      <c r="A176" s="105"/>
      <c r="B176" s="3">
        <v>101</v>
      </c>
      <c r="C176" s="91" t="s">
        <v>747</v>
      </c>
    </row>
    <row r="177" spans="1:3" x14ac:dyDescent="0.2">
      <c r="A177" s="105"/>
      <c r="B177" s="3">
        <v>102</v>
      </c>
      <c r="C177" s="91" t="s">
        <v>748</v>
      </c>
    </row>
    <row r="178" spans="1:3" ht="15.75" thickBot="1" x14ac:dyDescent="0.25">
      <c r="A178" s="116"/>
      <c r="B178" s="126">
        <f>IF(A178=1,3,0)</f>
        <v>0</v>
      </c>
      <c r="C178" s="127" t="s">
        <v>765</v>
      </c>
    </row>
    <row r="179" spans="1:3" hidden="1" x14ac:dyDescent="0.2">
      <c r="A179" s="111">
        <f>SUM(A175:A177)+B178</f>
        <v>0</v>
      </c>
      <c r="B179" s="112"/>
      <c r="C179" s="113"/>
    </row>
    <row r="180" spans="1:3" ht="15.75" thickBot="1" x14ac:dyDescent="0.25">
      <c r="A180" s="120"/>
      <c r="B180" s="4"/>
      <c r="C180" s="128" t="s">
        <v>749</v>
      </c>
    </row>
    <row r="181" spans="1:3" x14ac:dyDescent="0.2">
      <c r="A181" s="114">
        <f>IF(A185=3,1,0)</f>
        <v>0</v>
      </c>
      <c r="B181" s="5"/>
      <c r="C181" s="110" t="s">
        <v>750</v>
      </c>
    </row>
    <row r="182" spans="1:3" x14ac:dyDescent="0.2">
      <c r="A182" s="105"/>
      <c r="B182" s="3">
        <v>103</v>
      </c>
      <c r="C182" s="91" t="s">
        <v>751</v>
      </c>
    </row>
    <row r="183" spans="1:3" x14ac:dyDescent="0.2">
      <c r="A183" s="105"/>
      <c r="B183" s="3">
        <v>104</v>
      </c>
      <c r="C183" s="91" t="s">
        <v>752</v>
      </c>
    </row>
    <row r="184" spans="1:3" ht="15.75" thickBot="1" x14ac:dyDescent="0.25">
      <c r="A184" s="116"/>
      <c r="B184" s="8">
        <v>105</v>
      </c>
      <c r="C184" s="94" t="s">
        <v>753</v>
      </c>
    </row>
    <row r="185" spans="1:3" hidden="1" x14ac:dyDescent="0.2">
      <c r="A185" s="117">
        <f>SUM(A182:A184)</f>
        <v>0</v>
      </c>
      <c r="B185" s="118"/>
      <c r="C185" s="119"/>
    </row>
    <row r="186" spans="1:3" x14ac:dyDescent="0.2">
      <c r="A186" s="114">
        <f>IF(A190=3,1,0)</f>
        <v>0</v>
      </c>
      <c r="B186" s="5"/>
      <c r="C186" s="110" t="s">
        <v>754</v>
      </c>
    </row>
    <row r="187" spans="1:3" x14ac:dyDescent="0.2">
      <c r="A187" s="105"/>
      <c r="B187" s="3">
        <v>106</v>
      </c>
      <c r="C187" s="91" t="s">
        <v>755</v>
      </c>
    </row>
    <row r="188" spans="1:3" x14ac:dyDescent="0.2">
      <c r="A188" s="105"/>
      <c r="B188" s="3">
        <v>107</v>
      </c>
      <c r="C188" s="91" t="s">
        <v>756</v>
      </c>
    </row>
    <row r="189" spans="1:3" ht="15.75" thickBot="1" x14ac:dyDescent="0.25">
      <c r="A189" s="116"/>
      <c r="B189" s="8">
        <v>108</v>
      </c>
      <c r="C189" s="94" t="s">
        <v>757</v>
      </c>
    </row>
    <row r="190" spans="1:3" hidden="1" x14ac:dyDescent="0.2">
      <c r="A190" s="117">
        <f>SUM(A187:A189)</f>
        <v>0</v>
      </c>
      <c r="B190" s="118"/>
      <c r="C190" s="119"/>
    </row>
    <row r="191" spans="1:3" x14ac:dyDescent="0.2">
      <c r="A191" s="114">
        <f>IF(A195=3,1,0)</f>
        <v>0</v>
      </c>
      <c r="B191" s="5"/>
      <c r="C191" s="110" t="s">
        <v>758</v>
      </c>
    </row>
    <row r="192" spans="1:3" x14ac:dyDescent="0.2">
      <c r="A192" s="105"/>
      <c r="B192" s="3">
        <v>109</v>
      </c>
      <c r="C192" s="91" t="s">
        <v>759</v>
      </c>
    </row>
    <row r="193" spans="1:3" x14ac:dyDescent="0.2">
      <c r="A193" s="105"/>
      <c r="B193" s="3">
        <v>110</v>
      </c>
      <c r="C193" s="91" t="s">
        <v>760</v>
      </c>
    </row>
    <row r="194" spans="1:3" ht="15.75" thickBot="1" x14ac:dyDescent="0.25">
      <c r="A194" s="116"/>
      <c r="B194" s="8">
        <v>111</v>
      </c>
      <c r="C194" s="94" t="s">
        <v>761</v>
      </c>
    </row>
    <row r="195" spans="1:3" hidden="1" x14ac:dyDescent="0.2">
      <c r="A195" s="117">
        <f>SUM(A192:A194)</f>
        <v>0</v>
      </c>
      <c r="B195" s="118"/>
      <c r="C195" s="119"/>
    </row>
    <row r="196" spans="1:3" x14ac:dyDescent="0.2">
      <c r="A196" s="114">
        <f>IF(A199=2,1,0)</f>
        <v>0</v>
      </c>
      <c r="B196" s="5"/>
      <c r="C196" s="110" t="s">
        <v>762</v>
      </c>
    </row>
    <row r="197" spans="1:3" x14ac:dyDescent="0.2">
      <c r="A197" s="105"/>
      <c r="B197" s="3">
        <v>112</v>
      </c>
      <c r="C197" s="91" t="s">
        <v>763</v>
      </c>
    </row>
    <row r="198" spans="1:3" ht="15.75" thickBot="1" x14ac:dyDescent="0.25">
      <c r="A198" s="116"/>
      <c r="B198" s="8">
        <v>113</v>
      </c>
      <c r="C198" s="94" t="s">
        <v>764</v>
      </c>
    </row>
    <row r="199" spans="1:3" hidden="1" x14ac:dyDescent="0.2">
      <c r="A199" s="112">
        <f>SUM(A197:A198)</f>
        <v>0</v>
      </c>
      <c r="B199" s="112"/>
      <c r="C199" s="113"/>
    </row>
  </sheetData>
  <sheetProtection sheet="1" objects="1" scenarios="1"/>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194E9-9AD8-4B8B-A8AF-05E0DC5FE5A1}">
  <dimension ref="A1:AA1007"/>
  <sheetViews>
    <sheetView showZeros="0" zoomScaleNormal="100" workbookViewId="0">
      <pane ySplit="6" topLeftCell="A7" activePane="bottomLeft" state="frozen"/>
      <selection pane="bottomLeft" sqref="A1:G2"/>
    </sheetView>
  </sheetViews>
  <sheetFormatPr defaultColWidth="14.390625" defaultRowHeight="15" x14ac:dyDescent="0.2"/>
  <cols>
    <col min="1" max="1" width="38.203125" style="191" customWidth="1"/>
    <col min="2" max="4" width="6.05078125" style="191" bestFit="1" customWidth="1"/>
    <col min="5" max="5" width="0.53515625" style="191" customWidth="1"/>
    <col min="6" max="6" width="6.05078125" style="191" bestFit="1" customWidth="1"/>
    <col min="7" max="7" width="6.859375" style="191" bestFit="1" customWidth="1"/>
    <col min="8" max="8" width="9.81640625" style="191" hidden="1" customWidth="1"/>
    <col min="9" max="10" width="3.2265625" style="194" customWidth="1"/>
    <col min="11" max="11" width="2.5546875" style="194" customWidth="1"/>
    <col min="12" max="12" width="2.95703125" style="191" customWidth="1"/>
    <col min="13" max="27" width="8.7421875" style="191" customWidth="1"/>
    <col min="28" max="16384" width="14.390625" style="191"/>
  </cols>
  <sheetData>
    <row r="1" spans="1:27" ht="15" customHeight="1" x14ac:dyDescent="0.2">
      <c r="A1" s="335" t="s">
        <v>970</v>
      </c>
      <c r="B1" s="336"/>
      <c r="C1" s="336"/>
      <c r="D1" s="336"/>
      <c r="E1" s="336"/>
      <c r="F1" s="336"/>
      <c r="G1" s="337"/>
      <c r="H1" s="190"/>
      <c r="I1" s="190"/>
      <c r="J1" s="190"/>
      <c r="K1" s="190"/>
    </row>
    <row r="2" spans="1:27" ht="45.75" customHeight="1" thickBot="1" x14ac:dyDescent="0.25">
      <c r="A2" s="338"/>
      <c r="B2" s="339"/>
      <c r="C2" s="339"/>
      <c r="D2" s="339"/>
      <c r="E2" s="339"/>
      <c r="F2" s="339"/>
      <c r="G2" s="340"/>
      <c r="H2" s="190"/>
      <c r="I2" s="190"/>
      <c r="J2" s="190"/>
      <c r="K2" s="190"/>
    </row>
    <row r="3" spans="1:27" ht="15.75" thickBot="1" x14ac:dyDescent="0.25">
      <c r="A3" s="344" t="s">
        <v>969</v>
      </c>
      <c r="B3" s="345"/>
      <c r="C3" s="345"/>
      <c r="D3" s="345"/>
      <c r="E3" s="345"/>
      <c r="F3" s="345"/>
      <c r="G3" s="346"/>
      <c r="H3" s="190"/>
      <c r="I3" s="190"/>
      <c r="J3" s="190"/>
      <c r="K3" s="190"/>
    </row>
    <row r="4" spans="1:27" ht="15.75" thickBot="1" x14ac:dyDescent="0.25">
      <c r="A4" s="190"/>
      <c r="B4" s="190"/>
      <c r="C4" s="190"/>
      <c r="D4" s="190"/>
      <c r="E4" s="192"/>
      <c r="F4" s="190"/>
      <c r="G4" s="190"/>
      <c r="H4" s="190"/>
      <c r="I4" s="190"/>
      <c r="J4" s="190"/>
      <c r="K4" s="190"/>
    </row>
    <row r="5" spans="1:27" ht="15.75" thickBot="1" x14ac:dyDescent="0.25">
      <c r="B5" s="341" t="s">
        <v>960</v>
      </c>
      <c r="C5" s="342"/>
      <c r="D5" s="343"/>
      <c r="E5" s="193"/>
      <c r="F5" s="341" t="s">
        <v>961</v>
      </c>
      <c r="G5" s="343"/>
    </row>
    <row r="6" spans="1:27" ht="57" customHeight="1" thickBot="1" x14ac:dyDescent="0.25">
      <c r="A6" s="195" t="s">
        <v>900</v>
      </c>
      <c r="B6" s="196" t="s">
        <v>962</v>
      </c>
      <c r="C6" s="197" t="s">
        <v>963</v>
      </c>
      <c r="D6" s="198" t="s">
        <v>964</v>
      </c>
      <c r="E6" s="199"/>
      <c r="F6" s="200" t="s">
        <v>962</v>
      </c>
      <c r="G6" s="201" t="s">
        <v>963</v>
      </c>
      <c r="H6" s="202"/>
      <c r="I6" s="203"/>
      <c r="J6" s="203"/>
      <c r="K6" s="203"/>
      <c r="L6" s="204"/>
      <c r="M6" s="204"/>
      <c r="N6" s="204"/>
      <c r="O6" s="204"/>
      <c r="P6" s="204"/>
      <c r="Q6" s="204"/>
      <c r="R6" s="204"/>
      <c r="S6" s="204"/>
      <c r="T6" s="204"/>
      <c r="U6" s="204"/>
      <c r="V6" s="204"/>
      <c r="W6" s="204"/>
      <c r="X6" s="204"/>
      <c r="Y6" s="204"/>
      <c r="Z6" s="204"/>
      <c r="AA6" s="204"/>
    </row>
    <row r="7" spans="1:27" ht="15.75" customHeight="1" x14ac:dyDescent="0.2">
      <c r="A7" s="205" t="s">
        <v>266</v>
      </c>
      <c r="B7" s="139"/>
      <c r="C7" s="140"/>
      <c r="D7" s="141"/>
      <c r="E7" s="206"/>
      <c r="F7" s="207">
        <f>IF(B7&gt;0,1,0)</f>
        <v>0</v>
      </c>
      <c r="G7" s="208" t="str">
        <f>IF(OR(C7&gt;0,D7&gt;0),"1","")</f>
        <v/>
      </c>
      <c r="H7" s="209">
        <f>IF(OR(C7=1,D7=1),1,0)</f>
        <v>0</v>
      </c>
      <c r="I7" s="75"/>
      <c r="J7" s="75"/>
      <c r="K7" s="75"/>
      <c r="L7" s="204"/>
      <c r="M7" s="204"/>
      <c r="N7" s="204"/>
      <c r="O7" s="204"/>
      <c r="P7" s="204"/>
      <c r="Q7" s="204"/>
      <c r="R7" s="204"/>
      <c r="S7" s="204"/>
      <c r="T7" s="204"/>
      <c r="U7" s="204"/>
      <c r="V7" s="204"/>
      <c r="W7" s="204"/>
      <c r="X7" s="204"/>
      <c r="Y7" s="204"/>
      <c r="Z7" s="204"/>
      <c r="AA7" s="204"/>
    </row>
    <row r="8" spans="1:27" ht="17.25" customHeight="1" x14ac:dyDescent="0.2">
      <c r="A8" s="210" t="s">
        <v>267</v>
      </c>
      <c r="B8" s="142"/>
      <c r="C8" s="138"/>
      <c r="D8" s="143"/>
      <c r="E8" s="211"/>
      <c r="F8" s="212">
        <f>IF(B8&gt;0,1,0)</f>
        <v>0</v>
      </c>
      <c r="G8" s="213" t="str">
        <f>IF(OR(C8&gt;0,D8&gt;0),"1","")</f>
        <v/>
      </c>
      <c r="H8" s="209">
        <f>IF(OR(C8=1,D8=1),1,0)</f>
        <v>0</v>
      </c>
      <c r="I8" s="75"/>
      <c r="J8" s="75"/>
      <c r="K8" s="75"/>
      <c r="L8" s="204"/>
      <c r="M8" s="204"/>
      <c r="N8" s="204"/>
      <c r="O8" s="204"/>
      <c r="P8" s="204"/>
      <c r="Q8" s="204"/>
      <c r="R8" s="204"/>
      <c r="S8" s="204"/>
      <c r="T8" s="204"/>
      <c r="U8" s="204"/>
      <c r="V8" s="204"/>
      <c r="W8" s="204"/>
      <c r="X8" s="204"/>
      <c r="Y8" s="204"/>
      <c r="Z8" s="204"/>
      <c r="AA8" s="204"/>
    </row>
    <row r="9" spans="1:27" ht="15.75" customHeight="1" x14ac:dyDescent="0.2">
      <c r="A9" s="210" t="s">
        <v>268</v>
      </c>
      <c r="B9" s="142"/>
      <c r="C9" s="138"/>
      <c r="D9" s="143"/>
      <c r="E9" s="211"/>
      <c r="F9" s="212">
        <f t="shared" ref="F9:F53" si="0">IF(B9&gt;0,1,0)</f>
        <v>0</v>
      </c>
      <c r="G9" s="213" t="str">
        <f t="shared" ref="G9:G72" si="1">IF(OR(C9&gt;0,D9&gt;0),"1","")</f>
        <v/>
      </c>
      <c r="H9" s="209">
        <f t="shared" ref="H9:H72" si="2">IF(OR(C9=1,D9=1),1,0)</f>
        <v>0</v>
      </c>
      <c r="I9" s="75"/>
      <c r="J9" s="75"/>
      <c r="K9" s="75"/>
      <c r="L9" s="204"/>
      <c r="M9" s="204"/>
      <c r="N9" s="204"/>
      <c r="O9" s="204"/>
      <c r="P9" s="204"/>
      <c r="Q9" s="204"/>
      <c r="R9" s="204"/>
      <c r="S9" s="204"/>
      <c r="T9" s="204"/>
      <c r="U9" s="204"/>
      <c r="V9" s="204"/>
      <c r="W9" s="204"/>
      <c r="X9" s="204"/>
      <c r="Y9" s="204"/>
      <c r="Z9" s="204"/>
      <c r="AA9" s="204"/>
    </row>
    <row r="10" spans="1:27" ht="15.75" customHeight="1" x14ac:dyDescent="0.2">
      <c r="A10" s="210" t="s">
        <v>269</v>
      </c>
      <c r="B10" s="142"/>
      <c r="C10" s="138"/>
      <c r="D10" s="143"/>
      <c r="E10" s="211"/>
      <c r="F10" s="212">
        <f t="shared" si="0"/>
        <v>0</v>
      </c>
      <c r="G10" s="213" t="str">
        <f t="shared" si="1"/>
        <v/>
      </c>
      <c r="H10" s="209">
        <f t="shared" si="2"/>
        <v>0</v>
      </c>
      <c r="I10" s="75"/>
      <c r="J10" s="75"/>
      <c r="K10" s="75"/>
      <c r="L10" s="204"/>
      <c r="M10" s="204"/>
      <c r="N10" s="204"/>
      <c r="O10" s="204"/>
      <c r="P10" s="204"/>
      <c r="Q10" s="204"/>
      <c r="R10" s="204"/>
      <c r="S10" s="204"/>
      <c r="T10" s="204"/>
      <c r="U10" s="204"/>
      <c r="V10" s="204"/>
      <c r="W10" s="204"/>
      <c r="X10" s="204"/>
      <c r="Y10" s="204"/>
      <c r="Z10" s="204"/>
      <c r="AA10" s="204"/>
    </row>
    <row r="11" spans="1:27" ht="15.75" customHeight="1" x14ac:dyDescent="0.2">
      <c r="A11" s="210" t="s">
        <v>270</v>
      </c>
      <c r="B11" s="142"/>
      <c r="C11" s="138"/>
      <c r="D11" s="143"/>
      <c r="E11" s="211"/>
      <c r="F11" s="212">
        <f t="shared" si="0"/>
        <v>0</v>
      </c>
      <c r="G11" s="213" t="str">
        <f t="shared" si="1"/>
        <v/>
      </c>
      <c r="H11" s="209">
        <f t="shared" si="2"/>
        <v>0</v>
      </c>
      <c r="I11" s="75"/>
      <c r="J11" s="75"/>
      <c r="K11" s="75"/>
      <c r="L11" s="204"/>
      <c r="M11" s="204"/>
      <c r="N11" s="204"/>
      <c r="O11" s="204"/>
      <c r="P11" s="204"/>
      <c r="Q11" s="204"/>
      <c r="R11" s="204"/>
      <c r="S11" s="204"/>
      <c r="T11" s="204"/>
      <c r="U11" s="204"/>
      <c r="V11" s="204"/>
      <c r="W11" s="204"/>
      <c r="X11" s="204"/>
      <c r="Y11" s="204"/>
      <c r="Z11" s="204"/>
      <c r="AA11" s="204"/>
    </row>
    <row r="12" spans="1:27" ht="15.75" customHeight="1" x14ac:dyDescent="0.2">
      <c r="A12" s="210" t="s">
        <v>271</v>
      </c>
      <c r="B12" s="142"/>
      <c r="C12" s="138"/>
      <c r="D12" s="143"/>
      <c r="E12" s="211"/>
      <c r="F12" s="212">
        <f t="shared" si="0"/>
        <v>0</v>
      </c>
      <c r="G12" s="213" t="str">
        <f t="shared" si="1"/>
        <v/>
      </c>
      <c r="H12" s="209">
        <f t="shared" si="2"/>
        <v>0</v>
      </c>
      <c r="I12" s="75"/>
      <c r="J12" s="75"/>
      <c r="K12" s="75"/>
      <c r="L12" s="204"/>
      <c r="M12" s="204"/>
      <c r="N12" s="204"/>
      <c r="O12" s="204"/>
      <c r="P12" s="204"/>
      <c r="Q12" s="204"/>
      <c r="R12" s="204"/>
      <c r="S12" s="204"/>
      <c r="T12" s="204"/>
      <c r="U12" s="204"/>
      <c r="V12" s="204"/>
      <c r="W12" s="204"/>
      <c r="X12" s="204"/>
      <c r="Y12" s="204"/>
      <c r="Z12" s="204"/>
      <c r="AA12" s="204"/>
    </row>
    <row r="13" spans="1:27" ht="15.75" customHeight="1" x14ac:dyDescent="0.2">
      <c r="A13" s="210" t="s">
        <v>272</v>
      </c>
      <c r="B13" s="142"/>
      <c r="C13" s="138"/>
      <c r="D13" s="143"/>
      <c r="E13" s="211"/>
      <c r="F13" s="212">
        <f t="shared" si="0"/>
        <v>0</v>
      </c>
      <c r="G13" s="213" t="str">
        <f t="shared" si="1"/>
        <v/>
      </c>
      <c r="H13" s="209">
        <f t="shared" si="2"/>
        <v>0</v>
      </c>
      <c r="I13" s="75"/>
      <c r="J13" s="75"/>
      <c r="K13" s="75"/>
      <c r="L13" s="204"/>
      <c r="M13" s="204"/>
      <c r="N13" s="204"/>
      <c r="O13" s="204"/>
      <c r="P13" s="204"/>
      <c r="Q13" s="204"/>
      <c r="R13" s="204"/>
      <c r="S13" s="204"/>
      <c r="T13" s="204"/>
      <c r="U13" s="204"/>
      <c r="V13" s="204"/>
      <c r="W13" s="204"/>
      <c r="X13" s="204"/>
      <c r="Y13" s="204"/>
      <c r="Z13" s="204"/>
      <c r="AA13" s="204"/>
    </row>
    <row r="14" spans="1:27" ht="15.75" customHeight="1" x14ac:dyDescent="0.2">
      <c r="A14" s="210" t="s">
        <v>273</v>
      </c>
      <c r="B14" s="142"/>
      <c r="C14" s="138"/>
      <c r="D14" s="143"/>
      <c r="E14" s="211"/>
      <c r="F14" s="212">
        <f t="shared" si="0"/>
        <v>0</v>
      </c>
      <c r="G14" s="213" t="str">
        <f t="shared" si="1"/>
        <v/>
      </c>
      <c r="H14" s="209">
        <f t="shared" si="2"/>
        <v>0</v>
      </c>
      <c r="I14" s="75"/>
      <c r="J14" s="75"/>
      <c r="K14" s="75"/>
      <c r="L14" s="204"/>
      <c r="M14" s="204"/>
      <c r="N14" s="204"/>
      <c r="O14" s="204"/>
      <c r="P14" s="204"/>
      <c r="Q14" s="204"/>
      <c r="R14" s="204"/>
      <c r="S14" s="204"/>
      <c r="T14" s="204"/>
      <c r="U14" s="204"/>
      <c r="V14" s="204"/>
      <c r="W14" s="204"/>
      <c r="X14" s="204"/>
      <c r="Y14" s="204"/>
      <c r="Z14" s="204"/>
      <c r="AA14" s="204"/>
    </row>
    <row r="15" spans="1:27" ht="15.75" customHeight="1" x14ac:dyDescent="0.2">
      <c r="A15" s="210" t="s">
        <v>274</v>
      </c>
      <c r="B15" s="142"/>
      <c r="C15" s="138"/>
      <c r="D15" s="143"/>
      <c r="E15" s="211"/>
      <c r="F15" s="212">
        <f t="shared" si="0"/>
        <v>0</v>
      </c>
      <c r="G15" s="213" t="str">
        <f t="shared" si="1"/>
        <v/>
      </c>
      <c r="H15" s="209">
        <f t="shared" si="2"/>
        <v>0</v>
      </c>
      <c r="I15" s="75"/>
      <c r="J15" s="75"/>
      <c r="K15" s="75"/>
      <c r="L15" s="204"/>
      <c r="M15" s="204"/>
      <c r="N15" s="204"/>
      <c r="O15" s="204"/>
      <c r="P15" s="204"/>
      <c r="Q15" s="204"/>
      <c r="R15" s="204"/>
      <c r="S15" s="204"/>
      <c r="T15" s="204"/>
      <c r="U15" s="204"/>
      <c r="V15" s="204"/>
      <c r="W15" s="204"/>
      <c r="X15" s="204"/>
      <c r="Y15" s="204"/>
      <c r="Z15" s="204"/>
      <c r="AA15" s="204"/>
    </row>
    <row r="16" spans="1:27" ht="46.5" customHeight="1" x14ac:dyDescent="0.2">
      <c r="A16" s="214" t="s">
        <v>1044</v>
      </c>
      <c r="B16" s="142"/>
      <c r="C16" s="138"/>
      <c r="D16" s="143"/>
      <c r="E16" s="211"/>
      <c r="F16" s="212">
        <f t="shared" si="0"/>
        <v>0</v>
      </c>
      <c r="G16" s="213" t="str">
        <f t="shared" si="1"/>
        <v/>
      </c>
      <c r="H16" s="209">
        <f t="shared" si="2"/>
        <v>0</v>
      </c>
      <c r="I16" s="75"/>
      <c r="J16" s="75"/>
      <c r="K16" s="75"/>
      <c r="L16" s="204"/>
      <c r="M16" s="204"/>
      <c r="N16" s="204"/>
      <c r="O16" s="204"/>
      <c r="P16" s="204"/>
      <c r="Q16" s="204"/>
      <c r="R16" s="204"/>
      <c r="S16" s="204"/>
      <c r="T16" s="204"/>
      <c r="U16" s="204"/>
      <c r="V16" s="204"/>
      <c r="W16" s="204"/>
      <c r="X16" s="204"/>
      <c r="Y16" s="204"/>
      <c r="Z16" s="204"/>
      <c r="AA16" s="204"/>
    </row>
    <row r="17" spans="1:27" ht="15.75" customHeight="1" x14ac:dyDescent="0.2">
      <c r="A17" s="210" t="s">
        <v>275</v>
      </c>
      <c r="B17" s="142"/>
      <c r="C17" s="138"/>
      <c r="D17" s="143"/>
      <c r="E17" s="211"/>
      <c r="F17" s="212">
        <f t="shared" si="0"/>
        <v>0</v>
      </c>
      <c r="G17" s="213" t="str">
        <f t="shared" si="1"/>
        <v/>
      </c>
      <c r="H17" s="209">
        <f t="shared" si="2"/>
        <v>0</v>
      </c>
      <c r="I17" s="75"/>
      <c r="J17" s="75"/>
      <c r="K17" s="75"/>
      <c r="L17" s="204"/>
      <c r="M17" s="204"/>
      <c r="N17" s="204"/>
      <c r="O17" s="204"/>
      <c r="P17" s="204"/>
      <c r="Q17" s="204"/>
      <c r="R17" s="204"/>
      <c r="S17" s="204"/>
      <c r="T17" s="204"/>
      <c r="U17" s="204"/>
      <c r="V17" s="204"/>
      <c r="W17" s="204"/>
      <c r="X17" s="204"/>
      <c r="Y17" s="204"/>
      <c r="Z17" s="204"/>
      <c r="AA17" s="204"/>
    </row>
    <row r="18" spans="1:27" ht="15.75" customHeight="1" x14ac:dyDescent="0.2">
      <c r="A18" s="210" t="s">
        <v>276</v>
      </c>
      <c r="B18" s="142"/>
      <c r="C18" s="138"/>
      <c r="D18" s="143"/>
      <c r="E18" s="211"/>
      <c r="F18" s="212">
        <f t="shared" si="0"/>
        <v>0</v>
      </c>
      <c r="G18" s="213" t="str">
        <f t="shared" si="1"/>
        <v/>
      </c>
      <c r="H18" s="209">
        <f t="shared" si="2"/>
        <v>0</v>
      </c>
      <c r="I18" s="75"/>
      <c r="J18" s="75"/>
      <c r="K18" s="75"/>
      <c r="L18" s="204"/>
      <c r="M18" s="204"/>
      <c r="N18" s="204"/>
      <c r="O18" s="204"/>
      <c r="P18" s="204"/>
      <c r="Q18" s="204"/>
      <c r="R18" s="204"/>
      <c r="S18" s="204"/>
      <c r="T18" s="204"/>
      <c r="U18" s="204"/>
      <c r="V18" s="204"/>
      <c r="W18" s="204"/>
      <c r="X18" s="204"/>
      <c r="Y18" s="204"/>
      <c r="Z18" s="204"/>
      <c r="AA18" s="204"/>
    </row>
    <row r="19" spans="1:27" ht="15.75" customHeight="1" x14ac:dyDescent="0.2">
      <c r="A19" s="210" t="s">
        <v>277</v>
      </c>
      <c r="B19" s="142"/>
      <c r="C19" s="138"/>
      <c r="D19" s="143"/>
      <c r="E19" s="211"/>
      <c r="F19" s="212">
        <f t="shared" si="0"/>
        <v>0</v>
      </c>
      <c r="G19" s="213" t="str">
        <f t="shared" si="1"/>
        <v/>
      </c>
      <c r="H19" s="209">
        <f t="shared" si="2"/>
        <v>0</v>
      </c>
      <c r="I19" s="75"/>
      <c r="J19" s="75"/>
      <c r="K19" s="75"/>
      <c r="L19" s="204"/>
      <c r="M19" s="204"/>
      <c r="N19" s="204"/>
      <c r="O19" s="204"/>
      <c r="P19" s="204"/>
      <c r="Q19" s="204"/>
      <c r="R19" s="204"/>
      <c r="S19" s="204"/>
      <c r="T19" s="204"/>
      <c r="U19" s="204"/>
      <c r="V19" s="204"/>
      <c r="W19" s="204"/>
      <c r="X19" s="204"/>
      <c r="Y19" s="204"/>
      <c r="Z19" s="204"/>
      <c r="AA19" s="204"/>
    </row>
    <row r="20" spans="1:27" ht="15.75" customHeight="1" x14ac:dyDescent="0.2">
      <c r="A20" s="210" t="s">
        <v>278</v>
      </c>
      <c r="B20" s="142"/>
      <c r="C20" s="138"/>
      <c r="D20" s="143"/>
      <c r="E20" s="211"/>
      <c r="F20" s="212">
        <f t="shared" si="0"/>
        <v>0</v>
      </c>
      <c r="G20" s="213" t="str">
        <f t="shared" si="1"/>
        <v/>
      </c>
      <c r="H20" s="209">
        <f t="shared" si="2"/>
        <v>0</v>
      </c>
      <c r="I20" s="75"/>
      <c r="J20" s="75"/>
      <c r="K20" s="75"/>
      <c r="L20" s="204"/>
      <c r="M20" s="204"/>
      <c r="N20" s="204"/>
      <c r="O20" s="204"/>
      <c r="P20" s="204"/>
      <c r="Q20" s="204"/>
      <c r="R20" s="204"/>
      <c r="S20" s="204"/>
      <c r="T20" s="204"/>
      <c r="U20" s="204"/>
      <c r="V20" s="204"/>
      <c r="W20" s="204"/>
      <c r="X20" s="204"/>
      <c r="Y20" s="204"/>
      <c r="Z20" s="204"/>
      <c r="AA20" s="204"/>
    </row>
    <row r="21" spans="1:27" ht="15.75" customHeight="1" x14ac:dyDescent="0.2">
      <c r="A21" s="210" t="s">
        <v>279</v>
      </c>
      <c r="B21" s="142"/>
      <c r="C21" s="138"/>
      <c r="D21" s="143"/>
      <c r="E21" s="211"/>
      <c r="F21" s="212">
        <f t="shared" si="0"/>
        <v>0</v>
      </c>
      <c r="G21" s="213" t="str">
        <f t="shared" si="1"/>
        <v/>
      </c>
      <c r="H21" s="209">
        <f t="shared" si="2"/>
        <v>0</v>
      </c>
      <c r="I21" s="75"/>
      <c r="J21" s="75"/>
      <c r="K21" s="75"/>
      <c r="L21" s="204"/>
      <c r="M21" s="204"/>
      <c r="N21" s="204"/>
      <c r="O21" s="204"/>
      <c r="P21" s="204"/>
      <c r="Q21" s="204"/>
      <c r="R21" s="204"/>
      <c r="S21" s="204"/>
      <c r="T21" s="204"/>
      <c r="U21" s="204"/>
      <c r="V21" s="204"/>
      <c r="W21" s="204"/>
      <c r="X21" s="204"/>
      <c r="Y21" s="204"/>
      <c r="Z21" s="204"/>
      <c r="AA21" s="204"/>
    </row>
    <row r="22" spans="1:27" ht="15.75" customHeight="1" x14ac:dyDescent="0.2">
      <c r="A22" s="210" t="s">
        <v>280</v>
      </c>
      <c r="B22" s="142"/>
      <c r="C22" s="138"/>
      <c r="D22" s="143"/>
      <c r="E22" s="211"/>
      <c r="F22" s="212">
        <f t="shared" si="0"/>
        <v>0</v>
      </c>
      <c r="G22" s="213" t="str">
        <f t="shared" si="1"/>
        <v/>
      </c>
      <c r="H22" s="209">
        <f t="shared" si="2"/>
        <v>0</v>
      </c>
      <c r="I22" s="75"/>
      <c r="J22" s="75"/>
      <c r="K22" s="75"/>
      <c r="L22" s="204"/>
      <c r="M22" s="204"/>
      <c r="N22" s="204"/>
      <c r="O22" s="204"/>
      <c r="P22" s="204"/>
      <c r="Q22" s="204"/>
      <c r="R22" s="204"/>
      <c r="S22" s="204"/>
      <c r="T22" s="204"/>
      <c r="U22" s="204"/>
      <c r="V22" s="204"/>
      <c r="W22" s="204"/>
      <c r="X22" s="204"/>
      <c r="Y22" s="204"/>
      <c r="Z22" s="204"/>
      <c r="AA22" s="204"/>
    </row>
    <row r="23" spans="1:27" ht="15.75" customHeight="1" x14ac:dyDescent="0.2">
      <c r="A23" s="210" t="s">
        <v>281</v>
      </c>
      <c r="B23" s="142"/>
      <c r="C23" s="138"/>
      <c r="D23" s="143"/>
      <c r="E23" s="211"/>
      <c r="F23" s="212">
        <f t="shared" si="0"/>
        <v>0</v>
      </c>
      <c r="G23" s="213" t="str">
        <f t="shared" si="1"/>
        <v/>
      </c>
      <c r="H23" s="209">
        <f t="shared" si="2"/>
        <v>0</v>
      </c>
      <c r="I23" s="75"/>
      <c r="J23" s="75"/>
      <c r="K23" s="75"/>
      <c r="L23" s="204"/>
      <c r="M23" s="204"/>
      <c r="N23" s="204"/>
      <c r="O23" s="204"/>
      <c r="P23" s="204"/>
      <c r="Q23" s="204"/>
      <c r="R23" s="204"/>
      <c r="S23" s="204"/>
      <c r="T23" s="204"/>
      <c r="U23" s="204"/>
      <c r="V23" s="204"/>
      <c r="W23" s="204"/>
      <c r="X23" s="204"/>
      <c r="Y23" s="204"/>
      <c r="Z23" s="204"/>
      <c r="AA23" s="204"/>
    </row>
    <row r="24" spans="1:27" ht="15.75" customHeight="1" x14ac:dyDescent="0.2">
      <c r="A24" s="210" t="s">
        <v>282</v>
      </c>
      <c r="B24" s="142"/>
      <c r="C24" s="138"/>
      <c r="D24" s="143"/>
      <c r="E24" s="211"/>
      <c r="F24" s="212">
        <f t="shared" si="0"/>
        <v>0</v>
      </c>
      <c r="G24" s="213" t="str">
        <f t="shared" si="1"/>
        <v/>
      </c>
      <c r="H24" s="209">
        <f t="shared" si="2"/>
        <v>0</v>
      </c>
      <c r="I24" s="75"/>
      <c r="J24" s="75"/>
      <c r="K24" s="75"/>
      <c r="L24" s="204"/>
      <c r="M24" s="204"/>
      <c r="N24" s="204"/>
      <c r="O24" s="204"/>
      <c r="P24" s="204"/>
      <c r="Q24" s="204"/>
      <c r="R24" s="204"/>
      <c r="S24" s="204"/>
      <c r="T24" s="204"/>
      <c r="U24" s="204"/>
      <c r="V24" s="204"/>
      <c r="W24" s="204"/>
      <c r="X24" s="204"/>
      <c r="Y24" s="204"/>
      <c r="Z24" s="204"/>
      <c r="AA24" s="204"/>
    </row>
    <row r="25" spans="1:27" ht="15.75" customHeight="1" x14ac:dyDescent="0.2">
      <c r="A25" s="210" t="s">
        <v>283</v>
      </c>
      <c r="B25" s="142"/>
      <c r="C25" s="138"/>
      <c r="D25" s="143"/>
      <c r="E25" s="211"/>
      <c r="F25" s="212">
        <f t="shared" si="0"/>
        <v>0</v>
      </c>
      <c r="G25" s="213" t="str">
        <f t="shared" si="1"/>
        <v/>
      </c>
      <c r="H25" s="209">
        <f t="shared" si="2"/>
        <v>0</v>
      </c>
      <c r="I25" s="75"/>
      <c r="J25" s="75"/>
      <c r="K25" s="75"/>
      <c r="L25" s="204"/>
      <c r="M25" s="204"/>
      <c r="N25" s="204"/>
      <c r="O25" s="204"/>
      <c r="P25" s="204"/>
      <c r="Q25" s="204"/>
      <c r="R25" s="204"/>
      <c r="S25" s="204"/>
      <c r="T25" s="204"/>
      <c r="U25" s="204"/>
      <c r="V25" s="204"/>
      <c r="W25" s="204"/>
      <c r="X25" s="204"/>
      <c r="Y25" s="204"/>
      <c r="Z25" s="204"/>
      <c r="AA25" s="204"/>
    </row>
    <row r="26" spans="1:27" ht="15.75" customHeight="1" x14ac:dyDescent="0.2">
      <c r="A26" s="210" t="s">
        <v>284</v>
      </c>
      <c r="B26" s="142"/>
      <c r="C26" s="138"/>
      <c r="D26" s="143"/>
      <c r="E26" s="211"/>
      <c r="F26" s="212">
        <f t="shared" si="0"/>
        <v>0</v>
      </c>
      <c r="G26" s="213" t="str">
        <f t="shared" si="1"/>
        <v/>
      </c>
      <c r="H26" s="209">
        <f t="shared" si="2"/>
        <v>0</v>
      </c>
      <c r="I26" s="75"/>
      <c r="J26" s="75"/>
      <c r="K26" s="75"/>
      <c r="L26" s="204"/>
      <c r="M26" s="204"/>
      <c r="N26" s="204"/>
      <c r="O26" s="204"/>
      <c r="P26" s="204"/>
      <c r="Q26" s="204"/>
      <c r="R26" s="204"/>
      <c r="S26" s="204"/>
      <c r="T26" s="204"/>
      <c r="U26" s="204"/>
      <c r="V26" s="204"/>
      <c r="W26" s="204"/>
      <c r="X26" s="204"/>
      <c r="Y26" s="204"/>
      <c r="Z26" s="204"/>
      <c r="AA26" s="204"/>
    </row>
    <row r="27" spans="1:27" ht="15.75" customHeight="1" x14ac:dyDescent="0.2">
      <c r="A27" s="210" t="s">
        <v>285</v>
      </c>
      <c r="B27" s="142"/>
      <c r="C27" s="138"/>
      <c r="D27" s="143"/>
      <c r="E27" s="211"/>
      <c r="F27" s="212">
        <f t="shared" si="0"/>
        <v>0</v>
      </c>
      <c r="G27" s="213" t="str">
        <f t="shared" si="1"/>
        <v/>
      </c>
      <c r="H27" s="209">
        <f t="shared" si="2"/>
        <v>0</v>
      </c>
      <c r="I27" s="75"/>
      <c r="J27" s="75"/>
      <c r="K27" s="75"/>
      <c r="L27" s="204"/>
      <c r="M27" s="204"/>
      <c r="N27" s="204"/>
      <c r="O27" s="204"/>
      <c r="P27" s="204"/>
      <c r="Q27" s="204"/>
      <c r="R27" s="204"/>
      <c r="S27" s="204"/>
      <c r="T27" s="204"/>
      <c r="U27" s="204"/>
      <c r="V27" s="204"/>
      <c r="W27" s="204"/>
      <c r="X27" s="204"/>
      <c r="Y27" s="204"/>
      <c r="Z27" s="204"/>
      <c r="AA27" s="204"/>
    </row>
    <row r="28" spans="1:27" ht="15.75" customHeight="1" x14ac:dyDescent="0.2">
      <c r="A28" s="210" t="s">
        <v>550</v>
      </c>
      <c r="B28" s="142"/>
      <c r="C28" s="138"/>
      <c r="D28" s="143"/>
      <c r="E28" s="211"/>
      <c r="F28" s="212">
        <f t="shared" si="0"/>
        <v>0</v>
      </c>
      <c r="G28" s="213" t="str">
        <f t="shared" si="1"/>
        <v/>
      </c>
      <c r="H28" s="209">
        <f t="shared" si="2"/>
        <v>0</v>
      </c>
      <c r="I28" s="75"/>
      <c r="J28" s="75"/>
      <c r="K28" s="75"/>
      <c r="L28" s="204"/>
      <c r="M28" s="204"/>
      <c r="N28" s="204"/>
      <c r="O28" s="204"/>
      <c r="P28" s="204"/>
      <c r="Q28" s="204"/>
      <c r="R28" s="204"/>
      <c r="S28" s="204"/>
      <c r="T28" s="204"/>
      <c r="U28" s="204"/>
      <c r="V28" s="204"/>
      <c r="W28" s="204"/>
      <c r="X28" s="204"/>
      <c r="Y28" s="204"/>
      <c r="Z28" s="204"/>
      <c r="AA28" s="204"/>
    </row>
    <row r="29" spans="1:27" ht="15.75" customHeight="1" x14ac:dyDescent="0.2">
      <c r="A29" s="210" t="s">
        <v>286</v>
      </c>
      <c r="B29" s="142"/>
      <c r="C29" s="138"/>
      <c r="D29" s="143"/>
      <c r="E29" s="211"/>
      <c r="F29" s="212">
        <f t="shared" si="0"/>
        <v>0</v>
      </c>
      <c r="G29" s="213" t="str">
        <f t="shared" si="1"/>
        <v/>
      </c>
      <c r="H29" s="209">
        <f t="shared" si="2"/>
        <v>0</v>
      </c>
      <c r="I29" s="75"/>
      <c r="J29" s="75"/>
      <c r="K29" s="75"/>
      <c r="L29" s="204"/>
      <c r="M29" s="204"/>
      <c r="N29" s="204"/>
      <c r="O29" s="204"/>
      <c r="P29" s="204"/>
      <c r="Q29" s="204"/>
      <c r="R29" s="204"/>
      <c r="S29" s="204"/>
      <c r="T29" s="204"/>
      <c r="U29" s="204"/>
      <c r="V29" s="204"/>
      <c r="W29" s="204"/>
      <c r="X29" s="204"/>
      <c r="Y29" s="204"/>
      <c r="Z29" s="204"/>
      <c r="AA29" s="204"/>
    </row>
    <row r="30" spans="1:27" ht="15.75" customHeight="1" x14ac:dyDescent="0.2">
      <c r="A30" s="210" t="s">
        <v>287</v>
      </c>
      <c r="B30" s="142"/>
      <c r="C30" s="138"/>
      <c r="D30" s="143"/>
      <c r="E30" s="211"/>
      <c r="F30" s="212">
        <f t="shared" si="0"/>
        <v>0</v>
      </c>
      <c r="G30" s="213" t="str">
        <f t="shared" si="1"/>
        <v/>
      </c>
      <c r="H30" s="209">
        <f t="shared" si="2"/>
        <v>0</v>
      </c>
      <c r="I30" s="75"/>
      <c r="J30" s="75"/>
      <c r="K30" s="75"/>
      <c r="L30" s="204"/>
      <c r="M30" s="204"/>
      <c r="N30" s="204"/>
      <c r="O30" s="204"/>
      <c r="P30" s="204"/>
      <c r="Q30" s="204"/>
      <c r="R30" s="204"/>
      <c r="S30" s="204"/>
      <c r="T30" s="204"/>
      <c r="U30" s="204"/>
      <c r="V30" s="204"/>
      <c r="W30" s="204"/>
      <c r="X30" s="204"/>
      <c r="Y30" s="204"/>
      <c r="Z30" s="204"/>
      <c r="AA30" s="204"/>
    </row>
    <row r="31" spans="1:27" ht="15.75" customHeight="1" x14ac:dyDescent="0.2">
      <c r="A31" s="210" t="s">
        <v>288</v>
      </c>
      <c r="B31" s="142"/>
      <c r="C31" s="138"/>
      <c r="D31" s="143"/>
      <c r="E31" s="211"/>
      <c r="F31" s="212">
        <f t="shared" si="0"/>
        <v>0</v>
      </c>
      <c r="G31" s="213" t="str">
        <f t="shared" si="1"/>
        <v/>
      </c>
      <c r="H31" s="209">
        <f t="shared" si="2"/>
        <v>0</v>
      </c>
      <c r="I31" s="75"/>
      <c r="J31" s="75"/>
      <c r="K31" s="75"/>
      <c r="L31" s="204"/>
      <c r="M31" s="204"/>
      <c r="N31" s="204"/>
      <c r="O31" s="204"/>
      <c r="P31" s="204"/>
      <c r="Q31" s="204"/>
      <c r="R31" s="204"/>
      <c r="S31" s="204"/>
      <c r="T31" s="204"/>
      <c r="U31" s="204"/>
      <c r="V31" s="204"/>
      <c r="W31" s="204"/>
      <c r="X31" s="204"/>
      <c r="Y31" s="204"/>
      <c r="Z31" s="204"/>
      <c r="AA31" s="204"/>
    </row>
    <row r="32" spans="1:27" ht="15.75" customHeight="1" x14ac:dyDescent="0.2">
      <c r="A32" s="210" t="s">
        <v>289</v>
      </c>
      <c r="B32" s="142"/>
      <c r="C32" s="138"/>
      <c r="D32" s="143"/>
      <c r="E32" s="211"/>
      <c r="F32" s="212">
        <f t="shared" si="0"/>
        <v>0</v>
      </c>
      <c r="G32" s="213" t="str">
        <f t="shared" si="1"/>
        <v/>
      </c>
      <c r="H32" s="209">
        <f t="shared" si="2"/>
        <v>0</v>
      </c>
      <c r="I32" s="75"/>
      <c r="J32" s="75"/>
      <c r="K32" s="75"/>
      <c r="L32" s="204"/>
      <c r="M32" s="204"/>
      <c r="N32" s="204"/>
      <c r="O32" s="204"/>
      <c r="P32" s="204"/>
      <c r="Q32" s="204"/>
      <c r="R32" s="204"/>
      <c r="S32" s="204"/>
      <c r="T32" s="204"/>
      <c r="U32" s="204"/>
      <c r="V32" s="204"/>
      <c r="W32" s="204"/>
      <c r="X32" s="204"/>
      <c r="Y32" s="204"/>
      <c r="Z32" s="204"/>
      <c r="AA32" s="204"/>
    </row>
    <row r="33" spans="1:27" ht="15.75" customHeight="1" x14ac:dyDescent="0.2">
      <c r="A33" s="210" t="s">
        <v>290</v>
      </c>
      <c r="B33" s="142"/>
      <c r="C33" s="138"/>
      <c r="D33" s="143"/>
      <c r="E33" s="211"/>
      <c r="F33" s="212">
        <f t="shared" si="0"/>
        <v>0</v>
      </c>
      <c r="G33" s="213" t="str">
        <f t="shared" si="1"/>
        <v/>
      </c>
      <c r="H33" s="209">
        <f t="shared" si="2"/>
        <v>0</v>
      </c>
      <c r="I33" s="75"/>
      <c r="J33" s="75"/>
      <c r="K33" s="75"/>
      <c r="L33" s="204"/>
      <c r="M33" s="204"/>
      <c r="N33" s="204"/>
      <c r="O33" s="204"/>
      <c r="P33" s="204"/>
      <c r="Q33" s="204"/>
      <c r="R33" s="204"/>
      <c r="S33" s="204"/>
      <c r="T33" s="204"/>
      <c r="U33" s="204"/>
      <c r="V33" s="204"/>
      <c r="W33" s="204"/>
      <c r="X33" s="204"/>
      <c r="Y33" s="204"/>
      <c r="Z33" s="204"/>
      <c r="AA33" s="204"/>
    </row>
    <row r="34" spans="1:27" ht="15.75" customHeight="1" x14ac:dyDescent="0.2">
      <c r="A34" s="210" t="s">
        <v>291</v>
      </c>
      <c r="B34" s="142"/>
      <c r="C34" s="138"/>
      <c r="D34" s="143"/>
      <c r="E34" s="211"/>
      <c r="F34" s="212">
        <f t="shared" si="0"/>
        <v>0</v>
      </c>
      <c r="G34" s="213" t="str">
        <f t="shared" si="1"/>
        <v/>
      </c>
      <c r="H34" s="209">
        <f t="shared" si="2"/>
        <v>0</v>
      </c>
      <c r="I34" s="75"/>
      <c r="J34" s="75"/>
      <c r="K34" s="75"/>
      <c r="L34" s="204"/>
      <c r="M34" s="204"/>
      <c r="N34" s="204"/>
      <c r="O34" s="204"/>
      <c r="P34" s="204"/>
      <c r="Q34" s="204"/>
      <c r="R34" s="204"/>
      <c r="S34" s="204"/>
      <c r="T34" s="204"/>
      <c r="U34" s="204"/>
      <c r="V34" s="204"/>
      <c r="W34" s="204"/>
      <c r="X34" s="204"/>
      <c r="Y34" s="204"/>
      <c r="Z34" s="204"/>
      <c r="AA34" s="204"/>
    </row>
    <row r="35" spans="1:27" ht="15.75" customHeight="1" x14ac:dyDescent="0.2">
      <c r="A35" s="210" t="s">
        <v>292</v>
      </c>
      <c r="B35" s="142"/>
      <c r="C35" s="138"/>
      <c r="D35" s="143"/>
      <c r="E35" s="211"/>
      <c r="F35" s="212">
        <f t="shared" si="0"/>
        <v>0</v>
      </c>
      <c r="G35" s="213" t="str">
        <f t="shared" si="1"/>
        <v/>
      </c>
      <c r="H35" s="209">
        <f t="shared" si="2"/>
        <v>0</v>
      </c>
      <c r="I35" s="75"/>
      <c r="J35" s="75"/>
      <c r="K35" s="75"/>
      <c r="L35" s="204"/>
      <c r="M35" s="204"/>
      <c r="N35" s="204"/>
      <c r="O35" s="204"/>
      <c r="P35" s="204"/>
      <c r="Q35" s="204"/>
      <c r="R35" s="204"/>
      <c r="S35" s="204"/>
      <c r="T35" s="204"/>
      <c r="U35" s="204"/>
      <c r="V35" s="204"/>
      <c r="W35" s="204"/>
      <c r="X35" s="204"/>
      <c r="Y35" s="204"/>
      <c r="Z35" s="204"/>
      <c r="AA35" s="204"/>
    </row>
    <row r="36" spans="1:27" ht="15.75" customHeight="1" x14ac:dyDescent="0.2">
      <c r="A36" s="210" t="s">
        <v>293</v>
      </c>
      <c r="B36" s="142"/>
      <c r="C36" s="138"/>
      <c r="D36" s="143"/>
      <c r="E36" s="211"/>
      <c r="F36" s="212">
        <f t="shared" si="0"/>
        <v>0</v>
      </c>
      <c r="G36" s="213" t="str">
        <f t="shared" si="1"/>
        <v/>
      </c>
      <c r="H36" s="209">
        <f t="shared" si="2"/>
        <v>0</v>
      </c>
      <c r="I36" s="75"/>
      <c r="J36" s="75"/>
      <c r="K36" s="75"/>
      <c r="L36" s="204"/>
      <c r="M36" s="204"/>
      <c r="N36" s="204"/>
      <c r="O36" s="204"/>
      <c r="P36" s="204"/>
      <c r="Q36" s="204"/>
      <c r="R36" s="204"/>
      <c r="S36" s="204"/>
      <c r="T36" s="204"/>
      <c r="U36" s="204"/>
      <c r="V36" s="204"/>
      <c r="W36" s="204"/>
      <c r="X36" s="204"/>
      <c r="Y36" s="204"/>
      <c r="Z36" s="204"/>
      <c r="AA36" s="204"/>
    </row>
    <row r="37" spans="1:27" ht="15.75" customHeight="1" x14ac:dyDescent="0.2">
      <c r="A37" s="210" t="s">
        <v>294</v>
      </c>
      <c r="B37" s="142"/>
      <c r="C37" s="138"/>
      <c r="D37" s="143"/>
      <c r="E37" s="211"/>
      <c r="F37" s="212">
        <f t="shared" si="0"/>
        <v>0</v>
      </c>
      <c r="G37" s="213" t="str">
        <f t="shared" si="1"/>
        <v/>
      </c>
      <c r="H37" s="209">
        <f t="shared" si="2"/>
        <v>0</v>
      </c>
      <c r="I37" s="75"/>
      <c r="J37" s="75"/>
      <c r="K37" s="75"/>
      <c r="L37" s="204"/>
      <c r="M37" s="204"/>
      <c r="N37" s="204"/>
      <c r="O37" s="204"/>
      <c r="P37" s="204"/>
      <c r="Q37" s="204"/>
      <c r="R37" s="204"/>
      <c r="S37" s="204"/>
      <c r="T37" s="204"/>
      <c r="U37" s="204"/>
      <c r="V37" s="204"/>
      <c r="W37" s="204"/>
      <c r="X37" s="204"/>
      <c r="Y37" s="204"/>
      <c r="Z37" s="204"/>
      <c r="AA37" s="204"/>
    </row>
    <row r="38" spans="1:27" ht="15.75" customHeight="1" x14ac:dyDescent="0.2">
      <c r="A38" s="210" t="s">
        <v>295</v>
      </c>
      <c r="B38" s="142"/>
      <c r="C38" s="138"/>
      <c r="D38" s="143"/>
      <c r="E38" s="211"/>
      <c r="F38" s="212">
        <f t="shared" si="0"/>
        <v>0</v>
      </c>
      <c r="G38" s="213" t="str">
        <f t="shared" si="1"/>
        <v/>
      </c>
      <c r="H38" s="209">
        <f t="shared" si="2"/>
        <v>0</v>
      </c>
      <c r="I38" s="75"/>
      <c r="J38" s="75"/>
      <c r="K38" s="75"/>
      <c r="L38" s="204"/>
      <c r="M38" s="204"/>
      <c r="N38" s="204"/>
      <c r="O38" s="204"/>
      <c r="P38" s="204"/>
      <c r="Q38" s="204"/>
      <c r="R38" s="204"/>
      <c r="S38" s="204"/>
      <c r="T38" s="204"/>
      <c r="U38" s="204"/>
      <c r="V38" s="204"/>
      <c r="W38" s="204"/>
      <c r="X38" s="204"/>
      <c r="Y38" s="204"/>
      <c r="Z38" s="204"/>
      <c r="AA38" s="204"/>
    </row>
    <row r="39" spans="1:27" ht="15.75" customHeight="1" x14ac:dyDescent="0.2">
      <c r="A39" s="210" t="s">
        <v>296</v>
      </c>
      <c r="B39" s="142"/>
      <c r="C39" s="138"/>
      <c r="D39" s="143"/>
      <c r="E39" s="211"/>
      <c r="F39" s="212">
        <f t="shared" si="0"/>
        <v>0</v>
      </c>
      <c r="G39" s="213" t="str">
        <f t="shared" si="1"/>
        <v/>
      </c>
      <c r="H39" s="209">
        <f t="shared" si="2"/>
        <v>0</v>
      </c>
      <c r="I39" s="75"/>
      <c r="J39" s="75"/>
      <c r="K39" s="75"/>
      <c r="L39" s="204"/>
      <c r="M39" s="204"/>
      <c r="N39" s="204"/>
      <c r="O39" s="204"/>
      <c r="P39" s="204"/>
      <c r="Q39" s="204"/>
      <c r="R39" s="204"/>
      <c r="S39" s="204"/>
      <c r="T39" s="204"/>
      <c r="U39" s="204"/>
      <c r="V39" s="204"/>
      <c r="W39" s="204"/>
      <c r="X39" s="204"/>
      <c r="Y39" s="204"/>
      <c r="Z39" s="204"/>
      <c r="AA39" s="204"/>
    </row>
    <row r="40" spans="1:27" ht="15.75" customHeight="1" x14ac:dyDescent="0.2">
      <c r="A40" s="210" t="s">
        <v>297</v>
      </c>
      <c r="B40" s="142"/>
      <c r="C40" s="138"/>
      <c r="D40" s="143"/>
      <c r="E40" s="211"/>
      <c r="F40" s="212">
        <f t="shared" si="0"/>
        <v>0</v>
      </c>
      <c r="G40" s="213" t="str">
        <f t="shared" si="1"/>
        <v/>
      </c>
      <c r="H40" s="209">
        <f t="shared" si="2"/>
        <v>0</v>
      </c>
      <c r="I40" s="75"/>
      <c r="J40" s="75"/>
      <c r="K40" s="75"/>
      <c r="L40" s="204"/>
      <c r="M40" s="204"/>
      <c r="N40" s="204"/>
      <c r="O40" s="204"/>
      <c r="P40" s="204"/>
      <c r="Q40" s="204"/>
      <c r="R40" s="204"/>
      <c r="S40" s="204"/>
      <c r="T40" s="204"/>
      <c r="U40" s="204"/>
      <c r="V40" s="204"/>
      <c r="W40" s="204"/>
      <c r="X40" s="204"/>
      <c r="Y40" s="204"/>
      <c r="Z40" s="204"/>
      <c r="AA40" s="204"/>
    </row>
    <row r="41" spans="1:27" ht="15.75" customHeight="1" x14ac:dyDescent="0.2">
      <c r="A41" s="210" t="s">
        <v>558</v>
      </c>
      <c r="B41" s="142"/>
      <c r="C41" s="138"/>
      <c r="D41" s="143"/>
      <c r="E41" s="211"/>
      <c r="F41" s="212">
        <f t="shared" si="0"/>
        <v>0</v>
      </c>
      <c r="G41" s="213" t="str">
        <f t="shared" si="1"/>
        <v/>
      </c>
      <c r="H41" s="209">
        <f t="shared" si="2"/>
        <v>0</v>
      </c>
      <c r="I41" s="75"/>
      <c r="J41" s="75"/>
      <c r="K41" s="75"/>
      <c r="L41" s="204"/>
      <c r="M41" s="204"/>
      <c r="N41" s="204"/>
      <c r="O41" s="204"/>
      <c r="P41" s="204"/>
      <c r="Q41" s="204"/>
      <c r="R41" s="204"/>
      <c r="S41" s="204"/>
      <c r="T41" s="204"/>
      <c r="U41" s="204"/>
      <c r="V41" s="204"/>
      <c r="W41" s="204"/>
      <c r="X41" s="204"/>
      <c r="Y41" s="204"/>
      <c r="Z41" s="204"/>
      <c r="AA41" s="204"/>
    </row>
    <row r="42" spans="1:27" ht="15.75" customHeight="1" x14ac:dyDescent="0.2">
      <c r="A42" s="210" t="s">
        <v>298</v>
      </c>
      <c r="B42" s="142"/>
      <c r="C42" s="138"/>
      <c r="D42" s="143"/>
      <c r="E42" s="211"/>
      <c r="F42" s="212">
        <f t="shared" si="0"/>
        <v>0</v>
      </c>
      <c r="G42" s="213" t="str">
        <f t="shared" si="1"/>
        <v/>
      </c>
      <c r="H42" s="209">
        <f t="shared" si="2"/>
        <v>0</v>
      </c>
      <c r="I42" s="75"/>
      <c r="J42" s="75"/>
      <c r="K42" s="75"/>
      <c r="L42" s="204"/>
      <c r="M42" s="204"/>
      <c r="N42" s="204"/>
      <c r="O42" s="204"/>
      <c r="P42" s="204"/>
      <c r="Q42" s="204"/>
      <c r="R42" s="204"/>
      <c r="S42" s="204"/>
      <c r="T42" s="204"/>
      <c r="U42" s="204"/>
      <c r="V42" s="204"/>
      <c r="W42" s="204"/>
      <c r="X42" s="204"/>
      <c r="Y42" s="204"/>
      <c r="Z42" s="204"/>
      <c r="AA42" s="204"/>
    </row>
    <row r="43" spans="1:27" ht="15.75" customHeight="1" x14ac:dyDescent="0.2">
      <c r="A43" s="210" t="s">
        <v>299</v>
      </c>
      <c r="B43" s="142"/>
      <c r="C43" s="138"/>
      <c r="D43" s="143"/>
      <c r="E43" s="211"/>
      <c r="F43" s="212">
        <f t="shared" si="0"/>
        <v>0</v>
      </c>
      <c r="G43" s="213" t="str">
        <f t="shared" si="1"/>
        <v/>
      </c>
      <c r="H43" s="209">
        <f t="shared" si="2"/>
        <v>0</v>
      </c>
      <c r="I43" s="75"/>
      <c r="J43" s="75"/>
      <c r="K43" s="75"/>
      <c r="L43" s="204"/>
      <c r="M43" s="204"/>
      <c r="N43" s="204"/>
      <c r="O43" s="204"/>
      <c r="P43" s="204"/>
      <c r="Q43" s="204"/>
      <c r="R43" s="204"/>
      <c r="S43" s="204"/>
      <c r="T43" s="204"/>
      <c r="U43" s="204"/>
      <c r="V43" s="204"/>
      <c r="W43" s="204"/>
      <c r="X43" s="204"/>
      <c r="Y43" s="204"/>
      <c r="Z43" s="204"/>
      <c r="AA43" s="204"/>
    </row>
    <row r="44" spans="1:27" ht="15.75" customHeight="1" x14ac:dyDescent="0.2">
      <c r="A44" s="210" t="s">
        <v>903</v>
      </c>
      <c r="B44" s="142"/>
      <c r="C44" s="138"/>
      <c r="D44" s="143"/>
      <c r="E44" s="211"/>
      <c r="F44" s="212">
        <f t="shared" si="0"/>
        <v>0</v>
      </c>
      <c r="G44" s="213" t="str">
        <f t="shared" si="1"/>
        <v/>
      </c>
      <c r="H44" s="209">
        <f t="shared" si="2"/>
        <v>0</v>
      </c>
      <c r="I44" s="75"/>
      <c r="J44" s="75"/>
      <c r="K44" s="75"/>
      <c r="L44" s="204"/>
      <c r="M44" s="204"/>
      <c r="N44" s="204"/>
      <c r="O44" s="204"/>
      <c r="P44" s="204"/>
      <c r="Q44" s="204"/>
      <c r="R44" s="204"/>
      <c r="S44" s="204"/>
      <c r="T44" s="204"/>
      <c r="U44" s="204"/>
      <c r="V44" s="204"/>
      <c r="W44" s="204"/>
      <c r="X44" s="204"/>
      <c r="Y44" s="204"/>
      <c r="Z44" s="204"/>
      <c r="AA44" s="204"/>
    </row>
    <row r="45" spans="1:27" ht="15.75" customHeight="1" x14ac:dyDescent="0.2">
      <c r="A45" s="210" t="s">
        <v>300</v>
      </c>
      <c r="B45" s="142"/>
      <c r="C45" s="138"/>
      <c r="D45" s="143"/>
      <c r="E45" s="211"/>
      <c r="F45" s="212">
        <f t="shared" si="0"/>
        <v>0</v>
      </c>
      <c r="G45" s="213" t="str">
        <f t="shared" si="1"/>
        <v/>
      </c>
      <c r="H45" s="209">
        <f t="shared" si="2"/>
        <v>0</v>
      </c>
      <c r="I45" s="75"/>
      <c r="J45" s="75"/>
      <c r="K45" s="75"/>
      <c r="L45" s="204"/>
      <c r="M45" s="204"/>
      <c r="N45" s="204"/>
      <c r="O45" s="204"/>
      <c r="P45" s="204"/>
      <c r="Q45" s="204"/>
      <c r="R45" s="204"/>
      <c r="S45" s="204"/>
      <c r="T45" s="204"/>
      <c r="U45" s="204"/>
      <c r="V45" s="204"/>
      <c r="W45" s="204"/>
      <c r="X45" s="204"/>
      <c r="Y45" s="204"/>
      <c r="Z45" s="204"/>
      <c r="AA45" s="204"/>
    </row>
    <row r="46" spans="1:27" ht="15.75" customHeight="1" x14ac:dyDescent="0.2">
      <c r="A46" s="210" t="s">
        <v>302</v>
      </c>
      <c r="B46" s="142"/>
      <c r="C46" s="138"/>
      <c r="D46" s="143"/>
      <c r="E46" s="211"/>
      <c r="F46" s="212">
        <f t="shared" si="0"/>
        <v>0</v>
      </c>
      <c r="G46" s="213" t="str">
        <f t="shared" si="1"/>
        <v/>
      </c>
      <c r="H46" s="209">
        <f t="shared" si="2"/>
        <v>0</v>
      </c>
      <c r="I46" s="75"/>
      <c r="J46" s="75"/>
      <c r="K46" s="75"/>
      <c r="L46" s="204"/>
      <c r="M46" s="204"/>
      <c r="N46" s="204"/>
      <c r="O46" s="204"/>
      <c r="P46" s="204"/>
      <c r="Q46" s="204"/>
      <c r="R46" s="204"/>
      <c r="S46" s="204"/>
      <c r="T46" s="204"/>
      <c r="U46" s="204"/>
      <c r="V46" s="204"/>
      <c r="W46" s="204"/>
      <c r="X46" s="204"/>
      <c r="Y46" s="204"/>
      <c r="Z46" s="204"/>
      <c r="AA46" s="204"/>
    </row>
    <row r="47" spans="1:27" ht="15.75" customHeight="1" x14ac:dyDescent="0.2">
      <c r="A47" s="210" t="s">
        <v>303</v>
      </c>
      <c r="B47" s="142"/>
      <c r="C47" s="138"/>
      <c r="D47" s="143"/>
      <c r="E47" s="211"/>
      <c r="F47" s="212">
        <f t="shared" si="0"/>
        <v>0</v>
      </c>
      <c r="G47" s="213" t="str">
        <f t="shared" si="1"/>
        <v/>
      </c>
      <c r="H47" s="209">
        <f t="shared" si="2"/>
        <v>0</v>
      </c>
      <c r="I47" s="75"/>
      <c r="J47" s="75"/>
      <c r="K47" s="75"/>
      <c r="L47" s="204"/>
      <c r="M47" s="204"/>
      <c r="N47" s="204"/>
      <c r="O47" s="204"/>
      <c r="P47" s="204"/>
      <c r="Q47" s="204"/>
      <c r="R47" s="204"/>
      <c r="S47" s="204"/>
      <c r="T47" s="204"/>
      <c r="U47" s="204"/>
      <c r="V47" s="204"/>
      <c r="W47" s="204"/>
      <c r="X47" s="204"/>
      <c r="Y47" s="204"/>
      <c r="Z47" s="204"/>
      <c r="AA47" s="204"/>
    </row>
    <row r="48" spans="1:27" ht="15.75" customHeight="1" x14ac:dyDescent="0.2">
      <c r="A48" s="210" t="s">
        <v>304</v>
      </c>
      <c r="B48" s="142"/>
      <c r="C48" s="138"/>
      <c r="D48" s="143"/>
      <c r="E48" s="211"/>
      <c r="F48" s="212">
        <f t="shared" si="0"/>
        <v>0</v>
      </c>
      <c r="G48" s="213" t="str">
        <f t="shared" si="1"/>
        <v/>
      </c>
      <c r="H48" s="209">
        <f t="shared" si="2"/>
        <v>0</v>
      </c>
      <c r="I48" s="75"/>
      <c r="J48" s="75"/>
      <c r="K48" s="75"/>
      <c r="L48" s="204"/>
      <c r="M48" s="204"/>
      <c r="N48" s="204"/>
      <c r="O48" s="204"/>
      <c r="P48" s="204"/>
      <c r="Q48" s="204"/>
      <c r="R48" s="204"/>
      <c r="S48" s="204"/>
      <c r="T48" s="204"/>
      <c r="U48" s="204"/>
      <c r="V48" s="204"/>
      <c r="W48" s="204"/>
      <c r="X48" s="204"/>
      <c r="Y48" s="204"/>
      <c r="Z48" s="204"/>
      <c r="AA48" s="204"/>
    </row>
    <row r="49" spans="1:27" ht="15.75" customHeight="1" x14ac:dyDescent="0.2">
      <c r="A49" s="210" t="s">
        <v>305</v>
      </c>
      <c r="B49" s="142"/>
      <c r="C49" s="138"/>
      <c r="D49" s="143"/>
      <c r="E49" s="211"/>
      <c r="F49" s="212">
        <f t="shared" si="0"/>
        <v>0</v>
      </c>
      <c r="G49" s="213" t="str">
        <f t="shared" si="1"/>
        <v/>
      </c>
      <c r="H49" s="209">
        <f t="shared" si="2"/>
        <v>0</v>
      </c>
      <c r="I49" s="75"/>
      <c r="J49" s="75"/>
      <c r="K49" s="75"/>
      <c r="L49" s="204"/>
      <c r="M49" s="204"/>
      <c r="N49" s="204"/>
      <c r="O49" s="204"/>
      <c r="P49" s="204"/>
      <c r="Q49" s="204"/>
      <c r="R49" s="204"/>
      <c r="S49" s="204"/>
      <c r="T49" s="204"/>
      <c r="U49" s="204"/>
      <c r="V49" s="204"/>
      <c r="W49" s="204"/>
      <c r="X49" s="204"/>
      <c r="Y49" s="204"/>
      <c r="Z49" s="204"/>
      <c r="AA49" s="204"/>
    </row>
    <row r="50" spans="1:27" ht="15.75" customHeight="1" x14ac:dyDescent="0.2">
      <c r="A50" s="210" t="s">
        <v>306</v>
      </c>
      <c r="B50" s="142"/>
      <c r="C50" s="138"/>
      <c r="D50" s="143"/>
      <c r="E50" s="211"/>
      <c r="F50" s="212">
        <f t="shared" si="0"/>
        <v>0</v>
      </c>
      <c r="G50" s="213" t="str">
        <f t="shared" si="1"/>
        <v/>
      </c>
      <c r="H50" s="209">
        <f t="shared" si="2"/>
        <v>0</v>
      </c>
      <c r="I50" s="75"/>
      <c r="J50" s="75"/>
      <c r="K50" s="75"/>
      <c r="L50" s="204"/>
      <c r="M50" s="204"/>
      <c r="N50" s="204"/>
      <c r="O50" s="204"/>
      <c r="P50" s="204"/>
      <c r="Q50" s="204"/>
      <c r="R50" s="204"/>
      <c r="S50" s="204"/>
      <c r="T50" s="204"/>
      <c r="U50" s="204"/>
      <c r="V50" s="204"/>
      <c r="W50" s="204"/>
      <c r="X50" s="204"/>
      <c r="Y50" s="204"/>
      <c r="Z50" s="204"/>
      <c r="AA50" s="204"/>
    </row>
    <row r="51" spans="1:27" ht="15.75" customHeight="1" x14ac:dyDescent="0.2">
      <c r="A51" s="210" t="s">
        <v>307</v>
      </c>
      <c r="B51" s="142"/>
      <c r="C51" s="138"/>
      <c r="D51" s="143"/>
      <c r="E51" s="211"/>
      <c r="F51" s="212">
        <f t="shared" si="0"/>
        <v>0</v>
      </c>
      <c r="G51" s="213" t="str">
        <f t="shared" si="1"/>
        <v/>
      </c>
      <c r="H51" s="209">
        <f t="shared" si="2"/>
        <v>0</v>
      </c>
      <c r="I51" s="75"/>
      <c r="J51" s="75"/>
      <c r="K51" s="75"/>
      <c r="L51" s="204"/>
      <c r="M51" s="204"/>
      <c r="N51" s="204"/>
      <c r="O51" s="204"/>
      <c r="P51" s="204"/>
      <c r="Q51" s="204"/>
      <c r="R51" s="204"/>
      <c r="S51" s="204"/>
      <c r="T51" s="204"/>
      <c r="U51" s="204"/>
      <c r="V51" s="204"/>
      <c r="W51" s="204"/>
      <c r="X51" s="204"/>
      <c r="Y51" s="204"/>
      <c r="Z51" s="204"/>
      <c r="AA51" s="204"/>
    </row>
    <row r="52" spans="1:27" ht="15.75" customHeight="1" x14ac:dyDescent="0.2">
      <c r="A52" s="210" t="s">
        <v>308</v>
      </c>
      <c r="B52" s="142"/>
      <c r="C52" s="138"/>
      <c r="D52" s="143"/>
      <c r="E52" s="211"/>
      <c r="F52" s="212">
        <f t="shared" si="0"/>
        <v>0</v>
      </c>
      <c r="G52" s="213" t="str">
        <f t="shared" si="1"/>
        <v/>
      </c>
      <c r="H52" s="209">
        <f t="shared" si="2"/>
        <v>0</v>
      </c>
      <c r="I52" s="75"/>
      <c r="J52" s="75"/>
      <c r="K52" s="75"/>
      <c r="L52" s="204"/>
      <c r="M52" s="204"/>
      <c r="N52" s="204"/>
      <c r="O52" s="204"/>
      <c r="P52" s="204"/>
      <c r="Q52" s="204"/>
      <c r="R52" s="204"/>
      <c r="S52" s="204"/>
      <c r="T52" s="204"/>
      <c r="U52" s="204"/>
      <c r="V52" s="204"/>
      <c r="W52" s="204"/>
      <c r="X52" s="204"/>
      <c r="Y52" s="204"/>
      <c r="Z52" s="204"/>
      <c r="AA52" s="204"/>
    </row>
    <row r="53" spans="1:27" x14ac:dyDescent="0.2">
      <c r="A53" s="210" t="s">
        <v>309</v>
      </c>
      <c r="B53" s="308"/>
      <c r="C53" s="310"/>
      <c r="D53" s="309"/>
      <c r="E53" s="211"/>
      <c r="F53" s="212">
        <f t="shared" si="0"/>
        <v>0</v>
      </c>
      <c r="G53" s="213" t="str">
        <f t="shared" si="1"/>
        <v/>
      </c>
      <c r="H53" s="209">
        <f t="shared" si="2"/>
        <v>0</v>
      </c>
      <c r="I53" s="75"/>
      <c r="J53" s="75"/>
      <c r="K53" s="75"/>
      <c r="L53" s="204"/>
      <c r="M53" s="204"/>
      <c r="N53" s="204"/>
      <c r="O53" s="204"/>
      <c r="P53" s="204"/>
      <c r="Q53" s="204"/>
      <c r="R53" s="204"/>
      <c r="S53" s="204"/>
      <c r="T53" s="204"/>
      <c r="U53" s="204"/>
      <c r="V53" s="204"/>
      <c r="W53" s="204"/>
      <c r="X53" s="204"/>
      <c r="Y53" s="204"/>
      <c r="Z53" s="204"/>
      <c r="AA53" s="204"/>
    </row>
    <row r="54" spans="1:27" ht="15.75" customHeight="1" x14ac:dyDescent="0.2">
      <c r="A54" s="210" t="s">
        <v>310</v>
      </c>
      <c r="B54" s="142"/>
      <c r="C54" s="138"/>
      <c r="D54" s="143"/>
      <c r="E54" s="211"/>
      <c r="F54" s="212">
        <f>IF(B54&gt;0,1,0)</f>
        <v>0</v>
      </c>
      <c r="G54" s="213" t="str">
        <f t="shared" si="1"/>
        <v/>
      </c>
      <c r="H54" s="209">
        <f t="shared" si="2"/>
        <v>0</v>
      </c>
      <c r="I54" s="75"/>
      <c r="J54" s="75"/>
      <c r="K54" s="75"/>
      <c r="L54" s="204"/>
      <c r="M54" s="204"/>
      <c r="N54" s="204"/>
      <c r="O54" s="204"/>
      <c r="P54" s="204"/>
      <c r="Q54" s="204"/>
      <c r="R54" s="204"/>
      <c r="S54" s="204"/>
      <c r="T54" s="204"/>
      <c r="U54" s="204"/>
      <c r="V54" s="204"/>
      <c r="W54" s="204"/>
      <c r="X54" s="204"/>
      <c r="Y54" s="204"/>
      <c r="Z54" s="204"/>
      <c r="AA54" s="204"/>
    </row>
    <row r="55" spans="1:27" ht="15.75" customHeight="1" x14ac:dyDescent="0.2">
      <c r="A55" s="210" t="s">
        <v>311</v>
      </c>
      <c r="B55" s="142"/>
      <c r="C55" s="138"/>
      <c r="D55" s="143"/>
      <c r="E55" s="211"/>
      <c r="F55" s="212">
        <f>IF(B55&gt;0,1,0)</f>
        <v>0</v>
      </c>
      <c r="G55" s="213" t="str">
        <f t="shared" si="1"/>
        <v/>
      </c>
      <c r="H55" s="209">
        <f t="shared" si="2"/>
        <v>0</v>
      </c>
      <c r="I55" s="75"/>
      <c r="J55" s="75"/>
      <c r="K55" s="75"/>
      <c r="L55" s="204"/>
      <c r="M55" s="204"/>
      <c r="N55" s="204"/>
      <c r="O55" s="204"/>
      <c r="P55" s="204"/>
      <c r="Q55" s="204"/>
      <c r="R55" s="204"/>
      <c r="S55" s="204"/>
      <c r="T55" s="204"/>
      <c r="U55" s="204"/>
      <c r="V55" s="204"/>
      <c r="W55" s="204"/>
      <c r="X55" s="204"/>
      <c r="Y55" s="204"/>
      <c r="Z55" s="204"/>
      <c r="AA55" s="204"/>
    </row>
    <row r="56" spans="1:27" ht="15.75" customHeight="1" x14ac:dyDescent="0.2">
      <c r="A56" s="210" t="s">
        <v>562</v>
      </c>
      <c r="B56" s="142"/>
      <c r="C56" s="138"/>
      <c r="D56" s="143"/>
      <c r="E56" s="211"/>
      <c r="F56" s="212">
        <f t="shared" ref="F56:F114" si="3">IF(B56&gt;0,1,0)</f>
        <v>0</v>
      </c>
      <c r="G56" s="213" t="str">
        <f t="shared" si="1"/>
        <v/>
      </c>
      <c r="H56" s="209">
        <f t="shared" si="2"/>
        <v>0</v>
      </c>
      <c r="I56" s="75"/>
      <c r="J56" s="75"/>
      <c r="K56" s="75"/>
      <c r="L56" s="204"/>
      <c r="M56" s="204"/>
      <c r="N56" s="204"/>
      <c r="O56" s="204"/>
      <c r="P56" s="204"/>
      <c r="Q56" s="204"/>
      <c r="R56" s="204"/>
      <c r="S56" s="204"/>
      <c r="T56" s="204"/>
      <c r="U56" s="204"/>
      <c r="V56" s="204"/>
      <c r="W56" s="204"/>
      <c r="X56" s="204"/>
      <c r="Y56" s="204"/>
      <c r="Z56" s="204"/>
      <c r="AA56" s="204"/>
    </row>
    <row r="57" spans="1:27" ht="15.75" customHeight="1" x14ac:dyDescent="0.2">
      <c r="A57" s="210" t="s">
        <v>312</v>
      </c>
      <c r="B57" s="142"/>
      <c r="C57" s="138"/>
      <c r="D57" s="143"/>
      <c r="E57" s="211"/>
      <c r="F57" s="212">
        <f t="shared" si="3"/>
        <v>0</v>
      </c>
      <c r="G57" s="213" t="str">
        <f t="shared" si="1"/>
        <v/>
      </c>
      <c r="H57" s="209">
        <f t="shared" si="2"/>
        <v>0</v>
      </c>
      <c r="I57" s="75"/>
      <c r="J57" s="75"/>
      <c r="K57" s="75"/>
      <c r="L57" s="204"/>
      <c r="M57" s="204"/>
      <c r="N57" s="204"/>
      <c r="O57" s="204"/>
      <c r="P57" s="204"/>
      <c r="Q57" s="204"/>
      <c r="R57" s="204"/>
      <c r="S57" s="204"/>
      <c r="T57" s="204"/>
      <c r="U57" s="204"/>
      <c r="V57" s="204"/>
      <c r="W57" s="204"/>
      <c r="X57" s="204"/>
      <c r="Y57" s="204"/>
      <c r="Z57" s="204"/>
      <c r="AA57" s="204"/>
    </row>
    <row r="58" spans="1:27" ht="15.75" customHeight="1" x14ac:dyDescent="0.2">
      <c r="A58" s="210" t="s">
        <v>313</v>
      </c>
      <c r="B58" s="142"/>
      <c r="C58" s="138"/>
      <c r="D58" s="143"/>
      <c r="E58" s="211"/>
      <c r="F58" s="212">
        <f t="shared" si="3"/>
        <v>0</v>
      </c>
      <c r="G58" s="213" t="str">
        <f t="shared" si="1"/>
        <v/>
      </c>
      <c r="H58" s="209">
        <f t="shared" si="2"/>
        <v>0</v>
      </c>
      <c r="I58" s="75"/>
      <c r="J58" s="75"/>
      <c r="K58" s="75"/>
      <c r="L58" s="204"/>
      <c r="M58" s="204"/>
      <c r="N58" s="204"/>
      <c r="O58" s="204"/>
      <c r="P58" s="204"/>
      <c r="Q58" s="204"/>
      <c r="R58" s="204"/>
      <c r="S58" s="204"/>
      <c r="T58" s="204"/>
      <c r="U58" s="204"/>
      <c r="V58" s="204"/>
      <c r="W58" s="204"/>
      <c r="X58" s="204"/>
      <c r="Y58" s="204"/>
      <c r="Z58" s="204"/>
      <c r="AA58" s="204"/>
    </row>
    <row r="59" spans="1:27" ht="15.75" customHeight="1" x14ac:dyDescent="0.2">
      <c r="A59" s="210" t="s">
        <v>314</v>
      </c>
      <c r="B59" s="142"/>
      <c r="C59" s="138"/>
      <c r="D59" s="143"/>
      <c r="E59" s="211"/>
      <c r="F59" s="212">
        <f t="shared" si="3"/>
        <v>0</v>
      </c>
      <c r="G59" s="213" t="str">
        <f t="shared" si="1"/>
        <v/>
      </c>
      <c r="H59" s="209">
        <f t="shared" si="2"/>
        <v>0</v>
      </c>
      <c r="I59" s="75"/>
      <c r="J59" s="75"/>
      <c r="K59" s="75"/>
      <c r="L59" s="204"/>
      <c r="M59" s="204"/>
      <c r="N59" s="204"/>
      <c r="O59" s="204"/>
      <c r="P59" s="204"/>
      <c r="Q59" s="204"/>
      <c r="R59" s="204"/>
      <c r="S59" s="204"/>
      <c r="T59" s="204"/>
      <c r="U59" s="204"/>
      <c r="V59" s="204"/>
      <c r="W59" s="204"/>
      <c r="X59" s="204"/>
      <c r="Y59" s="204"/>
      <c r="Z59" s="204"/>
      <c r="AA59" s="204"/>
    </row>
    <row r="60" spans="1:27" ht="15.75" customHeight="1" x14ac:dyDescent="0.2">
      <c r="A60" s="210" t="s">
        <v>315</v>
      </c>
      <c r="B60" s="142"/>
      <c r="C60" s="138"/>
      <c r="D60" s="143"/>
      <c r="E60" s="211"/>
      <c r="F60" s="212">
        <f t="shared" si="3"/>
        <v>0</v>
      </c>
      <c r="G60" s="213" t="str">
        <f t="shared" si="1"/>
        <v/>
      </c>
      <c r="H60" s="209">
        <f t="shared" si="2"/>
        <v>0</v>
      </c>
      <c r="I60" s="75"/>
      <c r="J60" s="75"/>
      <c r="K60" s="75"/>
      <c r="L60" s="204"/>
      <c r="M60" s="204"/>
      <c r="N60" s="204"/>
      <c r="O60" s="204"/>
      <c r="P60" s="204"/>
      <c r="Q60" s="204"/>
      <c r="R60" s="204"/>
      <c r="S60" s="204"/>
      <c r="T60" s="204"/>
      <c r="U60" s="204"/>
      <c r="V60" s="204"/>
      <c r="W60" s="204"/>
      <c r="X60" s="204"/>
      <c r="Y60" s="204"/>
      <c r="Z60" s="204"/>
      <c r="AA60" s="204"/>
    </row>
    <row r="61" spans="1:27" ht="15.75" customHeight="1" x14ac:dyDescent="0.2">
      <c r="A61" s="210" t="s">
        <v>316</v>
      </c>
      <c r="B61" s="142"/>
      <c r="C61" s="138"/>
      <c r="D61" s="143"/>
      <c r="E61" s="211"/>
      <c r="F61" s="212">
        <f t="shared" si="3"/>
        <v>0</v>
      </c>
      <c r="G61" s="213" t="str">
        <f t="shared" si="1"/>
        <v/>
      </c>
      <c r="H61" s="209">
        <f t="shared" si="2"/>
        <v>0</v>
      </c>
      <c r="I61" s="75"/>
      <c r="J61" s="75"/>
      <c r="K61" s="75"/>
      <c r="L61" s="204"/>
      <c r="M61" s="204"/>
      <c r="N61" s="204"/>
      <c r="O61" s="204"/>
      <c r="P61" s="204"/>
      <c r="Q61" s="204"/>
      <c r="R61" s="204"/>
      <c r="S61" s="204"/>
      <c r="T61" s="204"/>
      <c r="U61" s="204"/>
      <c r="V61" s="204"/>
      <c r="W61" s="204"/>
      <c r="X61" s="204"/>
      <c r="Y61" s="204"/>
      <c r="Z61" s="204"/>
      <c r="AA61" s="204"/>
    </row>
    <row r="62" spans="1:27" ht="15.75" customHeight="1" x14ac:dyDescent="0.2">
      <c r="A62" s="210" t="s">
        <v>317</v>
      </c>
      <c r="B62" s="142"/>
      <c r="C62" s="138"/>
      <c r="D62" s="143"/>
      <c r="E62" s="211"/>
      <c r="F62" s="212">
        <f t="shared" si="3"/>
        <v>0</v>
      </c>
      <c r="G62" s="213" t="str">
        <f t="shared" si="1"/>
        <v/>
      </c>
      <c r="H62" s="209">
        <f t="shared" si="2"/>
        <v>0</v>
      </c>
      <c r="I62" s="75"/>
      <c r="J62" s="75"/>
      <c r="K62" s="75"/>
      <c r="L62" s="204"/>
      <c r="M62" s="204"/>
      <c r="N62" s="204"/>
      <c r="O62" s="204"/>
      <c r="P62" s="204"/>
      <c r="Q62" s="204"/>
      <c r="R62" s="204"/>
      <c r="S62" s="204"/>
      <c r="T62" s="204"/>
      <c r="U62" s="204"/>
      <c r="V62" s="204"/>
      <c r="W62" s="204"/>
      <c r="X62" s="204"/>
      <c r="Y62" s="204"/>
      <c r="Z62" s="204"/>
      <c r="AA62" s="204"/>
    </row>
    <row r="63" spans="1:27" ht="15.75" customHeight="1" x14ac:dyDescent="0.2">
      <c r="A63" s="210" t="s">
        <v>318</v>
      </c>
      <c r="B63" s="142"/>
      <c r="C63" s="138"/>
      <c r="D63" s="143"/>
      <c r="E63" s="211"/>
      <c r="F63" s="212">
        <f t="shared" si="3"/>
        <v>0</v>
      </c>
      <c r="G63" s="213" t="str">
        <f t="shared" si="1"/>
        <v/>
      </c>
      <c r="H63" s="209">
        <f t="shared" si="2"/>
        <v>0</v>
      </c>
      <c r="I63" s="75"/>
      <c r="J63" s="75"/>
      <c r="K63" s="75"/>
      <c r="L63" s="204"/>
      <c r="M63" s="204"/>
      <c r="N63" s="204"/>
      <c r="O63" s="204"/>
      <c r="P63" s="204"/>
      <c r="Q63" s="204"/>
      <c r="R63" s="204"/>
      <c r="S63" s="204"/>
      <c r="T63" s="204"/>
      <c r="U63" s="204"/>
      <c r="V63" s="204"/>
      <c r="W63" s="204"/>
      <c r="X63" s="204"/>
      <c r="Y63" s="204"/>
      <c r="Z63" s="204"/>
      <c r="AA63" s="204"/>
    </row>
    <row r="64" spans="1:27" ht="15.75" customHeight="1" x14ac:dyDescent="0.2">
      <c r="A64" s="210" t="s">
        <v>319</v>
      </c>
      <c r="B64" s="142"/>
      <c r="C64" s="138"/>
      <c r="D64" s="143"/>
      <c r="E64" s="211"/>
      <c r="F64" s="212">
        <f t="shared" si="3"/>
        <v>0</v>
      </c>
      <c r="G64" s="213" t="str">
        <f t="shared" si="1"/>
        <v/>
      </c>
      <c r="H64" s="209">
        <f t="shared" si="2"/>
        <v>0</v>
      </c>
      <c r="I64" s="75"/>
      <c r="J64" s="75"/>
      <c r="K64" s="75"/>
      <c r="L64" s="204"/>
      <c r="M64" s="204"/>
      <c r="N64" s="204"/>
      <c r="O64" s="204"/>
      <c r="P64" s="204"/>
      <c r="Q64" s="204"/>
      <c r="R64" s="204"/>
      <c r="S64" s="204"/>
      <c r="T64" s="204"/>
      <c r="U64" s="204"/>
      <c r="V64" s="204"/>
      <c r="W64" s="204"/>
      <c r="X64" s="204"/>
      <c r="Y64" s="204"/>
      <c r="Z64" s="204"/>
      <c r="AA64" s="204"/>
    </row>
    <row r="65" spans="1:27" ht="15.75" customHeight="1" x14ac:dyDescent="0.2">
      <c r="A65" s="210" t="s">
        <v>320</v>
      </c>
      <c r="B65" s="142"/>
      <c r="C65" s="138"/>
      <c r="D65" s="143"/>
      <c r="E65" s="211"/>
      <c r="F65" s="212">
        <f t="shared" si="3"/>
        <v>0</v>
      </c>
      <c r="G65" s="213" t="str">
        <f t="shared" si="1"/>
        <v/>
      </c>
      <c r="H65" s="209">
        <f t="shared" si="2"/>
        <v>0</v>
      </c>
      <c r="I65" s="75"/>
      <c r="J65" s="75"/>
      <c r="K65" s="75"/>
      <c r="L65" s="204"/>
      <c r="M65" s="204"/>
      <c r="N65" s="204"/>
      <c r="O65" s="204"/>
      <c r="P65" s="204"/>
      <c r="Q65" s="204"/>
      <c r="R65" s="204"/>
      <c r="S65" s="204"/>
      <c r="T65" s="204"/>
      <c r="U65" s="204"/>
      <c r="V65" s="204"/>
      <c r="W65" s="204"/>
      <c r="X65" s="204"/>
      <c r="Y65" s="204"/>
      <c r="Z65" s="204"/>
      <c r="AA65" s="204"/>
    </row>
    <row r="66" spans="1:27" ht="15.75" customHeight="1" x14ac:dyDescent="0.2">
      <c r="A66" s="210" t="s">
        <v>321</v>
      </c>
      <c r="B66" s="142"/>
      <c r="C66" s="138"/>
      <c r="D66" s="143"/>
      <c r="E66" s="211"/>
      <c r="F66" s="212">
        <f t="shared" si="3"/>
        <v>0</v>
      </c>
      <c r="G66" s="213" t="str">
        <f t="shared" si="1"/>
        <v/>
      </c>
      <c r="H66" s="209">
        <f t="shared" si="2"/>
        <v>0</v>
      </c>
      <c r="I66" s="75"/>
      <c r="J66" s="75"/>
      <c r="K66" s="75"/>
      <c r="L66" s="204"/>
      <c r="M66" s="204"/>
      <c r="N66" s="204"/>
      <c r="O66" s="204"/>
      <c r="P66" s="204"/>
      <c r="Q66" s="204"/>
      <c r="R66" s="204"/>
      <c r="S66" s="204"/>
      <c r="T66" s="204"/>
      <c r="U66" s="204"/>
      <c r="V66" s="204"/>
      <c r="W66" s="204"/>
      <c r="X66" s="204"/>
      <c r="Y66" s="204"/>
      <c r="Z66" s="204"/>
      <c r="AA66" s="204"/>
    </row>
    <row r="67" spans="1:27" ht="15.75" customHeight="1" x14ac:dyDescent="0.2">
      <c r="A67" s="210" t="s">
        <v>322</v>
      </c>
      <c r="B67" s="142"/>
      <c r="C67" s="138"/>
      <c r="D67" s="143"/>
      <c r="E67" s="211"/>
      <c r="F67" s="212">
        <f t="shared" si="3"/>
        <v>0</v>
      </c>
      <c r="G67" s="213" t="str">
        <f t="shared" si="1"/>
        <v/>
      </c>
      <c r="H67" s="209">
        <f t="shared" si="2"/>
        <v>0</v>
      </c>
      <c r="I67" s="75"/>
      <c r="J67" s="75"/>
      <c r="K67" s="75"/>
      <c r="L67" s="204"/>
      <c r="M67" s="204"/>
      <c r="N67" s="204"/>
      <c r="O67" s="204"/>
      <c r="P67" s="204"/>
      <c r="Q67" s="204"/>
      <c r="R67" s="204"/>
      <c r="S67" s="204"/>
      <c r="T67" s="204"/>
      <c r="U67" s="204"/>
      <c r="V67" s="204"/>
      <c r="W67" s="204"/>
      <c r="X67" s="204"/>
      <c r="Y67" s="204"/>
      <c r="Z67" s="204"/>
      <c r="AA67" s="204"/>
    </row>
    <row r="68" spans="1:27" ht="15.75" customHeight="1" x14ac:dyDescent="0.2">
      <c r="A68" s="210" t="s">
        <v>323</v>
      </c>
      <c r="B68" s="142"/>
      <c r="C68" s="138"/>
      <c r="D68" s="143"/>
      <c r="E68" s="211"/>
      <c r="F68" s="212">
        <f t="shared" si="3"/>
        <v>0</v>
      </c>
      <c r="G68" s="213" t="str">
        <f t="shared" si="1"/>
        <v/>
      </c>
      <c r="H68" s="209">
        <f t="shared" si="2"/>
        <v>0</v>
      </c>
      <c r="I68" s="75"/>
      <c r="J68" s="75"/>
      <c r="K68" s="75"/>
      <c r="L68" s="204"/>
      <c r="M68" s="204"/>
      <c r="N68" s="204"/>
      <c r="O68" s="204"/>
      <c r="P68" s="204"/>
      <c r="Q68" s="204"/>
      <c r="R68" s="204"/>
      <c r="S68" s="204"/>
      <c r="T68" s="204"/>
      <c r="U68" s="204"/>
      <c r="V68" s="204"/>
      <c r="W68" s="204"/>
      <c r="X68" s="204"/>
      <c r="Y68" s="204"/>
      <c r="Z68" s="204"/>
      <c r="AA68" s="204"/>
    </row>
    <row r="69" spans="1:27" ht="15.75" customHeight="1" x14ac:dyDescent="0.2">
      <c r="A69" s="210" t="s">
        <v>324</v>
      </c>
      <c r="B69" s="142"/>
      <c r="C69" s="138"/>
      <c r="D69" s="143"/>
      <c r="E69" s="211"/>
      <c r="F69" s="212">
        <f t="shared" si="3"/>
        <v>0</v>
      </c>
      <c r="G69" s="213" t="str">
        <f t="shared" si="1"/>
        <v/>
      </c>
      <c r="H69" s="209">
        <f t="shared" si="2"/>
        <v>0</v>
      </c>
      <c r="I69" s="75"/>
      <c r="J69" s="75"/>
      <c r="K69" s="75"/>
      <c r="L69" s="204"/>
      <c r="M69" s="204"/>
      <c r="N69" s="204"/>
      <c r="O69" s="204"/>
      <c r="P69" s="204"/>
      <c r="Q69" s="204"/>
      <c r="R69" s="204"/>
      <c r="S69" s="204"/>
      <c r="T69" s="204"/>
      <c r="U69" s="204"/>
      <c r="V69" s="204"/>
      <c r="W69" s="204"/>
      <c r="X69" s="204"/>
      <c r="Y69" s="204"/>
      <c r="Z69" s="204"/>
      <c r="AA69" s="204"/>
    </row>
    <row r="70" spans="1:27" ht="15.75" customHeight="1" x14ac:dyDescent="0.2">
      <c r="A70" s="210" t="s">
        <v>325</v>
      </c>
      <c r="B70" s="142"/>
      <c r="C70" s="138"/>
      <c r="D70" s="143"/>
      <c r="E70" s="211"/>
      <c r="F70" s="212">
        <f t="shared" si="3"/>
        <v>0</v>
      </c>
      <c r="G70" s="213" t="str">
        <f t="shared" si="1"/>
        <v/>
      </c>
      <c r="H70" s="209">
        <f t="shared" si="2"/>
        <v>0</v>
      </c>
      <c r="I70" s="75"/>
      <c r="J70" s="75"/>
      <c r="K70" s="75"/>
      <c r="L70" s="204"/>
      <c r="M70" s="204"/>
      <c r="N70" s="204"/>
      <c r="O70" s="204"/>
      <c r="P70" s="204"/>
      <c r="Q70" s="204"/>
      <c r="R70" s="204"/>
      <c r="S70" s="204"/>
      <c r="T70" s="204"/>
      <c r="U70" s="204"/>
      <c r="V70" s="204"/>
      <c r="W70" s="204"/>
      <c r="X70" s="204"/>
      <c r="Y70" s="204"/>
      <c r="Z70" s="204"/>
      <c r="AA70" s="204"/>
    </row>
    <row r="71" spans="1:27" ht="15.75" customHeight="1" x14ac:dyDescent="0.2">
      <c r="A71" s="210" t="s">
        <v>326</v>
      </c>
      <c r="B71" s="142"/>
      <c r="C71" s="138"/>
      <c r="D71" s="143"/>
      <c r="E71" s="211"/>
      <c r="F71" s="212">
        <f t="shared" si="3"/>
        <v>0</v>
      </c>
      <c r="G71" s="213" t="str">
        <f t="shared" si="1"/>
        <v/>
      </c>
      <c r="H71" s="209">
        <f t="shared" si="2"/>
        <v>0</v>
      </c>
      <c r="I71" s="75"/>
      <c r="J71" s="75"/>
      <c r="K71" s="75"/>
      <c r="L71" s="204"/>
      <c r="M71" s="204"/>
      <c r="N71" s="204"/>
      <c r="O71" s="204"/>
      <c r="P71" s="204"/>
      <c r="Q71" s="204"/>
      <c r="R71" s="204"/>
      <c r="S71" s="204"/>
      <c r="T71" s="204"/>
      <c r="U71" s="204"/>
      <c r="V71" s="204"/>
      <c r="W71" s="204"/>
      <c r="X71" s="204"/>
      <c r="Y71" s="204"/>
      <c r="Z71" s="204"/>
      <c r="AA71" s="204"/>
    </row>
    <row r="72" spans="1:27" ht="15.75" customHeight="1" x14ac:dyDescent="0.2">
      <c r="A72" s="210" t="s">
        <v>327</v>
      </c>
      <c r="B72" s="142"/>
      <c r="C72" s="138"/>
      <c r="D72" s="143"/>
      <c r="E72" s="211"/>
      <c r="F72" s="212">
        <f t="shared" si="3"/>
        <v>0</v>
      </c>
      <c r="G72" s="213" t="str">
        <f t="shared" si="1"/>
        <v/>
      </c>
      <c r="H72" s="209">
        <f t="shared" si="2"/>
        <v>0</v>
      </c>
      <c r="I72" s="75"/>
      <c r="J72" s="75"/>
      <c r="K72" s="75"/>
      <c r="L72" s="204"/>
      <c r="M72" s="204"/>
      <c r="N72" s="204"/>
      <c r="O72" s="204"/>
      <c r="P72" s="204"/>
      <c r="Q72" s="204"/>
      <c r="R72" s="204"/>
      <c r="S72" s="204"/>
      <c r="T72" s="204"/>
      <c r="U72" s="204"/>
      <c r="V72" s="204"/>
      <c r="W72" s="204"/>
      <c r="X72" s="204"/>
      <c r="Y72" s="204"/>
      <c r="Z72" s="204"/>
      <c r="AA72" s="204"/>
    </row>
    <row r="73" spans="1:27" ht="15.75" customHeight="1" x14ac:dyDescent="0.2">
      <c r="A73" s="210" t="s">
        <v>328</v>
      </c>
      <c r="B73" s="142"/>
      <c r="C73" s="138"/>
      <c r="D73" s="143"/>
      <c r="E73" s="211"/>
      <c r="F73" s="212">
        <f t="shared" si="3"/>
        <v>0</v>
      </c>
      <c r="G73" s="213" t="str">
        <f t="shared" ref="G73:G136" si="4">IF(OR(C73&gt;0,D73&gt;0),"1","")</f>
        <v/>
      </c>
      <c r="H73" s="209">
        <f t="shared" ref="H73:H136" si="5">IF(OR(C73=1,D73=1),1,0)</f>
        <v>0</v>
      </c>
      <c r="I73" s="75"/>
      <c r="J73" s="75"/>
      <c r="K73" s="75"/>
      <c r="L73" s="204"/>
      <c r="M73" s="204"/>
      <c r="N73" s="204"/>
      <c r="O73" s="204"/>
      <c r="P73" s="204"/>
      <c r="Q73" s="204"/>
      <c r="R73" s="204"/>
      <c r="S73" s="204"/>
      <c r="T73" s="204"/>
      <c r="U73" s="204"/>
      <c r="V73" s="204"/>
      <c r="W73" s="204"/>
      <c r="X73" s="204"/>
      <c r="Y73" s="204"/>
      <c r="Z73" s="204"/>
      <c r="AA73" s="204"/>
    </row>
    <row r="74" spans="1:27" ht="15.75" customHeight="1" x14ac:dyDescent="0.2">
      <c r="A74" s="210" t="s">
        <v>329</v>
      </c>
      <c r="B74" s="142"/>
      <c r="C74" s="138"/>
      <c r="D74" s="143"/>
      <c r="E74" s="211"/>
      <c r="F74" s="212">
        <f t="shared" si="3"/>
        <v>0</v>
      </c>
      <c r="G74" s="213" t="str">
        <f t="shared" si="4"/>
        <v/>
      </c>
      <c r="H74" s="209">
        <f t="shared" si="5"/>
        <v>0</v>
      </c>
      <c r="I74" s="75"/>
      <c r="J74" s="75"/>
      <c r="K74" s="75"/>
      <c r="L74" s="204"/>
      <c r="M74" s="204"/>
      <c r="N74" s="204"/>
      <c r="O74" s="204"/>
      <c r="P74" s="204"/>
      <c r="Q74" s="204"/>
      <c r="R74" s="204"/>
      <c r="S74" s="204"/>
      <c r="T74" s="204"/>
      <c r="U74" s="204"/>
      <c r="V74" s="204"/>
      <c r="W74" s="204"/>
      <c r="X74" s="204"/>
      <c r="Y74" s="204"/>
      <c r="Z74" s="204"/>
      <c r="AA74" s="204"/>
    </row>
    <row r="75" spans="1:27" ht="15.75" customHeight="1" x14ac:dyDescent="0.2">
      <c r="A75" s="210" t="s">
        <v>330</v>
      </c>
      <c r="B75" s="142"/>
      <c r="C75" s="138"/>
      <c r="D75" s="143"/>
      <c r="E75" s="211"/>
      <c r="F75" s="212">
        <f t="shared" si="3"/>
        <v>0</v>
      </c>
      <c r="G75" s="213" t="str">
        <f t="shared" si="4"/>
        <v/>
      </c>
      <c r="H75" s="209">
        <f t="shared" si="5"/>
        <v>0</v>
      </c>
      <c r="I75" s="75"/>
      <c r="J75" s="75"/>
      <c r="K75" s="75"/>
      <c r="L75" s="204"/>
      <c r="M75" s="204"/>
      <c r="N75" s="204"/>
      <c r="O75" s="204"/>
      <c r="P75" s="204"/>
      <c r="Q75" s="204"/>
      <c r="R75" s="204"/>
      <c r="S75" s="204"/>
      <c r="T75" s="204"/>
      <c r="U75" s="204"/>
      <c r="V75" s="204"/>
      <c r="W75" s="204"/>
      <c r="X75" s="204"/>
      <c r="Y75" s="204"/>
      <c r="Z75" s="204"/>
      <c r="AA75" s="204"/>
    </row>
    <row r="76" spans="1:27" ht="15.75" customHeight="1" x14ac:dyDescent="0.2">
      <c r="A76" s="210" t="s">
        <v>331</v>
      </c>
      <c r="B76" s="142"/>
      <c r="C76" s="138"/>
      <c r="D76" s="143"/>
      <c r="E76" s="211"/>
      <c r="F76" s="212">
        <f t="shared" si="3"/>
        <v>0</v>
      </c>
      <c r="G76" s="213" t="str">
        <f t="shared" si="4"/>
        <v/>
      </c>
      <c r="H76" s="209">
        <f t="shared" si="5"/>
        <v>0</v>
      </c>
      <c r="I76" s="75"/>
      <c r="J76" s="75"/>
      <c r="K76" s="75"/>
      <c r="L76" s="204"/>
      <c r="M76" s="204"/>
      <c r="N76" s="204"/>
      <c r="O76" s="204"/>
      <c r="P76" s="204"/>
      <c r="Q76" s="204"/>
      <c r="R76" s="204"/>
      <c r="S76" s="204"/>
      <c r="T76" s="204"/>
      <c r="U76" s="204"/>
      <c r="V76" s="204"/>
      <c r="W76" s="204"/>
      <c r="X76" s="204"/>
      <c r="Y76" s="204"/>
      <c r="Z76" s="204"/>
      <c r="AA76" s="204"/>
    </row>
    <row r="77" spans="1:27" ht="15.75" customHeight="1" x14ac:dyDescent="0.2">
      <c r="A77" s="210" t="s">
        <v>902</v>
      </c>
      <c r="B77" s="142"/>
      <c r="C77" s="138"/>
      <c r="D77" s="143"/>
      <c r="E77" s="211"/>
      <c r="F77" s="212">
        <f t="shared" si="3"/>
        <v>0</v>
      </c>
      <c r="G77" s="213" t="str">
        <f t="shared" si="4"/>
        <v/>
      </c>
      <c r="H77" s="209">
        <f t="shared" si="5"/>
        <v>0</v>
      </c>
      <c r="I77" s="75"/>
      <c r="J77" s="75"/>
      <c r="K77" s="75"/>
      <c r="L77" s="204"/>
      <c r="M77" s="204"/>
      <c r="N77" s="204"/>
      <c r="O77" s="204"/>
      <c r="P77" s="204"/>
      <c r="Q77" s="204"/>
      <c r="R77" s="204"/>
      <c r="S77" s="204"/>
      <c r="T77" s="204"/>
      <c r="U77" s="204"/>
      <c r="V77" s="204"/>
      <c r="W77" s="204"/>
      <c r="X77" s="204"/>
      <c r="Y77" s="204"/>
      <c r="Z77" s="204"/>
      <c r="AA77" s="204"/>
    </row>
    <row r="78" spans="1:27" ht="15.75" customHeight="1" x14ac:dyDescent="0.2">
      <c r="A78" s="210" t="s">
        <v>332</v>
      </c>
      <c r="B78" s="142"/>
      <c r="C78" s="138"/>
      <c r="D78" s="143"/>
      <c r="E78" s="211"/>
      <c r="F78" s="212">
        <f t="shared" si="3"/>
        <v>0</v>
      </c>
      <c r="G78" s="213" t="str">
        <f t="shared" si="4"/>
        <v/>
      </c>
      <c r="H78" s="209">
        <f t="shared" si="5"/>
        <v>0</v>
      </c>
      <c r="I78" s="75"/>
      <c r="J78" s="75"/>
      <c r="K78" s="75"/>
      <c r="L78" s="204"/>
      <c r="M78" s="204"/>
      <c r="N78" s="204"/>
      <c r="O78" s="204"/>
      <c r="P78" s="204"/>
      <c r="Q78" s="204"/>
      <c r="R78" s="204"/>
      <c r="S78" s="204"/>
      <c r="T78" s="204"/>
      <c r="U78" s="204"/>
      <c r="V78" s="204"/>
      <c r="W78" s="204"/>
      <c r="X78" s="204"/>
      <c r="Y78" s="204"/>
      <c r="Z78" s="204"/>
      <c r="AA78" s="204"/>
    </row>
    <row r="79" spans="1:27" ht="15.75" customHeight="1" x14ac:dyDescent="0.2">
      <c r="A79" s="210" t="s">
        <v>333</v>
      </c>
      <c r="B79" s="142"/>
      <c r="C79" s="138"/>
      <c r="D79" s="143"/>
      <c r="E79" s="211"/>
      <c r="F79" s="212">
        <f t="shared" si="3"/>
        <v>0</v>
      </c>
      <c r="G79" s="213" t="str">
        <f t="shared" si="4"/>
        <v/>
      </c>
      <c r="H79" s="209">
        <f t="shared" si="5"/>
        <v>0</v>
      </c>
      <c r="I79" s="75"/>
      <c r="J79" s="75"/>
      <c r="K79" s="75"/>
      <c r="L79" s="204"/>
      <c r="M79" s="204"/>
      <c r="N79" s="204"/>
      <c r="O79" s="204"/>
      <c r="P79" s="204"/>
      <c r="Q79" s="204"/>
      <c r="R79" s="204"/>
      <c r="S79" s="204"/>
      <c r="T79" s="204"/>
      <c r="U79" s="204"/>
      <c r="V79" s="204"/>
      <c r="W79" s="204"/>
      <c r="X79" s="204"/>
      <c r="Y79" s="204"/>
      <c r="Z79" s="204"/>
      <c r="AA79" s="204"/>
    </row>
    <row r="80" spans="1:27" ht="15.75" customHeight="1" x14ac:dyDescent="0.2">
      <c r="A80" s="210" t="s">
        <v>334</v>
      </c>
      <c r="B80" s="142"/>
      <c r="C80" s="138"/>
      <c r="D80" s="143"/>
      <c r="E80" s="211"/>
      <c r="F80" s="212">
        <f t="shared" si="3"/>
        <v>0</v>
      </c>
      <c r="G80" s="213" t="str">
        <f t="shared" si="4"/>
        <v/>
      </c>
      <c r="H80" s="209">
        <f t="shared" si="5"/>
        <v>0</v>
      </c>
      <c r="I80" s="75"/>
      <c r="J80" s="75"/>
      <c r="K80" s="75"/>
      <c r="L80" s="204"/>
      <c r="M80" s="204"/>
      <c r="N80" s="204"/>
      <c r="O80" s="204"/>
      <c r="P80" s="204"/>
      <c r="Q80" s="204"/>
      <c r="R80" s="204"/>
      <c r="S80" s="204"/>
      <c r="T80" s="204"/>
      <c r="U80" s="204"/>
      <c r="V80" s="204"/>
      <c r="W80" s="204"/>
      <c r="X80" s="204"/>
      <c r="Y80" s="204"/>
      <c r="Z80" s="204"/>
      <c r="AA80" s="204"/>
    </row>
    <row r="81" spans="1:27" ht="15.75" customHeight="1" x14ac:dyDescent="0.2">
      <c r="A81" s="210" t="s">
        <v>335</v>
      </c>
      <c r="B81" s="142"/>
      <c r="C81" s="138"/>
      <c r="D81" s="143"/>
      <c r="E81" s="211"/>
      <c r="F81" s="212">
        <f t="shared" si="3"/>
        <v>0</v>
      </c>
      <c r="G81" s="213" t="str">
        <f t="shared" si="4"/>
        <v/>
      </c>
      <c r="H81" s="209">
        <f t="shared" si="5"/>
        <v>0</v>
      </c>
      <c r="I81" s="75"/>
      <c r="J81" s="75"/>
      <c r="K81" s="75"/>
      <c r="L81" s="204"/>
      <c r="M81" s="204"/>
      <c r="N81" s="204"/>
      <c r="O81" s="204"/>
      <c r="P81" s="204"/>
      <c r="Q81" s="204"/>
      <c r="R81" s="204"/>
      <c r="S81" s="204"/>
      <c r="T81" s="204"/>
      <c r="U81" s="204"/>
      <c r="V81" s="204"/>
      <c r="W81" s="204"/>
      <c r="X81" s="204"/>
      <c r="Y81" s="204"/>
      <c r="Z81" s="204"/>
      <c r="AA81" s="204"/>
    </row>
    <row r="82" spans="1:27" ht="15.75" customHeight="1" x14ac:dyDescent="0.2">
      <c r="A82" s="210" t="s">
        <v>336</v>
      </c>
      <c r="B82" s="142"/>
      <c r="C82" s="138"/>
      <c r="D82" s="143"/>
      <c r="E82" s="211"/>
      <c r="F82" s="212">
        <f t="shared" si="3"/>
        <v>0</v>
      </c>
      <c r="G82" s="213" t="str">
        <f t="shared" si="4"/>
        <v/>
      </c>
      <c r="H82" s="209">
        <f t="shared" si="5"/>
        <v>0</v>
      </c>
      <c r="I82" s="75"/>
      <c r="J82" s="75"/>
      <c r="K82" s="75"/>
      <c r="L82" s="204"/>
      <c r="M82" s="204"/>
      <c r="N82" s="204"/>
      <c r="O82" s="204"/>
      <c r="P82" s="204"/>
      <c r="Q82" s="204"/>
      <c r="R82" s="204"/>
      <c r="S82" s="204"/>
      <c r="T82" s="204"/>
      <c r="U82" s="204"/>
      <c r="V82" s="204"/>
      <c r="W82" s="204"/>
      <c r="X82" s="204"/>
      <c r="Y82" s="204"/>
      <c r="Z82" s="204"/>
      <c r="AA82" s="204"/>
    </row>
    <row r="83" spans="1:27" ht="15.75" customHeight="1" x14ac:dyDescent="0.2">
      <c r="A83" s="210" t="s">
        <v>337</v>
      </c>
      <c r="B83" s="142"/>
      <c r="C83" s="138"/>
      <c r="D83" s="143"/>
      <c r="E83" s="211"/>
      <c r="F83" s="212">
        <f t="shared" si="3"/>
        <v>0</v>
      </c>
      <c r="G83" s="213" t="str">
        <f t="shared" si="4"/>
        <v/>
      </c>
      <c r="H83" s="209">
        <f t="shared" si="5"/>
        <v>0</v>
      </c>
      <c r="I83" s="75"/>
      <c r="J83" s="75"/>
      <c r="K83" s="75"/>
      <c r="L83" s="204"/>
      <c r="M83" s="204"/>
      <c r="N83" s="204"/>
      <c r="O83" s="204"/>
      <c r="P83" s="204"/>
      <c r="Q83" s="204"/>
      <c r="R83" s="204"/>
      <c r="S83" s="204"/>
      <c r="T83" s="204"/>
      <c r="U83" s="204"/>
      <c r="V83" s="204"/>
      <c r="W83" s="204"/>
      <c r="X83" s="204"/>
      <c r="Y83" s="204"/>
      <c r="Z83" s="204"/>
      <c r="AA83" s="204"/>
    </row>
    <row r="84" spans="1:27" ht="15.75" customHeight="1" x14ac:dyDescent="0.2">
      <c r="A84" s="210" t="s">
        <v>338</v>
      </c>
      <c r="B84" s="142"/>
      <c r="C84" s="138"/>
      <c r="D84" s="143"/>
      <c r="E84" s="211"/>
      <c r="F84" s="212">
        <f t="shared" si="3"/>
        <v>0</v>
      </c>
      <c r="G84" s="213" t="str">
        <f t="shared" si="4"/>
        <v/>
      </c>
      <c r="H84" s="209">
        <f t="shared" si="5"/>
        <v>0</v>
      </c>
      <c r="I84" s="75"/>
      <c r="J84" s="75"/>
      <c r="K84" s="75"/>
      <c r="L84" s="204"/>
      <c r="M84" s="204"/>
      <c r="N84" s="204"/>
      <c r="O84" s="204"/>
      <c r="P84" s="204"/>
      <c r="Q84" s="204"/>
      <c r="R84" s="204"/>
      <c r="S84" s="204"/>
      <c r="T84" s="204"/>
      <c r="U84" s="204"/>
      <c r="V84" s="204"/>
      <c r="W84" s="204"/>
      <c r="X84" s="204"/>
      <c r="Y84" s="204"/>
      <c r="Z84" s="204"/>
      <c r="AA84" s="204"/>
    </row>
    <row r="85" spans="1:27" ht="15.75" customHeight="1" x14ac:dyDescent="0.2">
      <c r="A85" s="210" t="s">
        <v>542</v>
      </c>
      <c r="B85" s="142"/>
      <c r="C85" s="138"/>
      <c r="D85" s="143"/>
      <c r="E85" s="211"/>
      <c r="F85" s="212">
        <f t="shared" si="3"/>
        <v>0</v>
      </c>
      <c r="G85" s="213" t="str">
        <f t="shared" si="4"/>
        <v/>
      </c>
      <c r="H85" s="209">
        <f t="shared" si="5"/>
        <v>0</v>
      </c>
      <c r="I85" s="75"/>
      <c r="J85" s="75"/>
      <c r="K85" s="75"/>
      <c r="L85" s="204"/>
      <c r="M85" s="204"/>
      <c r="N85" s="204"/>
      <c r="O85" s="204"/>
      <c r="P85" s="204"/>
      <c r="Q85" s="204"/>
      <c r="R85" s="204"/>
      <c r="S85" s="204"/>
      <c r="T85" s="204"/>
      <c r="U85" s="204"/>
      <c r="V85" s="204"/>
      <c r="W85" s="204"/>
      <c r="X85" s="204"/>
      <c r="Y85" s="204"/>
      <c r="Z85" s="204"/>
      <c r="AA85" s="204"/>
    </row>
    <row r="86" spans="1:27" ht="15.75" customHeight="1" x14ac:dyDescent="0.2">
      <c r="A86" s="210" t="s">
        <v>339</v>
      </c>
      <c r="B86" s="142"/>
      <c r="C86" s="138"/>
      <c r="D86" s="143"/>
      <c r="E86" s="211"/>
      <c r="F86" s="212">
        <f t="shared" si="3"/>
        <v>0</v>
      </c>
      <c r="G86" s="213" t="str">
        <f t="shared" si="4"/>
        <v/>
      </c>
      <c r="H86" s="209">
        <f t="shared" si="5"/>
        <v>0</v>
      </c>
      <c r="I86" s="75"/>
      <c r="J86" s="75"/>
      <c r="K86" s="75"/>
      <c r="L86" s="204"/>
      <c r="M86" s="204"/>
      <c r="N86" s="204"/>
      <c r="O86" s="204"/>
      <c r="P86" s="204"/>
      <c r="Q86" s="204"/>
      <c r="R86" s="204"/>
      <c r="S86" s="204"/>
      <c r="T86" s="204"/>
      <c r="U86" s="204"/>
      <c r="V86" s="204"/>
      <c r="W86" s="204"/>
      <c r="X86" s="204"/>
      <c r="Y86" s="204"/>
      <c r="Z86" s="204"/>
      <c r="AA86" s="204"/>
    </row>
    <row r="87" spans="1:27" ht="15.75" customHeight="1" x14ac:dyDescent="0.2">
      <c r="A87" s="210" t="s">
        <v>897</v>
      </c>
      <c r="B87" s="142"/>
      <c r="C87" s="138"/>
      <c r="D87" s="143"/>
      <c r="E87" s="211"/>
      <c r="F87" s="212">
        <f t="shared" si="3"/>
        <v>0</v>
      </c>
      <c r="G87" s="213" t="str">
        <f t="shared" si="4"/>
        <v/>
      </c>
      <c r="H87" s="209">
        <f t="shared" si="5"/>
        <v>0</v>
      </c>
      <c r="I87" s="75"/>
      <c r="J87" s="75"/>
      <c r="K87" s="75"/>
      <c r="L87" s="204"/>
      <c r="M87" s="204"/>
      <c r="N87" s="204"/>
      <c r="O87" s="204"/>
      <c r="P87" s="204"/>
      <c r="Q87" s="204"/>
      <c r="R87" s="204"/>
      <c r="S87" s="204"/>
      <c r="T87" s="204"/>
      <c r="U87" s="204"/>
      <c r="V87" s="204"/>
      <c r="W87" s="204"/>
      <c r="X87" s="204"/>
      <c r="Y87" s="204"/>
      <c r="Z87" s="204"/>
      <c r="AA87" s="204"/>
    </row>
    <row r="88" spans="1:27" ht="15.75" customHeight="1" x14ac:dyDescent="0.2">
      <c r="A88" s="210" t="s">
        <v>567</v>
      </c>
      <c r="B88" s="142"/>
      <c r="C88" s="138"/>
      <c r="D88" s="143"/>
      <c r="E88" s="211"/>
      <c r="F88" s="212">
        <f t="shared" si="3"/>
        <v>0</v>
      </c>
      <c r="G88" s="213" t="str">
        <f t="shared" si="4"/>
        <v/>
      </c>
      <c r="H88" s="209">
        <f t="shared" si="5"/>
        <v>0</v>
      </c>
      <c r="I88" s="75"/>
      <c r="J88" s="75"/>
      <c r="K88" s="75"/>
      <c r="L88" s="204"/>
      <c r="M88" s="204"/>
      <c r="N88" s="204"/>
      <c r="O88" s="204"/>
      <c r="P88" s="204"/>
      <c r="Q88" s="204"/>
      <c r="R88" s="204"/>
      <c r="S88" s="204"/>
      <c r="T88" s="204"/>
      <c r="U88" s="204"/>
      <c r="V88" s="204"/>
      <c r="W88" s="204"/>
      <c r="X88" s="204"/>
      <c r="Y88" s="204"/>
      <c r="Z88" s="204"/>
      <c r="AA88" s="204"/>
    </row>
    <row r="89" spans="1:27" ht="15.75" customHeight="1" x14ac:dyDescent="0.2">
      <c r="A89" s="210" t="s">
        <v>340</v>
      </c>
      <c r="B89" s="142"/>
      <c r="C89" s="138"/>
      <c r="D89" s="143"/>
      <c r="E89" s="211"/>
      <c r="F89" s="212">
        <f t="shared" si="3"/>
        <v>0</v>
      </c>
      <c r="G89" s="213" t="str">
        <f t="shared" si="4"/>
        <v/>
      </c>
      <c r="H89" s="209">
        <f t="shared" si="5"/>
        <v>0</v>
      </c>
      <c r="I89" s="75"/>
      <c r="J89" s="75"/>
      <c r="K89" s="75"/>
      <c r="L89" s="204"/>
      <c r="M89" s="204"/>
      <c r="N89" s="204"/>
      <c r="O89" s="204"/>
      <c r="P89" s="204"/>
      <c r="Q89" s="204"/>
      <c r="R89" s="204"/>
      <c r="S89" s="204"/>
      <c r="T89" s="204"/>
      <c r="U89" s="204"/>
      <c r="V89" s="204"/>
      <c r="W89" s="204"/>
      <c r="X89" s="204"/>
      <c r="Y89" s="204"/>
      <c r="Z89" s="204"/>
      <c r="AA89" s="204"/>
    </row>
    <row r="90" spans="1:27" ht="15.75" customHeight="1" x14ac:dyDescent="0.2">
      <c r="A90" s="210" t="s">
        <v>341</v>
      </c>
      <c r="B90" s="142"/>
      <c r="C90" s="138"/>
      <c r="D90" s="143"/>
      <c r="E90" s="211"/>
      <c r="F90" s="212">
        <f t="shared" si="3"/>
        <v>0</v>
      </c>
      <c r="G90" s="213" t="str">
        <f t="shared" si="4"/>
        <v/>
      </c>
      <c r="H90" s="209">
        <f t="shared" si="5"/>
        <v>0</v>
      </c>
      <c r="I90" s="75"/>
      <c r="J90" s="75"/>
      <c r="K90" s="75"/>
      <c r="L90" s="204"/>
      <c r="M90" s="204"/>
      <c r="N90" s="204"/>
      <c r="O90" s="204"/>
      <c r="P90" s="204"/>
      <c r="Q90" s="204"/>
      <c r="R90" s="204"/>
      <c r="S90" s="204"/>
      <c r="T90" s="204"/>
      <c r="U90" s="204"/>
      <c r="V90" s="204"/>
      <c r="W90" s="204"/>
      <c r="X90" s="204"/>
      <c r="Y90" s="204"/>
      <c r="Z90" s="204"/>
      <c r="AA90" s="204"/>
    </row>
    <row r="91" spans="1:27" ht="15.75" customHeight="1" x14ac:dyDescent="0.2">
      <c r="A91" s="210" t="s">
        <v>342</v>
      </c>
      <c r="B91" s="142"/>
      <c r="C91" s="138"/>
      <c r="D91" s="143"/>
      <c r="E91" s="211"/>
      <c r="F91" s="212">
        <f t="shared" si="3"/>
        <v>0</v>
      </c>
      <c r="G91" s="213" t="str">
        <f t="shared" si="4"/>
        <v/>
      </c>
      <c r="H91" s="209">
        <f t="shared" si="5"/>
        <v>0</v>
      </c>
      <c r="I91" s="75"/>
      <c r="J91" s="75"/>
      <c r="K91" s="75"/>
      <c r="L91" s="204"/>
      <c r="M91" s="204"/>
      <c r="N91" s="204"/>
      <c r="O91" s="204"/>
      <c r="P91" s="204"/>
      <c r="Q91" s="204"/>
      <c r="R91" s="204"/>
      <c r="S91" s="204"/>
      <c r="T91" s="204"/>
      <c r="U91" s="204"/>
      <c r="V91" s="204"/>
      <c r="W91" s="204"/>
      <c r="X91" s="204"/>
      <c r="Y91" s="204"/>
      <c r="Z91" s="204"/>
      <c r="AA91" s="204"/>
    </row>
    <row r="92" spans="1:27" ht="15.75" customHeight="1" x14ac:dyDescent="0.2">
      <c r="A92" s="210" t="s">
        <v>343</v>
      </c>
      <c r="B92" s="142"/>
      <c r="C92" s="138"/>
      <c r="D92" s="143"/>
      <c r="E92" s="211"/>
      <c r="F92" s="212">
        <f t="shared" si="3"/>
        <v>0</v>
      </c>
      <c r="G92" s="213" t="str">
        <f t="shared" si="4"/>
        <v/>
      </c>
      <c r="H92" s="209">
        <f t="shared" si="5"/>
        <v>0</v>
      </c>
      <c r="I92" s="75"/>
      <c r="J92" s="75"/>
      <c r="K92" s="75"/>
      <c r="L92" s="204"/>
      <c r="M92" s="204"/>
      <c r="N92" s="204"/>
      <c r="O92" s="204"/>
      <c r="P92" s="204"/>
      <c r="Q92" s="204"/>
      <c r="R92" s="204"/>
      <c r="S92" s="204"/>
      <c r="T92" s="204"/>
      <c r="U92" s="204"/>
      <c r="V92" s="204"/>
      <c r="W92" s="204"/>
      <c r="X92" s="204"/>
      <c r="Y92" s="204"/>
      <c r="Z92" s="204"/>
      <c r="AA92" s="204"/>
    </row>
    <row r="93" spans="1:27" ht="15.75" customHeight="1" x14ac:dyDescent="0.2">
      <c r="A93" s="210" t="s">
        <v>344</v>
      </c>
      <c r="B93" s="142"/>
      <c r="C93" s="138"/>
      <c r="D93" s="143"/>
      <c r="E93" s="211"/>
      <c r="F93" s="212">
        <f t="shared" si="3"/>
        <v>0</v>
      </c>
      <c r="G93" s="213" t="str">
        <f t="shared" si="4"/>
        <v/>
      </c>
      <c r="H93" s="209">
        <f t="shared" si="5"/>
        <v>0</v>
      </c>
      <c r="I93" s="75"/>
      <c r="J93" s="75"/>
      <c r="K93" s="75"/>
      <c r="L93" s="204"/>
      <c r="M93" s="204"/>
      <c r="N93" s="204"/>
      <c r="O93" s="204"/>
      <c r="P93" s="204"/>
      <c r="Q93" s="204"/>
      <c r="R93" s="204"/>
      <c r="S93" s="204"/>
      <c r="T93" s="204"/>
      <c r="U93" s="204"/>
      <c r="V93" s="204"/>
      <c r="W93" s="204"/>
      <c r="X93" s="204"/>
      <c r="Y93" s="204"/>
      <c r="Z93" s="204"/>
      <c r="AA93" s="204"/>
    </row>
    <row r="94" spans="1:27" ht="15.75" customHeight="1" x14ac:dyDescent="0.2">
      <c r="A94" s="210" t="s">
        <v>345</v>
      </c>
      <c r="B94" s="142"/>
      <c r="C94" s="138"/>
      <c r="D94" s="143"/>
      <c r="E94" s="211"/>
      <c r="F94" s="212">
        <f t="shared" si="3"/>
        <v>0</v>
      </c>
      <c r="G94" s="213" t="str">
        <f t="shared" si="4"/>
        <v/>
      </c>
      <c r="H94" s="209">
        <f t="shared" si="5"/>
        <v>0</v>
      </c>
      <c r="I94" s="75"/>
      <c r="J94" s="75"/>
      <c r="K94" s="75"/>
      <c r="L94" s="204"/>
      <c r="M94" s="204"/>
      <c r="N94" s="204"/>
      <c r="O94" s="204"/>
      <c r="P94" s="204"/>
      <c r="Q94" s="204"/>
      <c r="R94" s="204"/>
      <c r="S94" s="204"/>
      <c r="T94" s="204"/>
      <c r="U94" s="204"/>
      <c r="V94" s="204"/>
      <c r="W94" s="204"/>
      <c r="X94" s="204"/>
      <c r="Y94" s="204"/>
      <c r="Z94" s="204"/>
      <c r="AA94" s="204"/>
    </row>
    <row r="95" spans="1:27" ht="15.75" customHeight="1" x14ac:dyDescent="0.2">
      <c r="A95" s="210" t="s">
        <v>346</v>
      </c>
      <c r="B95" s="142"/>
      <c r="C95" s="138"/>
      <c r="D95" s="143"/>
      <c r="E95" s="211"/>
      <c r="F95" s="212">
        <f t="shared" si="3"/>
        <v>0</v>
      </c>
      <c r="G95" s="213" t="str">
        <f t="shared" si="4"/>
        <v/>
      </c>
      <c r="H95" s="209">
        <f t="shared" si="5"/>
        <v>0</v>
      </c>
      <c r="I95" s="75"/>
      <c r="J95" s="75"/>
      <c r="K95" s="75"/>
      <c r="L95" s="204"/>
      <c r="M95" s="204"/>
      <c r="N95" s="204"/>
      <c r="O95" s="204"/>
      <c r="P95" s="204"/>
      <c r="Q95" s="204"/>
      <c r="R95" s="204"/>
      <c r="S95" s="204"/>
      <c r="T95" s="204"/>
      <c r="U95" s="204"/>
      <c r="V95" s="204"/>
      <c r="W95" s="204"/>
      <c r="X95" s="204"/>
      <c r="Y95" s="204"/>
      <c r="Z95" s="204"/>
      <c r="AA95" s="204"/>
    </row>
    <row r="96" spans="1:27" ht="15.75" customHeight="1" x14ac:dyDescent="0.2">
      <c r="A96" s="215" t="s">
        <v>347</v>
      </c>
      <c r="B96" s="142"/>
      <c r="C96" s="138"/>
      <c r="D96" s="143"/>
      <c r="E96" s="211"/>
      <c r="F96" s="212">
        <f t="shared" si="3"/>
        <v>0</v>
      </c>
      <c r="G96" s="213" t="str">
        <f t="shared" si="4"/>
        <v/>
      </c>
      <c r="H96" s="209">
        <f t="shared" si="5"/>
        <v>0</v>
      </c>
      <c r="I96" s="75"/>
      <c r="J96" s="75"/>
      <c r="K96" s="75"/>
      <c r="L96" s="204"/>
      <c r="M96" s="204"/>
      <c r="N96" s="204"/>
      <c r="O96" s="204"/>
      <c r="P96" s="204"/>
      <c r="Q96" s="204"/>
      <c r="R96" s="204"/>
      <c r="S96" s="204"/>
      <c r="T96" s="204"/>
      <c r="U96" s="204"/>
      <c r="V96" s="204"/>
      <c r="W96" s="204"/>
      <c r="X96" s="204"/>
      <c r="Y96" s="204"/>
      <c r="Z96" s="204"/>
      <c r="AA96" s="204"/>
    </row>
    <row r="97" spans="1:27" ht="15.75" customHeight="1" x14ac:dyDescent="0.2">
      <c r="A97" s="210" t="s">
        <v>348</v>
      </c>
      <c r="B97" s="142"/>
      <c r="C97" s="138"/>
      <c r="D97" s="143"/>
      <c r="E97" s="211"/>
      <c r="F97" s="212">
        <f t="shared" si="3"/>
        <v>0</v>
      </c>
      <c r="G97" s="213" t="str">
        <f t="shared" si="4"/>
        <v/>
      </c>
      <c r="H97" s="209">
        <f t="shared" si="5"/>
        <v>0</v>
      </c>
      <c r="I97" s="75"/>
      <c r="J97" s="75"/>
      <c r="K97" s="75"/>
      <c r="L97" s="204"/>
      <c r="M97" s="204"/>
      <c r="N97" s="204"/>
      <c r="O97" s="204"/>
      <c r="P97" s="204"/>
      <c r="Q97" s="204"/>
      <c r="R97" s="204"/>
      <c r="S97" s="204"/>
      <c r="T97" s="204"/>
      <c r="U97" s="204"/>
      <c r="V97" s="204"/>
      <c r="W97" s="204"/>
      <c r="X97" s="204"/>
      <c r="Y97" s="204"/>
      <c r="Z97" s="204"/>
      <c r="AA97" s="204"/>
    </row>
    <row r="98" spans="1:27" ht="15.75" customHeight="1" x14ac:dyDescent="0.2">
      <c r="A98" s="210" t="s">
        <v>349</v>
      </c>
      <c r="B98" s="142"/>
      <c r="C98" s="138"/>
      <c r="D98" s="143"/>
      <c r="E98" s="211"/>
      <c r="F98" s="212">
        <f t="shared" si="3"/>
        <v>0</v>
      </c>
      <c r="G98" s="213" t="str">
        <f t="shared" si="4"/>
        <v/>
      </c>
      <c r="H98" s="209">
        <f t="shared" si="5"/>
        <v>0</v>
      </c>
      <c r="I98" s="75"/>
      <c r="J98" s="75"/>
      <c r="K98" s="75"/>
      <c r="L98" s="204"/>
      <c r="M98" s="204"/>
      <c r="N98" s="204"/>
      <c r="O98" s="204"/>
      <c r="P98" s="204"/>
      <c r="Q98" s="204"/>
      <c r="R98" s="204"/>
      <c r="S98" s="204"/>
      <c r="T98" s="204"/>
      <c r="U98" s="204"/>
      <c r="V98" s="204"/>
      <c r="W98" s="204"/>
      <c r="X98" s="204"/>
      <c r="Y98" s="204"/>
      <c r="Z98" s="204"/>
      <c r="AA98" s="204"/>
    </row>
    <row r="99" spans="1:27" ht="15.75" customHeight="1" x14ac:dyDescent="0.2">
      <c r="A99" s="210" t="s">
        <v>350</v>
      </c>
      <c r="B99" s="142"/>
      <c r="C99" s="138"/>
      <c r="D99" s="143"/>
      <c r="E99" s="211"/>
      <c r="F99" s="212">
        <f t="shared" si="3"/>
        <v>0</v>
      </c>
      <c r="G99" s="213" t="str">
        <f t="shared" si="4"/>
        <v/>
      </c>
      <c r="H99" s="209">
        <f t="shared" si="5"/>
        <v>0</v>
      </c>
      <c r="I99" s="75"/>
      <c r="J99" s="75"/>
      <c r="K99" s="75"/>
      <c r="L99" s="204"/>
      <c r="M99" s="204"/>
      <c r="N99" s="204"/>
      <c r="O99" s="204"/>
      <c r="P99" s="204"/>
      <c r="Q99" s="204"/>
      <c r="R99" s="204"/>
      <c r="S99" s="204"/>
      <c r="T99" s="204"/>
      <c r="U99" s="204"/>
      <c r="V99" s="204"/>
      <c r="W99" s="204"/>
      <c r="X99" s="204"/>
      <c r="Y99" s="204"/>
      <c r="Z99" s="204"/>
      <c r="AA99" s="204"/>
    </row>
    <row r="100" spans="1:27" ht="15.75" customHeight="1" x14ac:dyDescent="0.2">
      <c r="A100" s="210" t="s">
        <v>351</v>
      </c>
      <c r="B100" s="142"/>
      <c r="C100" s="138"/>
      <c r="D100" s="143"/>
      <c r="E100" s="211"/>
      <c r="F100" s="212">
        <f t="shared" si="3"/>
        <v>0</v>
      </c>
      <c r="G100" s="213" t="str">
        <f t="shared" si="4"/>
        <v/>
      </c>
      <c r="H100" s="209">
        <f t="shared" si="5"/>
        <v>0</v>
      </c>
      <c r="I100" s="75"/>
      <c r="J100" s="75"/>
      <c r="K100" s="75"/>
      <c r="L100" s="204"/>
      <c r="M100" s="204"/>
      <c r="N100" s="204"/>
      <c r="O100" s="204"/>
      <c r="P100" s="204"/>
      <c r="Q100" s="204"/>
      <c r="R100" s="204"/>
      <c r="S100" s="204"/>
      <c r="T100" s="204"/>
      <c r="U100" s="204"/>
      <c r="V100" s="204"/>
      <c r="W100" s="204"/>
      <c r="X100" s="204"/>
      <c r="Y100" s="204"/>
      <c r="Z100" s="204"/>
      <c r="AA100" s="204"/>
    </row>
    <row r="101" spans="1:27" ht="15.75" customHeight="1" x14ac:dyDescent="0.2">
      <c r="A101" s="210" t="s">
        <v>352</v>
      </c>
      <c r="B101" s="142"/>
      <c r="C101" s="138"/>
      <c r="D101" s="143"/>
      <c r="E101" s="211"/>
      <c r="F101" s="212">
        <f t="shared" si="3"/>
        <v>0</v>
      </c>
      <c r="G101" s="213" t="str">
        <f t="shared" si="4"/>
        <v/>
      </c>
      <c r="H101" s="209">
        <f t="shared" si="5"/>
        <v>0</v>
      </c>
      <c r="I101" s="75"/>
      <c r="J101" s="75"/>
      <c r="K101" s="75"/>
      <c r="L101" s="204"/>
      <c r="M101" s="204"/>
      <c r="N101" s="204"/>
      <c r="O101" s="204"/>
      <c r="P101" s="204"/>
      <c r="Q101" s="204"/>
      <c r="R101" s="204"/>
      <c r="S101" s="204"/>
      <c r="T101" s="204"/>
      <c r="U101" s="204"/>
      <c r="V101" s="204"/>
      <c r="W101" s="204"/>
      <c r="X101" s="204"/>
      <c r="Y101" s="204"/>
      <c r="Z101" s="204"/>
      <c r="AA101" s="204"/>
    </row>
    <row r="102" spans="1:27" ht="15.75" customHeight="1" x14ac:dyDescent="0.2">
      <c r="A102" s="210" t="s">
        <v>353</v>
      </c>
      <c r="B102" s="142"/>
      <c r="C102" s="138"/>
      <c r="D102" s="143"/>
      <c r="E102" s="211"/>
      <c r="F102" s="212">
        <f t="shared" si="3"/>
        <v>0</v>
      </c>
      <c r="G102" s="213" t="str">
        <f t="shared" si="4"/>
        <v/>
      </c>
      <c r="H102" s="209">
        <f t="shared" si="5"/>
        <v>0</v>
      </c>
      <c r="I102" s="75"/>
      <c r="J102" s="75"/>
      <c r="K102" s="75"/>
      <c r="L102" s="204"/>
      <c r="M102" s="204"/>
      <c r="N102" s="204"/>
      <c r="O102" s="204"/>
      <c r="P102" s="204"/>
      <c r="Q102" s="204"/>
      <c r="R102" s="204"/>
      <c r="S102" s="204"/>
      <c r="T102" s="204"/>
      <c r="U102" s="204"/>
      <c r="V102" s="204"/>
      <c r="W102" s="204"/>
      <c r="X102" s="204"/>
      <c r="Y102" s="204"/>
      <c r="Z102" s="204"/>
      <c r="AA102" s="204"/>
    </row>
    <row r="103" spans="1:27" ht="15.75" customHeight="1" x14ac:dyDescent="0.2">
      <c r="A103" s="210" t="s">
        <v>354</v>
      </c>
      <c r="B103" s="142"/>
      <c r="C103" s="138"/>
      <c r="D103" s="143"/>
      <c r="E103" s="211"/>
      <c r="F103" s="212">
        <f t="shared" si="3"/>
        <v>0</v>
      </c>
      <c r="G103" s="213" t="str">
        <f t="shared" si="4"/>
        <v/>
      </c>
      <c r="H103" s="209">
        <f t="shared" si="5"/>
        <v>0</v>
      </c>
      <c r="I103" s="75"/>
      <c r="J103" s="75"/>
      <c r="K103" s="75"/>
      <c r="L103" s="204"/>
      <c r="M103" s="204"/>
      <c r="N103" s="204"/>
      <c r="O103" s="204"/>
      <c r="P103" s="204"/>
      <c r="Q103" s="204"/>
      <c r="R103" s="204"/>
      <c r="S103" s="204"/>
      <c r="T103" s="204"/>
      <c r="U103" s="204"/>
      <c r="V103" s="204"/>
      <c r="W103" s="204"/>
      <c r="X103" s="204"/>
      <c r="Y103" s="204"/>
      <c r="Z103" s="204"/>
      <c r="AA103" s="204"/>
    </row>
    <row r="104" spans="1:27" ht="15.75" customHeight="1" x14ac:dyDescent="0.2">
      <c r="A104" s="210" t="s">
        <v>568</v>
      </c>
      <c r="B104" s="142"/>
      <c r="C104" s="138"/>
      <c r="D104" s="143"/>
      <c r="E104" s="211"/>
      <c r="F104" s="212">
        <f t="shared" si="3"/>
        <v>0</v>
      </c>
      <c r="G104" s="213" t="str">
        <f t="shared" si="4"/>
        <v/>
      </c>
      <c r="H104" s="209">
        <f t="shared" si="5"/>
        <v>0</v>
      </c>
      <c r="I104" s="75"/>
      <c r="J104" s="75"/>
      <c r="K104" s="75"/>
      <c r="L104" s="204"/>
      <c r="M104" s="204"/>
      <c r="N104" s="204"/>
      <c r="O104" s="204"/>
      <c r="P104" s="204"/>
      <c r="Q104" s="204"/>
      <c r="R104" s="204"/>
      <c r="S104" s="204"/>
      <c r="T104" s="204"/>
      <c r="U104" s="204"/>
      <c r="V104" s="204"/>
      <c r="W104" s="204"/>
      <c r="X104" s="204"/>
      <c r="Y104" s="204"/>
      <c r="Z104" s="204"/>
      <c r="AA104" s="204"/>
    </row>
    <row r="105" spans="1:27" ht="15.75" customHeight="1" x14ac:dyDescent="0.2">
      <c r="A105" s="210" t="s">
        <v>356</v>
      </c>
      <c r="B105" s="142"/>
      <c r="C105" s="138"/>
      <c r="D105" s="143"/>
      <c r="E105" s="211"/>
      <c r="F105" s="212">
        <f t="shared" si="3"/>
        <v>0</v>
      </c>
      <c r="G105" s="213" t="str">
        <f t="shared" si="4"/>
        <v/>
      </c>
      <c r="H105" s="209">
        <f t="shared" si="5"/>
        <v>0</v>
      </c>
      <c r="I105" s="75"/>
      <c r="J105" s="75"/>
      <c r="K105" s="75"/>
      <c r="L105" s="204"/>
      <c r="M105" s="204"/>
      <c r="N105" s="204"/>
      <c r="O105" s="204"/>
      <c r="P105" s="204"/>
      <c r="Q105" s="204"/>
      <c r="R105" s="204"/>
      <c r="S105" s="204"/>
      <c r="T105" s="204"/>
      <c r="U105" s="204"/>
      <c r="V105" s="204"/>
      <c r="W105" s="204"/>
      <c r="X105" s="204"/>
      <c r="Y105" s="204"/>
      <c r="Z105" s="204"/>
      <c r="AA105" s="204"/>
    </row>
    <row r="106" spans="1:27" ht="15.75" customHeight="1" x14ac:dyDescent="0.2">
      <c r="A106" s="210" t="s">
        <v>357</v>
      </c>
      <c r="B106" s="142"/>
      <c r="C106" s="138"/>
      <c r="D106" s="143"/>
      <c r="E106" s="211"/>
      <c r="F106" s="212">
        <f t="shared" si="3"/>
        <v>0</v>
      </c>
      <c r="G106" s="213" t="str">
        <f t="shared" si="4"/>
        <v/>
      </c>
      <c r="H106" s="209">
        <f t="shared" si="5"/>
        <v>0</v>
      </c>
      <c r="I106" s="75"/>
      <c r="J106" s="75"/>
      <c r="K106" s="75"/>
      <c r="L106" s="204"/>
      <c r="M106" s="204"/>
      <c r="N106" s="204"/>
      <c r="O106" s="204"/>
      <c r="P106" s="204"/>
      <c r="Q106" s="204"/>
      <c r="R106" s="204"/>
      <c r="S106" s="204"/>
      <c r="T106" s="204"/>
      <c r="U106" s="204"/>
      <c r="V106" s="204"/>
      <c r="W106" s="204"/>
      <c r="X106" s="204"/>
      <c r="Y106" s="204"/>
      <c r="Z106" s="204"/>
      <c r="AA106" s="204"/>
    </row>
    <row r="107" spans="1:27" ht="15.75" customHeight="1" x14ac:dyDescent="0.2">
      <c r="A107" s="210" t="s">
        <v>569</v>
      </c>
      <c r="B107" s="142"/>
      <c r="C107" s="138"/>
      <c r="D107" s="143"/>
      <c r="E107" s="211"/>
      <c r="F107" s="212">
        <f t="shared" si="3"/>
        <v>0</v>
      </c>
      <c r="G107" s="213" t="str">
        <f t="shared" si="4"/>
        <v/>
      </c>
      <c r="H107" s="209">
        <f t="shared" si="5"/>
        <v>0</v>
      </c>
      <c r="I107" s="75"/>
      <c r="J107" s="75"/>
      <c r="K107" s="75"/>
      <c r="L107" s="204"/>
      <c r="M107" s="204"/>
      <c r="N107" s="204"/>
      <c r="O107" s="204"/>
      <c r="P107" s="204"/>
      <c r="Q107" s="204"/>
      <c r="R107" s="204"/>
      <c r="S107" s="204"/>
      <c r="T107" s="204"/>
      <c r="U107" s="204"/>
      <c r="V107" s="204"/>
      <c r="W107" s="204"/>
      <c r="X107" s="204"/>
      <c r="Y107" s="204"/>
      <c r="Z107" s="204"/>
      <c r="AA107" s="204"/>
    </row>
    <row r="108" spans="1:27" ht="15.75" customHeight="1" x14ac:dyDescent="0.2">
      <c r="A108" s="210" t="s">
        <v>358</v>
      </c>
      <c r="B108" s="142"/>
      <c r="C108" s="138"/>
      <c r="D108" s="143"/>
      <c r="E108" s="211"/>
      <c r="F108" s="212">
        <f t="shared" si="3"/>
        <v>0</v>
      </c>
      <c r="G108" s="213" t="str">
        <f t="shared" si="4"/>
        <v/>
      </c>
      <c r="H108" s="209">
        <f t="shared" si="5"/>
        <v>0</v>
      </c>
      <c r="I108" s="75"/>
      <c r="J108" s="75"/>
      <c r="K108" s="75"/>
      <c r="L108" s="204"/>
      <c r="M108" s="204"/>
      <c r="N108" s="204"/>
      <c r="O108" s="204"/>
      <c r="P108" s="204"/>
      <c r="Q108" s="204"/>
      <c r="R108" s="204"/>
      <c r="S108" s="204"/>
      <c r="T108" s="204"/>
      <c r="U108" s="204"/>
      <c r="V108" s="204"/>
      <c r="W108" s="204"/>
      <c r="X108" s="204"/>
      <c r="Y108" s="204"/>
      <c r="Z108" s="204"/>
      <c r="AA108" s="204"/>
    </row>
    <row r="109" spans="1:27" ht="15.75" customHeight="1" x14ac:dyDescent="0.2">
      <c r="A109" s="210" t="s">
        <v>359</v>
      </c>
      <c r="B109" s="142"/>
      <c r="C109" s="138"/>
      <c r="D109" s="143"/>
      <c r="E109" s="211"/>
      <c r="F109" s="212">
        <f t="shared" si="3"/>
        <v>0</v>
      </c>
      <c r="G109" s="213" t="str">
        <f t="shared" si="4"/>
        <v/>
      </c>
      <c r="H109" s="209">
        <f t="shared" si="5"/>
        <v>0</v>
      </c>
      <c r="I109" s="75"/>
      <c r="J109" s="75"/>
      <c r="K109" s="75"/>
      <c r="L109" s="204"/>
      <c r="M109" s="204"/>
      <c r="N109" s="204"/>
      <c r="O109" s="204"/>
      <c r="P109" s="204"/>
      <c r="Q109" s="204"/>
      <c r="R109" s="204"/>
      <c r="S109" s="204"/>
      <c r="T109" s="204"/>
      <c r="U109" s="204"/>
      <c r="V109" s="204"/>
      <c r="W109" s="204"/>
      <c r="X109" s="204"/>
      <c r="Y109" s="204"/>
      <c r="Z109" s="204"/>
      <c r="AA109" s="204"/>
    </row>
    <row r="110" spans="1:27" ht="15.75" customHeight="1" x14ac:dyDescent="0.2">
      <c r="A110" s="210" t="s">
        <v>360</v>
      </c>
      <c r="B110" s="142"/>
      <c r="C110" s="138"/>
      <c r="D110" s="143"/>
      <c r="E110" s="211"/>
      <c r="F110" s="212">
        <f t="shared" si="3"/>
        <v>0</v>
      </c>
      <c r="G110" s="213" t="str">
        <f t="shared" si="4"/>
        <v/>
      </c>
      <c r="H110" s="209">
        <f t="shared" si="5"/>
        <v>0</v>
      </c>
      <c r="I110" s="75"/>
      <c r="J110" s="75"/>
      <c r="K110" s="75"/>
      <c r="L110" s="204"/>
      <c r="M110" s="204"/>
      <c r="N110" s="204"/>
      <c r="O110" s="204"/>
      <c r="P110" s="204"/>
      <c r="Q110" s="204"/>
      <c r="R110" s="204"/>
      <c r="S110" s="204"/>
      <c r="T110" s="204"/>
      <c r="U110" s="204"/>
      <c r="V110" s="204"/>
      <c r="W110" s="204"/>
      <c r="X110" s="204"/>
      <c r="Y110" s="204"/>
      <c r="Z110" s="204"/>
      <c r="AA110" s="204"/>
    </row>
    <row r="111" spans="1:27" ht="15.75" customHeight="1" x14ac:dyDescent="0.2">
      <c r="A111" s="210" t="s">
        <v>361</v>
      </c>
      <c r="B111" s="142"/>
      <c r="C111" s="138"/>
      <c r="D111" s="143"/>
      <c r="E111" s="211"/>
      <c r="F111" s="212">
        <f t="shared" si="3"/>
        <v>0</v>
      </c>
      <c r="G111" s="213" t="str">
        <f t="shared" si="4"/>
        <v/>
      </c>
      <c r="H111" s="209">
        <f t="shared" si="5"/>
        <v>0</v>
      </c>
      <c r="I111" s="75"/>
      <c r="J111" s="75"/>
      <c r="K111" s="75"/>
      <c r="L111" s="204"/>
      <c r="M111" s="204"/>
      <c r="N111" s="204"/>
      <c r="O111" s="204"/>
      <c r="P111" s="204"/>
      <c r="Q111" s="204"/>
      <c r="R111" s="204"/>
      <c r="S111" s="204"/>
      <c r="T111" s="204"/>
      <c r="U111" s="204"/>
      <c r="V111" s="204"/>
      <c r="W111" s="204"/>
      <c r="X111" s="204"/>
      <c r="Y111" s="204"/>
      <c r="Z111" s="204"/>
      <c r="AA111" s="204"/>
    </row>
    <row r="112" spans="1:27" ht="15.75" customHeight="1" x14ac:dyDescent="0.2">
      <c r="A112" s="210" t="s">
        <v>362</v>
      </c>
      <c r="B112" s="142"/>
      <c r="C112" s="138"/>
      <c r="D112" s="143"/>
      <c r="E112" s="211"/>
      <c r="F112" s="212">
        <f t="shared" si="3"/>
        <v>0</v>
      </c>
      <c r="G112" s="213" t="str">
        <f t="shared" si="4"/>
        <v/>
      </c>
      <c r="H112" s="209">
        <f t="shared" si="5"/>
        <v>0</v>
      </c>
      <c r="I112" s="75"/>
      <c r="J112" s="75"/>
      <c r="K112" s="75"/>
      <c r="L112" s="204"/>
      <c r="M112" s="204"/>
      <c r="N112" s="204"/>
      <c r="O112" s="204"/>
      <c r="P112" s="204"/>
      <c r="Q112" s="204"/>
      <c r="R112" s="204"/>
      <c r="S112" s="204"/>
      <c r="T112" s="204"/>
      <c r="U112" s="204"/>
      <c r="V112" s="204"/>
      <c r="W112" s="204"/>
      <c r="X112" s="204"/>
      <c r="Y112" s="204"/>
      <c r="Z112" s="204"/>
      <c r="AA112" s="204"/>
    </row>
    <row r="113" spans="1:27" ht="15.75" customHeight="1" x14ac:dyDescent="0.2">
      <c r="A113" s="210" t="s">
        <v>559</v>
      </c>
      <c r="B113" s="142"/>
      <c r="C113" s="138"/>
      <c r="D113" s="143"/>
      <c r="E113" s="211"/>
      <c r="F113" s="212">
        <f t="shared" si="3"/>
        <v>0</v>
      </c>
      <c r="G113" s="213" t="str">
        <f t="shared" si="4"/>
        <v/>
      </c>
      <c r="H113" s="209">
        <f t="shared" si="5"/>
        <v>0</v>
      </c>
      <c r="I113" s="75"/>
      <c r="J113" s="75"/>
      <c r="K113" s="75"/>
      <c r="L113" s="204"/>
      <c r="M113" s="204"/>
      <c r="N113" s="204"/>
      <c r="O113" s="204"/>
      <c r="P113" s="204"/>
      <c r="Q113" s="204"/>
      <c r="R113" s="204"/>
      <c r="S113" s="204"/>
      <c r="T113" s="204"/>
      <c r="U113" s="204"/>
      <c r="V113" s="204"/>
      <c r="W113" s="204"/>
      <c r="X113" s="204"/>
      <c r="Y113" s="204"/>
      <c r="Z113" s="204"/>
      <c r="AA113" s="204"/>
    </row>
    <row r="114" spans="1:27" ht="15.75" customHeight="1" x14ac:dyDescent="0.2">
      <c r="A114" s="210" t="s">
        <v>905</v>
      </c>
      <c r="B114" s="142"/>
      <c r="C114" s="138"/>
      <c r="D114" s="143"/>
      <c r="E114" s="211"/>
      <c r="F114" s="212">
        <f t="shared" si="3"/>
        <v>0</v>
      </c>
      <c r="G114" s="213" t="str">
        <f t="shared" si="4"/>
        <v/>
      </c>
      <c r="H114" s="209">
        <f t="shared" si="5"/>
        <v>0</v>
      </c>
      <c r="I114" s="75"/>
      <c r="J114" s="75"/>
      <c r="K114" s="75"/>
      <c r="L114" s="204"/>
      <c r="M114" s="204"/>
      <c r="N114" s="204"/>
      <c r="O114" s="204"/>
      <c r="P114" s="204"/>
      <c r="Q114" s="204"/>
      <c r="R114" s="204"/>
      <c r="S114" s="204"/>
      <c r="T114" s="204"/>
      <c r="U114" s="204"/>
      <c r="V114" s="204"/>
      <c r="W114" s="204"/>
      <c r="X114" s="204"/>
      <c r="Y114" s="204"/>
      <c r="Z114" s="204"/>
      <c r="AA114" s="204"/>
    </row>
    <row r="115" spans="1:27" ht="15.75" customHeight="1" x14ac:dyDescent="0.2">
      <c r="A115" s="210" t="s">
        <v>363</v>
      </c>
      <c r="B115" s="332"/>
      <c r="C115" s="333"/>
      <c r="D115" s="334"/>
      <c r="E115" s="211"/>
      <c r="F115" s="349">
        <f>IF(B115&gt;0,1,0)</f>
        <v>0</v>
      </c>
      <c r="G115" s="350"/>
      <c r="H115" s="209"/>
      <c r="I115" s="75"/>
      <c r="J115" s="75"/>
      <c r="K115" s="75"/>
      <c r="L115" s="204"/>
      <c r="M115" s="204"/>
      <c r="N115" s="204"/>
      <c r="O115" s="204"/>
      <c r="P115" s="204"/>
      <c r="Q115" s="204"/>
      <c r="R115" s="204"/>
      <c r="S115" s="204"/>
      <c r="T115" s="204"/>
      <c r="U115" s="204"/>
      <c r="V115" s="204"/>
      <c r="W115" s="204"/>
      <c r="X115" s="204"/>
      <c r="Y115" s="204"/>
      <c r="Z115" s="204"/>
      <c r="AA115" s="204"/>
    </row>
    <row r="116" spans="1:27" ht="15.75" customHeight="1" x14ac:dyDescent="0.2">
      <c r="A116" s="210" t="s">
        <v>364</v>
      </c>
      <c r="B116" s="142"/>
      <c r="C116" s="138"/>
      <c r="D116" s="143"/>
      <c r="E116" s="211"/>
      <c r="F116" s="212">
        <f>IF(B116&gt;0,1,0)</f>
        <v>0</v>
      </c>
      <c r="G116" s="213" t="str">
        <f t="shared" si="4"/>
        <v/>
      </c>
      <c r="H116" s="209">
        <f t="shared" si="5"/>
        <v>0</v>
      </c>
      <c r="I116" s="75"/>
      <c r="J116" s="75"/>
      <c r="K116" s="75"/>
      <c r="L116" s="204"/>
      <c r="M116" s="204"/>
      <c r="N116" s="204"/>
      <c r="O116" s="204"/>
      <c r="P116" s="204"/>
      <c r="Q116" s="204"/>
      <c r="R116" s="204"/>
      <c r="S116" s="204"/>
      <c r="T116" s="204"/>
      <c r="U116" s="204"/>
      <c r="V116" s="204"/>
      <c r="W116" s="204"/>
      <c r="X116" s="204"/>
      <c r="Y116" s="204"/>
      <c r="Z116" s="204"/>
      <c r="AA116" s="204"/>
    </row>
    <row r="117" spans="1:27" ht="15.75" customHeight="1" x14ac:dyDescent="0.2">
      <c r="A117" s="210" t="s">
        <v>365</v>
      </c>
      <c r="B117" s="142"/>
      <c r="C117" s="138"/>
      <c r="D117" s="143"/>
      <c r="E117" s="211"/>
      <c r="F117" s="212">
        <f>IF(B117&gt;0,1,0)</f>
        <v>0</v>
      </c>
      <c r="G117" s="213" t="str">
        <f t="shared" si="4"/>
        <v/>
      </c>
      <c r="H117" s="209">
        <f t="shared" si="5"/>
        <v>0</v>
      </c>
      <c r="I117" s="75"/>
      <c r="J117" s="75"/>
      <c r="K117" s="75"/>
      <c r="L117" s="204"/>
      <c r="M117" s="204"/>
      <c r="N117" s="204"/>
      <c r="O117" s="204"/>
      <c r="P117" s="204"/>
      <c r="Q117" s="204"/>
      <c r="R117" s="204"/>
      <c r="S117" s="204"/>
      <c r="T117" s="204"/>
      <c r="U117" s="204"/>
      <c r="V117" s="204"/>
      <c r="W117" s="204"/>
      <c r="X117" s="204"/>
      <c r="Y117" s="204"/>
      <c r="Z117" s="204"/>
      <c r="AA117" s="204"/>
    </row>
    <row r="118" spans="1:27" ht="15.75" customHeight="1" x14ac:dyDescent="0.2">
      <c r="A118" s="210" t="s">
        <v>366</v>
      </c>
      <c r="B118" s="142"/>
      <c r="C118" s="138"/>
      <c r="D118" s="143"/>
      <c r="E118" s="211"/>
      <c r="F118" s="212">
        <f t="shared" ref="F118:F154" si="6">IF(B118&gt;0,1,0)</f>
        <v>0</v>
      </c>
      <c r="G118" s="213" t="str">
        <f t="shared" si="4"/>
        <v/>
      </c>
      <c r="H118" s="209">
        <f t="shared" si="5"/>
        <v>0</v>
      </c>
      <c r="I118" s="75"/>
      <c r="J118" s="75"/>
      <c r="K118" s="75"/>
      <c r="L118" s="204"/>
      <c r="M118" s="204"/>
      <c r="N118" s="204"/>
      <c r="O118" s="204"/>
      <c r="P118" s="204"/>
      <c r="Q118" s="204"/>
      <c r="R118" s="204"/>
      <c r="S118" s="204"/>
      <c r="T118" s="204"/>
      <c r="U118" s="204"/>
      <c r="V118" s="204"/>
      <c r="W118" s="204"/>
      <c r="X118" s="204"/>
      <c r="Y118" s="204"/>
      <c r="Z118" s="204"/>
      <c r="AA118" s="204"/>
    </row>
    <row r="119" spans="1:27" ht="15.75" customHeight="1" x14ac:dyDescent="0.2">
      <c r="A119" s="210" t="s">
        <v>367</v>
      </c>
      <c r="B119" s="142"/>
      <c r="C119" s="138"/>
      <c r="D119" s="143"/>
      <c r="E119" s="211"/>
      <c r="F119" s="212">
        <f t="shared" si="6"/>
        <v>0</v>
      </c>
      <c r="G119" s="213" t="str">
        <f t="shared" si="4"/>
        <v/>
      </c>
      <c r="H119" s="209">
        <f t="shared" si="5"/>
        <v>0</v>
      </c>
      <c r="I119" s="75"/>
      <c r="J119" s="75"/>
      <c r="K119" s="75"/>
      <c r="L119" s="204"/>
      <c r="M119" s="204"/>
      <c r="N119" s="204"/>
      <c r="O119" s="204"/>
      <c r="P119" s="204"/>
      <c r="Q119" s="204"/>
      <c r="R119" s="204"/>
      <c r="S119" s="204"/>
      <c r="T119" s="204"/>
      <c r="U119" s="204"/>
      <c r="V119" s="204"/>
      <c r="W119" s="204"/>
      <c r="X119" s="204"/>
      <c r="Y119" s="204"/>
      <c r="Z119" s="204"/>
      <c r="AA119" s="204"/>
    </row>
    <row r="120" spans="1:27" ht="15.75" customHeight="1" x14ac:dyDescent="0.2">
      <c r="A120" s="210" t="s">
        <v>368</v>
      </c>
      <c r="B120" s="142"/>
      <c r="C120" s="138"/>
      <c r="D120" s="143"/>
      <c r="E120" s="211"/>
      <c r="F120" s="212">
        <f t="shared" si="6"/>
        <v>0</v>
      </c>
      <c r="G120" s="213" t="str">
        <f t="shared" si="4"/>
        <v/>
      </c>
      <c r="H120" s="209">
        <f t="shared" si="5"/>
        <v>0</v>
      </c>
      <c r="I120" s="75"/>
      <c r="J120" s="75"/>
      <c r="K120" s="75"/>
      <c r="L120" s="204"/>
      <c r="M120" s="204"/>
      <c r="N120" s="204"/>
      <c r="O120" s="204"/>
      <c r="P120" s="204"/>
      <c r="Q120" s="204"/>
      <c r="R120" s="204"/>
      <c r="S120" s="204"/>
      <c r="T120" s="204"/>
      <c r="U120" s="204"/>
      <c r="V120" s="204"/>
      <c r="W120" s="204"/>
      <c r="X120" s="204"/>
      <c r="Y120" s="204"/>
      <c r="Z120" s="204"/>
      <c r="AA120" s="204"/>
    </row>
    <row r="121" spans="1:27" ht="15.75" customHeight="1" x14ac:dyDescent="0.2">
      <c r="A121" s="210" t="s">
        <v>369</v>
      </c>
      <c r="B121" s="142"/>
      <c r="C121" s="138"/>
      <c r="D121" s="143"/>
      <c r="E121" s="211"/>
      <c r="F121" s="212">
        <f t="shared" si="6"/>
        <v>0</v>
      </c>
      <c r="G121" s="213" t="str">
        <f t="shared" si="4"/>
        <v/>
      </c>
      <c r="H121" s="209">
        <f t="shared" si="5"/>
        <v>0</v>
      </c>
      <c r="I121" s="75"/>
      <c r="J121" s="75"/>
      <c r="K121" s="75"/>
      <c r="L121" s="204"/>
      <c r="M121" s="204"/>
      <c r="N121" s="204"/>
      <c r="O121" s="204"/>
      <c r="P121" s="204"/>
      <c r="Q121" s="204"/>
      <c r="R121" s="204"/>
      <c r="S121" s="204"/>
      <c r="T121" s="204"/>
      <c r="U121" s="204"/>
      <c r="V121" s="204"/>
      <c r="W121" s="204"/>
      <c r="X121" s="204"/>
      <c r="Y121" s="204"/>
      <c r="Z121" s="204"/>
      <c r="AA121" s="204"/>
    </row>
    <row r="122" spans="1:27" ht="15.75" customHeight="1" x14ac:dyDescent="0.2">
      <c r="A122" s="210" t="s">
        <v>370</v>
      </c>
      <c r="B122" s="142"/>
      <c r="C122" s="138"/>
      <c r="D122" s="143"/>
      <c r="E122" s="211"/>
      <c r="F122" s="212">
        <f t="shared" si="6"/>
        <v>0</v>
      </c>
      <c r="G122" s="213" t="str">
        <f t="shared" si="4"/>
        <v/>
      </c>
      <c r="H122" s="209">
        <f t="shared" si="5"/>
        <v>0</v>
      </c>
      <c r="I122" s="75"/>
      <c r="J122" s="75"/>
      <c r="K122" s="75"/>
      <c r="L122" s="204"/>
      <c r="M122" s="204"/>
      <c r="N122" s="204"/>
      <c r="O122" s="204"/>
      <c r="P122" s="204"/>
      <c r="Q122" s="204"/>
      <c r="R122" s="204"/>
      <c r="S122" s="204"/>
      <c r="T122" s="204"/>
      <c r="U122" s="204"/>
      <c r="V122" s="204"/>
      <c r="W122" s="204"/>
      <c r="X122" s="204"/>
      <c r="Y122" s="204"/>
      <c r="Z122" s="204"/>
      <c r="AA122" s="204"/>
    </row>
    <row r="123" spans="1:27" ht="15.75" customHeight="1" x14ac:dyDescent="0.2">
      <c r="A123" s="210" t="s">
        <v>371</v>
      </c>
      <c r="B123" s="142"/>
      <c r="C123" s="138"/>
      <c r="D123" s="143"/>
      <c r="E123" s="211"/>
      <c r="F123" s="212">
        <f t="shared" si="6"/>
        <v>0</v>
      </c>
      <c r="G123" s="213" t="str">
        <f t="shared" si="4"/>
        <v/>
      </c>
      <c r="H123" s="209">
        <f t="shared" si="5"/>
        <v>0</v>
      </c>
      <c r="I123" s="75"/>
      <c r="J123" s="75"/>
      <c r="K123" s="75"/>
      <c r="L123" s="204"/>
      <c r="M123" s="204"/>
      <c r="N123" s="204"/>
      <c r="O123" s="204"/>
      <c r="P123" s="204"/>
      <c r="Q123" s="204"/>
      <c r="R123" s="204"/>
      <c r="S123" s="204"/>
      <c r="T123" s="204"/>
      <c r="U123" s="204"/>
      <c r="V123" s="204"/>
      <c r="W123" s="204"/>
      <c r="X123" s="204"/>
      <c r="Y123" s="204"/>
      <c r="Z123" s="204"/>
      <c r="AA123" s="204"/>
    </row>
    <row r="124" spans="1:27" ht="15.75" customHeight="1" x14ac:dyDescent="0.2">
      <c r="A124" s="210" t="s">
        <v>372</v>
      </c>
      <c r="B124" s="142"/>
      <c r="C124" s="138"/>
      <c r="D124" s="143"/>
      <c r="E124" s="211"/>
      <c r="F124" s="212">
        <f t="shared" si="6"/>
        <v>0</v>
      </c>
      <c r="G124" s="213" t="str">
        <f t="shared" si="4"/>
        <v/>
      </c>
      <c r="H124" s="209">
        <f t="shared" si="5"/>
        <v>0</v>
      </c>
      <c r="I124" s="75"/>
      <c r="J124" s="75"/>
      <c r="K124" s="75"/>
      <c r="L124" s="204"/>
      <c r="M124" s="204"/>
      <c r="N124" s="204"/>
      <c r="O124" s="204"/>
      <c r="P124" s="204"/>
      <c r="Q124" s="204"/>
      <c r="R124" s="204"/>
      <c r="S124" s="204"/>
      <c r="T124" s="204"/>
      <c r="U124" s="204"/>
      <c r="V124" s="204"/>
      <c r="W124" s="204"/>
      <c r="X124" s="204"/>
      <c r="Y124" s="204"/>
      <c r="Z124" s="204"/>
      <c r="AA124" s="204"/>
    </row>
    <row r="125" spans="1:27" ht="15.75" customHeight="1" x14ac:dyDescent="0.2">
      <c r="A125" s="210" t="s">
        <v>373</v>
      </c>
      <c r="B125" s="142"/>
      <c r="C125" s="138"/>
      <c r="D125" s="143"/>
      <c r="E125" s="211"/>
      <c r="F125" s="212">
        <f t="shared" si="6"/>
        <v>0</v>
      </c>
      <c r="G125" s="213" t="str">
        <f t="shared" si="4"/>
        <v/>
      </c>
      <c r="H125" s="209">
        <f t="shared" si="5"/>
        <v>0</v>
      </c>
      <c r="I125" s="75"/>
      <c r="J125" s="75"/>
      <c r="K125" s="75"/>
      <c r="L125" s="204"/>
      <c r="M125" s="204"/>
      <c r="N125" s="204"/>
      <c r="O125" s="204"/>
      <c r="P125" s="204"/>
      <c r="Q125" s="204"/>
      <c r="R125" s="204"/>
      <c r="S125" s="204"/>
      <c r="T125" s="204"/>
      <c r="U125" s="204"/>
      <c r="V125" s="204"/>
      <c r="W125" s="204"/>
      <c r="X125" s="204"/>
      <c r="Y125" s="204"/>
      <c r="Z125" s="204"/>
      <c r="AA125" s="204"/>
    </row>
    <row r="126" spans="1:27" ht="15.75" customHeight="1" x14ac:dyDescent="0.2">
      <c r="A126" s="210" t="s">
        <v>374</v>
      </c>
      <c r="B126" s="142"/>
      <c r="C126" s="138"/>
      <c r="D126" s="143"/>
      <c r="E126" s="211"/>
      <c r="F126" s="212">
        <f t="shared" si="6"/>
        <v>0</v>
      </c>
      <c r="G126" s="213" t="str">
        <f t="shared" si="4"/>
        <v/>
      </c>
      <c r="H126" s="209">
        <f t="shared" si="5"/>
        <v>0</v>
      </c>
      <c r="I126" s="75"/>
      <c r="J126" s="75"/>
      <c r="K126" s="75"/>
      <c r="L126" s="204"/>
      <c r="M126" s="204"/>
      <c r="N126" s="204"/>
      <c r="O126" s="204"/>
      <c r="P126" s="204"/>
      <c r="Q126" s="204"/>
      <c r="R126" s="204"/>
      <c r="S126" s="204"/>
      <c r="T126" s="204"/>
      <c r="U126" s="204"/>
      <c r="V126" s="204"/>
      <c r="W126" s="204"/>
      <c r="X126" s="204"/>
      <c r="Y126" s="204"/>
      <c r="Z126" s="204"/>
      <c r="AA126" s="204"/>
    </row>
    <row r="127" spans="1:27" ht="15.75" customHeight="1" x14ac:dyDescent="0.2">
      <c r="A127" s="210" t="s">
        <v>375</v>
      </c>
      <c r="B127" s="142"/>
      <c r="C127" s="138"/>
      <c r="D127" s="143"/>
      <c r="E127" s="211"/>
      <c r="F127" s="212">
        <f t="shared" si="6"/>
        <v>0</v>
      </c>
      <c r="G127" s="213" t="str">
        <f t="shared" si="4"/>
        <v/>
      </c>
      <c r="H127" s="209">
        <f t="shared" si="5"/>
        <v>0</v>
      </c>
      <c r="I127" s="75"/>
      <c r="J127" s="75"/>
      <c r="K127" s="75"/>
      <c r="L127" s="204"/>
      <c r="M127" s="204"/>
      <c r="N127" s="204"/>
      <c r="O127" s="204"/>
      <c r="P127" s="204"/>
      <c r="Q127" s="204"/>
      <c r="R127" s="204"/>
      <c r="S127" s="204"/>
      <c r="T127" s="204"/>
      <c r="U127" s="204"/>
      <c r="V127" s="204"/>
      <c r="W127" s="204"/>
      <c r="X127" s="204"/>
      <c r="Y127" s="204"/>
      <c r="Z127" s="204"/>
      <c r="AA127" s="204"/>
    </row>
    <row r="128" spans="1:27" ht="15.75" customHeight="1" x14ac:dyDescent="0.2">
      <c r="A128" s="210" t="s">
        <v>376</v>
      </c>
      <c r="B128" s="142"/>
      <c r="C128" s="138"/>
      <c r="D128" s="143"/>
      <c r="E128" s="211"/>
      <c r="F128" s="212">
        <f t="shared" si="6"/>
        <v>0</v>
      </c>
      <c r="G128" s="213" t="str">
        <f t="shared" si="4"/>
        <v/>
      </c>
      <c r="H128" s="209">
        <f t="shared" si="5"/>
        <v>0</v>
      </c>
      <c r="I128" s="75"/>
      <c r="J128" s="75"/>
      <c r="K128" s="75"/>
      <c r="L128" s="204"/>
      <c r="M128" s="204"/>
      <c r="N128" s="204"/>
      <c r="O128" s="204"/>
      <c r="P128" s="204"/>
      <c r="Q128" s="204"/>
      <c r="R128" s="204"/>
      <c r="S128" s="204"/>
      <c r="T128" s="204"/>
      <c r="U128" s="204"/>
      <c r="V128" s="204"/>
      <c r="W128" s="204"/>
      <c r="X128" s="204"/>
      <c r="Y128" s="204"/>
      <c r="Z128" s="204"/>
      <c r="AA128" s="204"/>
    </row>
    <row r="129" spans="1:27" ht="15.75" customHeight="1" x14ac:dyDescent="0.2">
      <c r="A129" s="210" t="s">
        <v>377</v>
      </c>
      <c r="B129" s="142"/>
      <c r="C129" s="138"/>
      <c r="D129" s="143"/>
      <c r="E129" s="211"/>
      <c r="F129" s="212">
        <f t="shared" si="6"/>
        <v>0</v>
      </c>
      <c r="G129" s="213" t="str">
        <f t="shared" si="4"/>
        <v/>
      </c>
      <c r="H129" s="209">
        <f t="shared" si="5"/>
        <v>0</v>
      </c>
      <c r="I129" s="75"/>
      <c r="J129" s="75"/>
      <c r="K129" s="75"/>
      <c r="L129" s="204"/>
      <c r="M129" s="204"/>
      <c r="N129" s="204"/>
      <c r="O129" s="204"/>
      <c r="P129" s="204"/>
      <c r="Q129" s="204"/>
      <c r="R129" s="204"/>
      <c r="S129" s="204"/>
      <c r="T129" s="204"/>
      <c r="U129" s="204"/>
      <c r="V129" s="204"/>
      <c r="W129" s="204"/>
      <c r="X129" s="204"/>
      <c r="Y129" s="204"/>
      <c r="Z129" s="204"/>
      <c r="AA129" s="204"/>
    </row>
    <row r="130" spans="1:27" ht="15.75" customHeight="1" x14ac:dyDescent="0.2">
      <c r="A130" s="210" t="s">
        <v>378</v>
      </c>
      <c r="B130" s="142"/>
      <c r="C130" s="138"/>
      <c r="D130" s="143"/>
      <c r="E130" s="211"/>
      <c r="F130" s="212">
        <f t="shared" si="6"/>
        <v>0</v>
      </c>
      <c r="G130" s="213" t="str">
        <f t="shared" si="4"/>
        <v/>
      </c>
      <c r="H130" s="209">
        <f t="shared" si="5"/>
        <v>0</v>
      </c>
      <c r="I130" s="75"/>
      <c r="J130" s="75"/>
      <c r="K130" s="75"/>
      <c r="L130" s="204"/>
      <c r="M130" s="204"/>
      <c r="N130" s="204"/>
      <c r="O130" s="204"/>
      <c r="P130" s="204"/>
      <c r="Q130" s="204"/>
      <c r="R130" s="204"/>
      <c r="S130" s="204"/>
      <c r="T130" s="204"/>
      <c r="U130" s="204"/>
      <c r="V130" s="204"/>
      <c r="W130" s="204"/>
      <c r="X130" s="204"/>
      <c r="Y130" s="204"/>
      <c r="Z130" s="204"/>
      <c r="AA130" s="204"/>
    </row>
    <row r="131" spans="1:27" ht="15.75" customHeight="1" x14ac:dyDescent="0.2">
      <c r="A131" s="210" t="s">
        <v>379</v>
      </c>
      <c r="B131" s="142"/>
      <c r="C131" s="138"/>
      <c r="D131" s="143"/>
      <c r="E131" s="211"/>
      <c r="F131" s="212">
        <f t="shared" si="6"/>
        <v>0</v>
      </c>
      <c r="G131" s="213" t="str">
        <f t="shared" si="4"/>
        <v/>
      </c>
      <c r="H131" s="209">
        <f t="shared" si="5"/>
        <v>0</v>
      </c>
      <c r="I131" s="75"/>
      <c r="J131" s="75"/>
      <c r="K131" s="75"/>
      <c r="L131" s="204"/>
      <c r="M131" s="204"/>
      <c r="N131" s="204"/>
      <c r="O131" s="204"/>
      <c r="P131" s="204"/>
      <c r="Q131" s="204"/>
      <c r="R131" s="204"/>
      <c r="S131" s="204"/>
      <c r="T131" s="204"/>
      <c r="U131" s="204"/>
      <c r="V131" s="204"/>
      <c r="W131" s="204"/>
      <c r="X131" s="204"/>
      <c r="Y131" s="204"/>
      <c r="Z131" s="204"/>
      <c r="AA131" s="204"/>
    </row>
    <row r="132" spans="1:27" ht="15.75" customHeight="1" x14ac:dyDescent="0.2">
      <c r="A132" s="210" t="s">
        <v>380</v>
      </c>
      <c r="B132" s="142"/>
      <c r="C132" s="138"/>
      <c r="D132" s="143"/>
      <c r="E132" s="211"/>
      <c r="F132" s="212">
        <f t="shared" si="6"/>
        <v>0</v>
      </c>
      <c r="G132" s="213" t="str">
        <f t="shared" si="4"/>
        <v/>
      </c>
      <c r="H132" s="209">
        <f t="shared" si="5"/>
        <v>0</v>
      </c>
      <c r="I132" s="75"/>
      <c r="J132" s="75"/>
      <c r="K132" s="75"/>
      <c r="L132" s="204"/>
      <c r="M132" s="204"/>
      <c r="N132" s="204"/>
      <c r="O132" s="204"/>
      <c r="P132" s="204"/>
      <c r="Q132" s="204"/>
      <c r="R132" s="204"/>
      <c r="S132" s="204"/>
      <c r="T132" s="204"/>
      <c r="U132" s="204"/>
      <c r="V132" s="204"/>
      <c r="W132" s="204"/>
      <c r="X132" s="204"/>
      <c r="Y132" s="204"/>
      <c r="Z132" s="204"/>
      <c r="AA132" s="204"/>
    </row>
    <row r="133" spans="1:27" ht="15.75" customHeight="1" x14ac:dyDescent="0.2">
      <c r="A133" s="210" t="s">
        <v>381</v>
      </c>
      <c r="B133" s="142"/>
      <c r="C133" s="138"/>
      <c r="D133" s="143"/>
      <c r="E133" s="211"/>
      <c r="F133" s="212">
        <f t="shared" si="6"/>
        <v>0</v>
      </c>
      <c r="G133" s="213" t="str">
        <f t="shared" si="4"/>
        <v/>
      </c>
      <c r="H133" s="209">
        <f t="shared" si="5"/>
        <v>0</v>
      </c>
      <c r="I133" s="75"/>
      <c r="J133" s="75"/>
      <c r="K133" s="75"/>
      <c r="L133" s="204"/>
      <c r="M133" s="204"/>
      <c r="N133" s="204"/>
      <c r="O133" s="204"/>
      <c r="P133" s="204"/>
      <c r="Q133" s="204"/>
      <c r="R133" s="204"/>
      <c r="S133" s="204"/>
      <c r="T133" s="204"/>
      <c r="U133" s="204"/>
      <c r="V133" s="204"/>
      <c r="W133" s="204"/>
      <c r="X133" s="204"/>
      <c r="Y133" s="204"/>
      <c r="Z133" s="204"/>
      <c r="AA133" s="204"/>
    </row>
    <row r="134" spans="1:27" ht="15.75" customHeight="1" x14ac:dyDescent="0.2">
      <c r="A134" s="210" t="s">
        <v>382</v>
      </c>
      <c r="B134" s="142"/>
      <c r="C134" s="138"/>
      <c r="D134" s="143"/>
      <c r="E134" s="211"/>
      <c r="F134" s="212">
        <f t="shared" si="6"/>
        <v>0</v>
      </c>
      <c r="G134" s="213" t="str">
        <f t="shared" si="4"/>
        <v/>
      </c>
      <c r="H134" s="209">
        <f t="shared" si="5"/>
        <v>0</v>
      </c>
      <c r="I134" s="75"/>
      <c r="J134" s="75"/>
      <c r="K134" s="75"/>
      <c r="L134" s="204"/>
      <c r="M134" s="204"/>
      <c r="N134" s="204"/>
      <c r="O134" s="204"/>
      <c r="P134" s="204"/>
      <c r="Q134" s="204"/>
      <c r="R134" s="204"/>
      <c r="S134" s="204"/>
      <c r="T134" s="204"/>
      <c r="U134" s="204"/>
      <c r="V134" s="204"/>
      <c r="W134" s="204"/>
      <c r="X134" s="204"/>
      <c r="Y134" s="204"/>
      <c r="Z134" s="204"/>
      <c r="AA134" s="204"/>
    </row>
    <row r="135" spans="1:27" ht="15.75" customHeight="1" x14ac:dyDescent="0.2">
      <c r="A135" s="210" t="s">
        <v>383</v>
      </c>
      <c r="B135" s="142"/>
      <c r="C135" s="138"/>
      <c r="D135" s="143"/>
      <c r="E135" s="211"/>
      <c r="F135" s="212">
        <f t="shared" si="6"/>
        <v>0</v>
      </c>
      <c r="G135" s="213" t="str">
        <f t="shared" si="4"/>
        <v/>
      </c>
      <c r="H135" s="209">
        <f t="shared" si="5"/>
        <v>0</v>
      </c>
      <c r="I135" s="75"/>
      <c r="J135" s="75"/>
      <c r="K135" s="75"/>
      <c r="L135" s="204"/>
      <c r="M135" s="204"/>
      <c r="N135" s="204"/>
      <c r="O135" s="204"/>
      <c r="P135" s="204"/>
      <c r="Q135" s="204"/>
      <c r="R135" s="204"/>
      <c r="S135" s="204"/>
      <c r="T135" s="204"/>
      <c r="U135" s="204"/>
      <c r="V135" s="204"/>
      <c r="W135" s="204"/>
      <c r="X135" s="204"/>
      <c r="Y135" s="204"/>
      <c r="Z135" s="204"/>
      <c r="AA135" s="204"/>
    </row>
    <row r="136" spans="1:27" ht="15.75" customHeight="1" x14ac:dyDescent="0.2">
      <c r="A136" s="210" t="s">
        <v>384</v>
      </c>
      <c r="B136" s="142"/>
      <c r="C136" s="138"/>
      <c r="D136" s="143"/>
      <c r="E136" s="211"/>
      <c r="F136" s="212">
        <f t="shared" si="6"/>
        <v>0</v>
      </c>
      <c r="G136" s="213" t="str">
        <f t="shared" si="4"/>
        <v/>
      </c>
      <c r="H136" s="209">
        <f t="shared" si="5"/>
        <v>0</v>
      </c>
      <c r="I136" s="75"/>
      <c r="J136" s="75"/>
      <c r="K136" s="75"/>
      <c r="L136" s="204"/>
      <c r="M136" s="204"/>
      <c r="N136" s="204"/>
      <c r="O136" s="204"/>
      <c r="P136" s="204"/>
      <c r="Q136" s="204"/>
      <c r="R136" s="204"/>
      <c r="S136" s="204"/>
      <c r="T136" s="204"/>
      <c r="U136" s="204"/>
      <c r="V136" s="204"/>
      <c r="W136" s="204"/>
      <c r="X136" s="204"/>
      <c r="Y136" s="204"/>
      <c r="Z136" s="204"/>
      <c r="AA136" s="204"/>
    </row>
    <row r="137" spans="1:27" ht="15.75" customHeight="1" x14ac:dyDescent="0.2">
      <c r="A137" s="210" t="s">
        <v>385</v>
      </c>
      <c r="B137" s="142"/>
      <c r="C137" s="138"/>
      <c r="D137" s="143"/>
      <c r="E137" s="211"/>
      <c r="F137" s="212">
        <f t="shared" si="6"/>
        <v>0</v>
      </c>
      <c r="G137" s="213" t="str">
        <f t="shared" ref="G137:G154" si="7">IF(OR(C137&gt;0,D137&gt;0),"1","")</f>
        <v/>
      </c>
      <c r="H137" s="209">
        <f t="shared" ref="H137:H154" si="8">IF(OR(C137=1,D137=1),1,0)</f>
        <v>0</v>
      </c>
      <c r="I137" s="75"/>
      <c r="J137" s="75"/>
      <c r="K137" s="75"/>
      <c r="L137" s="204"/>
      <c r="M137" s="204"/>
      <c r="N137" s="204"/>
      <c r="O137" s="204"/>
      <c r="P137" s="204"/>
      <c r="Q137" s="204"/>
      <c r="R137" s="204"/>
      <c r="S137" s="204"/>
      <c r="T137" s="204"/>
      <c r="U137" s="204"/>
      <c r="V137" s="204"/>
      <c r="W137" s="204"/>
      <c r="X137" s="204"/>
      <c r="Y137" s="204"/>
      <c r="Z137" s="204"/>
      <c r="AA137" s="204"/>
    </row>
    <row r="138" spans="1:27" ht="15.75" customHeight="1" x14ac:dyDescent="0.2">
      <c r="A138" s="210" t="s">
        <v>386</v>
      </c>
      <c r="B138" s="142"/>
      <c r="C138" s="138"/>
      <c r="D138" s="143"/>
      <c r="E138" s="211"/>
      <c r="F138" s="212">
        <f t="shared" si="6"/>
        <v>0</v>
      </c>
      <c r="G138" s="213" t="str">
        <f t="shared" si="7"/>
        <v/>
      </c>
      <c r="H138" s="209">
        <f t="shared" si="8"/>
        <v>0</v>
      </c>
      <c r="I138" s="75"/>
      <c r="J138" s="75"/>
      <c r="K138" s="75"/>
      <c r="L138" s="204"/>
      <c r="M138" s="204"/>
      <c r="N138" s="204"/>
      <c r="O138" s="204"/>
      <c r="P138" s="204"/>
      <c r="Q138" s="204"/>
      <c r="R138" s="204"/>
      <c r="S138" s="204"/>
      <c r="T138" s="204"/>
      <c r="U138" s="204"/>
      <c r="V138" s="204"/>
      <c r="W138" s="204"/>
      <c r="X138" s="204"/>
      <c r="Y138" s="204"/>
      <c r="Z138" s="204"/>
      <c r="AA138" s="204"/>
    </row>
    <row r="139" spans="1:27" ht="15.75" customHeight="1" x14ac:dyDescent="0.2">
      <c r="A139" s="210" t="s">
        <v>387</v>
      </c>
      <c r="B139" s="142"/>
      <c r="C139" s="138"/>
      <c r="D139" s="143"/>
      <c r="E139" s="211"/>
      <c r="F139" s="212">
        <f t="shared" si="6"/>
        <v>0</v>
      </c>
      <c r="G139" s="213" t="str">
        <f t="shared" si="7"/>
        <v/>
      </c>
      <c r="H139" s="209">
        <f t="shared" si="8"/>
        <v>0</v>
      </c>
      <c r="I139" s="75"/>
      <c r="J139" s="75"/>
      <c r="K139" s="75"/>
      <c r="L139" s="204"/>
      <c r="M139" s="204"/>
      <c r="N139" s="204"/>
      <c r="O139" s="204"/>
      <c r="P139" s="204"/>
      <c r="Q139" s="204"/>
      <c r="R139" s="204"/>
      <c r="S139" s="204"/>
      <c r="T139" s="204"/>
      <c r="U139" s="204"/>
      <c r="V139" s="204"/>
      <c r="W139" s="204"/>
      <c r="X139" s="204"/>
      <c r="Y139" s="204"/>
      <c r="Z139" s="204"/>
      <c r="AA139" s="204"/>
    </row>
    <row r="140" spans="1:27" ht="15.75" customHeight="1" x14ac:dyDescent="0.2">
      <c r="A140" s="210" t="s">
        <v>388</v>
      </c>
      <c r="B140" s="142"/>
      <c r="C140" s="138"/>
      <c r="D140" s="143"/>
      <c r="E140" s="211"/>
      <c r="F140" s="212">
        <f t="shared" si="6"/>
        <v>0</v>
      </c>
      <c r="G140" s="213" t="str">
        <f t="shared" si="7"/>
        <v/>
      </c>
      <c r="H140" s="209">
        <f t="shared" si="8"/>
        <v>0</v>
      </c>
      <c r="I140" s="75"/>
      <c r="J140" s="75"/>
      <c r="K140" s="75"/>
      <c r="L140" s="204"/>
      <c r="M140" s="204"/>
      <c r="N140" s="204"/>
      <c r="O140" s="204"/>
      <c r="P140" s="204"/>
      <c r="Q140" s="204"/>
      <c r="R140" s="204"/>
      <c r="S140" s="204"/>
      <c r="T140" s="204"/>
      <c r="U140" s="204"/>
      <c r="V140" s="204"/>
      <c r="W140" s="204"/>
      <c r="X140" s="204"/>
      <c r="Y140" s="204"/>
      <c r="Z140" s="204"/>
      <c r="AA140" s="204"/>
    </row>
    <row r="141" spans="1:27" ht="15.75" customHeight="1" x14ac:dyDescent="0.2">
      <c r="A141" s="210" t="s">
        <v>389</v>
      </c>
      <c r="B141" s="142"/>
      <c r="C141" s="138"/>
      <c r="D141" s="143"/>
      <c r="E141" s="211"/>
      <c r="F141" s="212">
        <f t="shared" si="6"/>
        <v>0</v>
      </c>
      <c r="G141" s="213" t="str">
        <f t="shared" si="7"/>
        <v/>
      </c>
      <c r="H141" s="209">
        <f t="shared" si="8"/>
        <v>0</v>
      </c>
      <c r="I141" s="75"/>
      <c r="J141" s="75"/>
      <c r="K141" s="75"/>
      <c r="L141" s="204"/>
      <c r="M141" s="204"/>
      <c r="N141" s="204"/>
      <c r="O141" s="204"/>
      <c r="P141" s="204"/>
      <c r="Q141" s="204"/>
      <c r="R141" s="204"/>
      <c r="S141" s="204"/>
      <c r="T141" s="204"/>
      <c r="U141" s="204"/>
      <c r="V141" s="204"/>
      <c r="W141" s="204"/>
      <c r="X141" s="204"/>
      <c r="Y141" s="204"/>
      <c r="Z141" s="204"/>
      <c r="AA141" s="204"/>
    </row>
    <row r="142" spans="1:27" ht="15.75" customHeight="1" x14ac:dyDescent="0.2">
      <c r="A142" s="210" t="s">
        <v>390</v>
      </c>
      <c r="B142" s="142"/>
      <c r="C142" s="138"/>
      <c r="D142" s="143"/>
      <c r="E142" s="211"/>
      <c r="F142" s="212">
        <f t="shared" si="6"/>
        <v>0</v>
      </c>
      <c r="G142" s="213" t="str">
        <f t="shared" si="7"/>
        <v/>
      </c>
      <c r="H142" s="209">
        <f t="shared" si="8"/>
        <v>0</v>
      </c>
      <c r="I142" s="75"/>
      <c r="J142" s="75"/>
      <c r="K142" s="75"/>
      <c r="L142" s="204"/>
      <c r="M142" s="204"/>
      <c r="N142" s="204"/>
      <c r="O142" s="204"/>
      <c r="P142" s="204"/>
      <c r="Q142" s="204"/>
      <c r="R142" s="204"/>
      <c r="S142" s="204"/>
      <c r="T142" s="204"/>
      <c r="U142" s="204"/>
      <c r="V142" s="204"/>
      <c r="W142" s="204"/>
      <c r="X142" s="204"/>
      <c r="Y142" s="204"/>
      <c r="Z142" s="204"/>
      <c r="AA142" s="204"/>
    </row>
    <row r="143" spans="1:27" ht="15.75" customHeight="1" x14ac:dyDescent="0.2">
      <c r="A143" s="210" t="s">
        <v>564</v>
      </c>
      <c r="B143" s="142"/>
      <c r="C143" s="138"/>
      <c r="D143" s="143"/>
      <c r="E143" s="211"/>
      <c r="F143" s="212">
        <f t="shared" si="6"/>
        <v>0</v>
      </c>
      <c r="G143" s="213" t="str">
        <f t="shared" si="7"/>
        <v/>
      </c>
      <c r="H143" s="209">
        <f t="shared" si="8"/>
        <v>0</v>
      </c>
      <c r="I143" s="75"/>
      <c r="J143" s="75"/>
      <c r="K143" s="75"/>
      <c r="L143" s="204"/>
      <c r="M143" s="204"/>
      <c r="N143" s="204"/>
      <c r="O143" s="204"/>
      <c r="P143" s="204"/>
      <c r="Q143" s="204"/>
      <c r="R143" s="204"/>
      <c r="S143" s="204"/>
      <c r="T143" s="204"/>
      <c r="U143" s="204"/>
      <c r="V143" s="204"/>
      <c r="W143" s="204"/>
      <c r="X143" s="204"/>
      <c r="Y143" s="204"/>
      <c r="Z143" s="204"/>
      <c r="AA143" s="204"/>
    </row>
    <row r="144" spans="1:27" ht="15.75" customHeight="1" x14ac:dyDescent="0.2">
      <c r="A144" s="210" t="s">
        <v>391</v>
      </c>
      <c r="B144" s="142"/>
      <c r="C144" s="138"/>
      <c r="D144" s="143"/>
      <c r="E144" s="211"/>
      <c r="F144" s="212">
        <f t="shared" si="6"/>
        <v>0</v>
      </c>
      <c r="G144" s="213" t="str">
        <f t="shared" si="7"/>
        <v/>
      </c>
      <c r="H144" s="209">
        <f t="shared" si="8"/>
        <v>0</v>
      </c>
      <c r="I144" s="75"/>
      <c r="J144" s="75"/>
      <c r="K144" s="75"/>
      <c r="L144" s="204"/>
      <c r="M144" s="204"/>
      <c r="N144" s="204"/>
      <c r="O144" s="204"/>
      <c r="P144" s="204"/>
      <c r="Q144" s="204"/>
      <c r="R144" s="204"/>
      <c r="S144" s="204"/>
      <c r="T144" s="204"/>
      <c r="U144" s="204"/>
      <c r="V144" s="204"/>
      <c r="W144" s="204"/>
      <c r="X144" s="204"/>
      <c r="Y144" s="204"/>
      <c r="Z144" s="204"/>
      <c r="AA144" s="204"/>
    </row>
    <row r="145" spans="1:27" ht="15.75" customHeight="1" x14ac:dyDescent="0.2">
      <c r="A145" s="210" t="s">
        <v>392</v>
      </c>
      <c r="B145" s="142"/>
      <c r="C145" s="138"/>
      <c r="D145" s="143"/>
      <c r="E145" s="211"/>
      <c r="F145" s="212">
        <f t="shared" si="6"/>
        <v>0</v>
      </c>
      <c r="G145" s="213" t="str">
        <f t="shared" si="7"/>
        <v/>
      </c>
      <c r="H145" s="209">
        <f t="shared" si="8"/>
        <v>0</v>
      </c>
      <c r="I145" s="75"/>
      <c r="J145" s="75"/>
      <c r="K145" s="75"/>
      <c r="L145" s="204"/>
      <c r="M145" s="204"/>
      <c r="N145" s="204"/>
      <c r="O145" s="204"/>
      <c r="P145" s="204"/>
      <c r="Q145" s="204"/>
      <c r="R145" s="204"/>
      <c r="S145" s="204"/>
      <c r="T145" s="204"/>
      <c r="U145" s="204"/>
      <c r="V145" s="204"/>
      <c r="W145" s="204"/>
      <c r="X145" s="204"/>
      <c r="Y145" s="204"/>
      <c r="Z145" s="204"/>
      <c r="AA145" s="204"/>
    </row>
    <row r="146" spans="1:27" ht="15.75" customHeight="1" x14ac:dyDescent="0.2">
      <c r="A146" s="210" t="s">
        <v>393</v>
      </c>
      <c r="B146" s="142"/>
      <c r="C146" s="138"/>
      <c r="D146" s="143"/>
      <c r="E146" s="211"/>
      <c r="F146" s="212">
        <f t="shared" si="6"/>
        <v>0</v>
      </c>
      <c r="G146" s="213" t="str">
        <f t="shared" si="7"/>
        <v/>
      </c>
      <c r="H146" s="209">
        <f t="shared" si="8"/>
        <v>0</v>
      </c>
      <c r="I146" s="75"/>
      <c r="J146" s="75"/>
      <c r="K146" s="75"/>
      <c r="L146" s="204"/>
      <c r="M146" s="204"/>
      <c r="N146" s="204"/>
      <c r="O146" s="204"/>
      <c r="P146" s="204"/>
      <c r="Q146" s="204"/>
      <c r="R146" s="204"/>
      <c r="S146" s="204"/>
      <c r="T146" s="204"/>
      <c r="U146" s="204"/>
      <c r="V146" s="204"/>
      <c r="W146" s="204"/>
      <c r="X146" s="204"/>
      <c r="Y146" s="204"/>
      <c r="Z146" s="204"/>
      <c r="AA146" s="204"/>
    </row>
    <row r="147" spans="1:27" ht="15.75" customHeight="1" x14ac:dyDescent="0.2">
      <c r="A147" s="210" t="s">
        <v>394</v>
      </c>
      <c r="B147" s="142"/>
      <c r="C147" s="138"/>
      <c r="D147" s="143"/>
      <c r="E147" s="211"/>
      <c r="F147" s="212">
        <f t="shared" si="6"/>
        <v>0</v>
      </c>
      <c r="G147" s="213" t="str">
        <f t="shared" si="7"/>
        <v/>
      </c>
      <c r="H147" s="209">
        <f t="shared" si="8"/>
        <v>0</v>
      </c>
      <c r="I147" s="75"/>
      <c r="J147" s="75"/>
      <c r="K147" s="75"/>
      <c r="L147" s="204"/>
      <c r="M147" s="204"/>
      <c r="N147" s="204"/>
      <c r="O147" s="204"/>
      <c r="P147" s="204"/>
      <c r="Q147" s="204"/>
      <c r="R147" s="204"/>
      <c r="S147" s="204"/>
      <c r="T147" s="204"/>
      <c r="U147" s="204"/>
      <c r="V147" s="204"/>
      <c r="W147" s="204"/>
      <c r="X147" s="204"/>
      <c r="Y147" s="204"/>
      <c r="Z147" s="204"/>
      <c r="AA147" s="204"/>
    </row>
    <row r="148" spans="1:27" ht="15.75" customHeight="1" x14ac:dyDescent="0.2">
      <c r="A148" s="210" t="s">
        <v>395</v>
      </c>
      <c r="B148" s="142"/>
      <c r="C148" s="138"/>
      <c r="D148" s="143"/>
      <c r="E148" s="211"/>
      <c r="F148" s="212">
        <f t="shared" si="6"/>
        <v>0</v>
      </c>
      <c r="G148" s="213" t="str">
        <f t="shared" si="7"/>
        <v/>
      </c>
      <c r="H148" s="209">
        <f t="shared" si="8"/>
        <v>0</v>
      </c>
      <c r="I148" s="75"/>
      <c r="J148" s="75"/>
      <c r="K148" s="75"/>
      <c r="L148" s="204"/>
      <c r="M148" s="204"/>
      <c r="N148" s="204"/>
      <c r="O148" s="204"/>
      <c r="P148" s="204"/>
      <c r="Q148" s="204"/>
      <c r="R148" s="204"/>
      <c r="S148" s="204"/>
      <c r="T148" s="204"/>
      <c r="U148" s="204"/>
      <c r="V148" s="204"/>
      <c r="W148" s="204"/>
      <c r="X148" s="204"/>
      <c r="Y148" s="204"/>
      <c r="Z148" s="204"/>
      <c r="AA148" s="204"/>
    </row>
    <row r="149" spans="1:27" ht="15.75" customHeight="1" x14ac:dyDescent="0.2">
      <c r="A149" s="210" t="s">
        <v>396</v>
      </c>
      <c r="B149" s="142"/>
      <c r="C149" s="138"/>
      <c r="D149" s="143"/>
      <c r="E149" s="211"/>
      <c r="F149" s="212">
        <f t="shared" si="6"/>
        <v>0</v>
      </c>
      <c r="G149" s="213" t="str">
        <f t="shared" si="7"/>
        <v/>
      </c>
      <c r="H149" s="209">
        <f t="shared" si="8"/>
        <v>0</v>
      </c>
      <c r="I149" s="75"/>
      <c r="J149" s="75"/>
      <c r="K149" s="75"/>
      <c r="L149" s="204"/>
      <c r="M149" s="204"/>
      <c r="N149" s="204"/>
      <c r="O149" s="204"/>
      <c r="P149" s="204"/>
      <c r="Q149" s="204"/>
      <c r="R149" s="204"/>
      <c r="S149" s="204"/>
      <c r="T149" s="204"/>
      <c r="U149" s="204"/>
      <c r="V149" s="204"/>
      <c r="W149" s="204"/>
      <c r="X149" s="204"/>
      <c r="Y149" s="204"/>
      <c r="Z149" s="204"/>
      <c r="AA149" s="204"/>
    </row>
    <row r="150" spans="1:27" ht="15.75" customHeight="1" x14ac:dyDescent="0.2">
      <c r="A150" s="210" t="s">
        <v>397</v>
      </c>
      <c r="B150" s="142"/>
      <c r="C150" s="138"/>
      <c r="D150" s="143"/>
      <c r="E150" s="211"/>
      <c r="F150" s="212">
        <f t="shared" si="6"/>
        <v>0</v>
      </c>
      <c r="G150" s="213" t="str">
        <f t="shared" si="7"/>
        <v/>
      </c>
      <c r="H150" s="209">
        <f t="shared" si="8"/>
        <v>0</v>
      </c>
      <c r="I150" s="75"/>
      <c r="J150" s="75"/>
      <c r="K150" s="75"/>
      <c r="L150" s="204"/>
      <c r="M150" s="204"/>
      <c r="N150" s="204"/>
      <c r="O150" s="204"/>
      <c r="P150" s="204"/>
      <c r="Q150" s="204"/>
      <c r="R150" s="204"/>
      <c r="S150" s="204"/>
      <c r="T150" s="204"/>
      <c r="U150" s="204"/>
      <c r="V150" s="204"/>
      <c r="W150" s="204"/>
      <c r="X150" s="204"/>
      <c r="Y150" s="204"/>
      <c r="Z150" s="204"/>
      <c r="AA150" s="204"/>
    </row>
    <row r="151" spans="1:27" ht="15.75" customHeight="1" x14ac:dyDescent="0.2">
      <c r="A151" s="210" t="s">
        <v>398</v>
      </c>
      <c r="B151" s="142"/>
      <c r="C151" s="138"/>
      <c r="D151" s="143"/>
      <c r="E151" s="211"/>
      <c r="F151" s="212">
        <f t="shared" si="6"/>
        <v>0</v>
      </c>
      <c r="G151" s="213" t="str">
        <f t="shared" si="7"/>
        <v/>
      </c>
      <c r="H151" s="209">
        <f t="shared" si="8"/>
        <v>0</v>
      </c>
      <c r="I151" s="75"/>
      <c r="J151" s="75"/>
      <c r="K151" s="75"/>
      <c r="L151" s="204"/>
      <c r="M151" s="204"/>
      <c r="N151" s="204"/>
      <c r="O151" s="204"/>
      <c r="P151" s="204"/>
      <c r="Q151" s="204"/>
      <c r="R151" s="204"/>
      <c r="S151" s="204"/>
      <c r="T151" s="204"/>
      <c r="U151" s="204"/>
      <c r="V151" s="204"/>
      <c r="W151" s="204"/>
      <c r="X151" s="204"/>
      <c r="Y151" s="204"/>
      <c r="Z151" s="204"/>
      <c r="AA151" s="204"/>
    </row>
    <row r="152" spans="1:27" ht="15.75" customHeight="1" x14ac:dyDescent="0.2">
      <c r="A152" s="210" t="s">
        <v>399</v>
      </c>
      <c r="B152" s="142"/>
      <c r="C152" s="138"/>
      <c r="D152" s="143"/>
      <c r="E152" s="211"/>
      <c r="F152" s="212">
        <f t="shared" si="6"/>
        <v>0</v>
      </c>
      <c r="G152" s="213" t="str">
        <f t="shared" si="7"/>
        <v/>
      </c>
      <c r="H152" s="209">
        <f t="shared" si="8"/>
        <v>0</v>
      </c>
      <c r="I152" s="75"/>
      <c r="J152" s="75"/>
      <c r="K152" s="75"/>
      <c r="L152" s="204"/>
      <c r="M152" s="204"/>
      <c r="N152" s="204"/>
      <c r="O152" s="204"/>
      <c r="P152" s="204"/>
      <c r="Q152" s="204"/>
      <c r="R152" s="204"/>
      <c r="S152" s="204"/>
      <c r="T152" s="204"/>
      <c r="U152" s="204"/>
      <c r="V152" s="204"/>
      <c r="W152" s="204"/>
      <c r="X152" s="204"/>
      <c r="Y152" s="204"/>
      <c r="Z152" s="204"/>
      <c r="AA152" s="204"/>
    </row>
    <row r="153" spans="1:27" ht="15.75" customHeight="1" x14ac:dyDescent="0.2">
      <c r="A153" s="210" t="s">
        <v>400</v>
      </c>
      <c r="B153" s="142"/>
      <c r="C153" s="138"/>
      <c r="D153" s="143"/>
      <c r="E153" s="211"/>
      <c r="F153" s="212">
        <f t="shared" si="6"/>
        <v>0</v>
      </c>
      <c r="G153" s="213" t="str">
        <f t="shared" si="7"/>
        <v/>
      </c>
      <c r="H153" s="209">
        <f t="shared" si="8"/>
        <v>0</v>
      </c>
      <c r="I153" s="75"/>
      <c r="J153" s="75"/>
      <c r="K153" s="75"/>
      <c r="L153" s="204"/>
      <c r="M153" s="204"/>
      <c r="N153" s="204"/>
      <c r="O153" s="204"/>
      <c r="P153" s="204"/>
      <c r="Q153" s="204"/>
      <c r="R153" s="204"/>
      <c r="S153" s="204"/>
      <c r="T153" s="204"/>
      <c r="U153" s="204"/>
      <c r="V153" s="204"/>
      <c r="W153" s="204"/>
      <c r="X153" s="204"/>
      <c r="Y153" s="204"/>
      <c r="Z153" s="204"/>
      <c r="AA153" s="204"/>
    </row>
    <row r="154" spans="1:27" ht="15.75" customHeight="1" x14ac:dyDescent="0.2">
      <c r="A154" s="210" t="s">
        <v>401</v>
      </c>
      <c r="B154" s="142"/>
      <c r="C154" s="138"/>
      <c r="D154" s="143"/>
      <c r="E154" s="211"/>
      <c r="F154" s="212">
        <f t="shared" si="6"/>
        <v>0</v>
      </c>
      <c r="G154" s="213" t="str">
        <f t="shared" si="7"/>
        <v/>
      </c>
      <c r="H154" s="209">
        <f t="shared" si="8"/>
        <v>0</v>
      </c>
      <c r="I154" s="75"/>
      <c r="J154" s="75"/>
      <c r="K154" s="75"/>
      <c r="L154" s="204"/>
      <c r="M154" s="204"/>
      <c r="N154" s="204"/>
      <c r="O154" s="204"/>
      <c r="P154" s="204"/>
      <c r="Q154" s="204"/>
      <c r="R154" s="204"/>
      <c r="S154" s="204"/>
      <c r="T154" s="204"/>
      <c r="U154" s="204"/>
      <c r="V154" s="204"/>
      <c r="W154" s="204"/>
      <c r="X154" s="204"/>
      <c r="Y154" s="204"/>
      <c r="Z154" s="204"/>
      <c r="AA154" s="204"/>
    </row>
    <row r="155" spans="1:27" ht="15.75" customHeight="1" x14ac:dyDescent="0.2">
      <c r="A155" s="210" t="s">
        <v>1079</v>
      </c>
      <c r="B155" s="332"/>
      <c r="C155" s="333"/>
      <c r="D155" s="334"/>
      <c r="E155" s="211"/>
      <c r="F155" s="349">
        <f>IF(B155&gt;0,1,0)</f>
        <v>0</v>
      </c>
      <c r="G155" s="350"/>
      <c r="H155" s="209"/>
      <c r="I155" s="75"/>
      <c r="J155" s="75"/>
      <c r="K155" s="75"/>
      <c r="L155" s="204"/>
      <c r="M155" s="204"/>
      <c r="N155" s="204"/>
      <c r="O155" s="204"/>
      <c r="P155" s="204"/>
      <c r="Q155" s="204"/>
      <c r="R155" s="204"/>
      <c r="S155" s="204"/>
      <c r="T155" s="204"/>
      <c r="U155" s="204"/>
      <c r="V155" s="204"/>
      <c r="W155" s="204"/>
      <c r="X155" s="204"/>
      <c r="Y155" s="204"/>
      <c r="Z155" s="204"/>
      <c r="AA155" s="204"/>
    </row>
    <row r="156" spans="1:27" ht="15.75" customHeight="1" x14ac:dyDescent="0.2">
      <c r="A156" s="210" t="s">
        <v>1078</v>
      </c>
      <c r="B156" s="332"/>
      <c r="C156" s="333"/>
      <c r="D156" s="334"/>
      <c r="E156" s="211"/>
      <c r="F156" s="347">
        <f>IF(B156&gt;0,1,0)</f>
        <v>0</v>
      </c>
      <c r="G156" s="348"/>
      <c r="H156" s="209"/>
      <c r="I156" s="75"/>
      <c r="J156" s="75"/>
      <c r="K156" s="75"/>
      <c r="L156" s="204"/>
      <c r="M156" s="204"/>
      <c r="N156" s="204"/>
      <c r="O156" s="204"/>
      <c r="P156" s="204"/>
      <c r="Q156" s="204"/>
      <c r="R156" s="204"/>
      <c r="S156" s="204"/>
      <c r="T156" s="204"/>
      <c r="U156" s="204"/>
      <c r="V156" s="204"/>
      <c r="W156" s="204"/>
      <c r="X156" s="204"/>
      <c r="Y156" s="204"/>
      <c r="Z156" s="204"/>
      <c r="AA156" s="204"/>
    </row>
    <row r="157" spans="1:27" ht="15.75" customHeight="1" x14ac:dyDescent="0.2">
      <c r="A157" s="210" t="s">
        <v>1076</v>
      </c>
      <c r="B157" s="332"/>
      <c r="C157" s="333"/>
      <c r="D157" s="334"/>
      <c r="E157" s="211"/>
      <c r="F157" s="347">
        <f t="shared" ref="F157:F163" si="9">IF(B157&gt;0,1,0)</f>
        <v>0</v>
      </c>
      <c r="G157" s="348"/>
      <c r="H157" s="209"/>
      <c r="I157" s="75"/>
      <c r="J157" s="75"/>
      <c r="K157" s="75"/>
      <c r="L157" s="204"/>
      <c r="M157" s="204"/>
      <c r="N157" s="204"/>
      <c r="O157" s="204"/>
      <c r="P157" s="204"/>
      <c r="Q157" s="204"/>
      <c r="R157" s="204"/>
      <c r="S157" s="204"/>
      <c r="T157" s="204"/>
      <c r="U157" s="204"/>
      <c r="V157" s="204"/>
      <c r="W157" s="204"/>
      <c r="X157" s="204"/>
      <c r="Y157" s="204"/>
      <c r="Z157" s="204"/>
      <c r="AA157" s="204"/>
    </row>
    <row r="158" spans="1:27" ht="19.5" customHeight="1" x14ac:dyDescent="0.2">
      <c r="A158" s="218" t="s">
        <v>609</v>
      </c>
      <c r="B158" s="332"/>
      <c r="C158" s="333"/>
      <c r="D158" s="334"/>
      <c r="E158" s="217"/>
      <c r="F158" s="347">
        <f t="shared" si="9"/>
        <v>0</v>
      </c>
      <c r="G158" s="348"/>
      <c r="H158" s="209"/>
      <c r="I158" s="75"/>
      <c r="J158" s="75"/>
      <c r="K158" s="75"/>
      <c r="L158" s="204"/>
      <c r="M158" s="204"/>
      <c r="N158" s="204"/>
      <c r="O158" s="204"/>
      <c r="P158" s="204"/>
      <c r="Q158" s="204"/>
      <c r="R158" s="204"/>
      <c r="S158" s="204"/>
      <c r="T158" s="204"/>
      <c r="U158" s="204"/>
      <c r="V158" s="204"/>
      <c r="W158" s="204"/>
      <c r="X158" s="204"/>
      <c r="Y158" s="204"/>
      <c r="Z158" s="204"/>
      <c r="AA158" s="204"/>
    </row>
    <row r="159" spans="1:27" ht="19.5" customHeight="1" x14ac:dyDescent="0.2">
      <c r="A159" s="218" t="s">
        <v>608</v>
      </c>
      <c r="B159" s="332"/>
      <c r="C159" s="333"/>
      <c r="D159" s="334"/>
      <c r="E159" s="217"/>
      <c r="F159" s="347">
        <f t="shared" si="9"/>
        <v>0</v>
      </c>
      <c r="G159" s="348"/>
      <c r="H159" s="209"/>
      <c r="I159" s="75"/>
      <c r="J159" s="75"/>
      <c r="K159" s="75"/>
      <c r="L159" s="204"/>
      <c r="M159" s="204"/>
      <c r="N159" s="204"/>
      <c r="O159" s="204"/>
      <c r="P159" s="204"/>
      <c r="Q159" s="204"/>
      <c r="R159" s="204"/>
      <c r="S159" s="204"/>
      <c r="T159" s="204"/>
      <c r="U159" s="204"/>
      <c r="V159" s="204"/>
      <c r="W159" s="204"/>
      <c r="X159" s="204"/>
      <c r="Y159" s="204"/>
      <c r="Z159" s="204"/>
      <c r="AA159" s="204"/>
    </row>
    <row r="160" spans="1:27" ht="15.75" customHeight="1" x14ac:dyDescent="0.2">
      <c r="A160" s="216" t="s">
        <v>549</v>
      </c>
      <c r="B160" s="332"/>
      <c r="C160" s="333"/>
      <c r="D160" s="334"/>
      <c r="E160" s="217"/>
      <c r="F160" s="347">
        <f t="shared" si="9"/>
        <v>0</v>
      </c>
      <c r="G160" s="348"/>
      <c r="H160" s="209"/>
      <c r="I160" s="75"/>
      <c r="J160" s="75"/>
      <c r="K160" s="75"/>
      <c r="L160" s="204"/>
      <c r="M160" s="204"/>
      <c r="N160" s="204"/>
      <c r="O160" s="204"/>
      <c r="P160" s="204"/>
      <c r="Q160" s="204"/>
      <c r="R160" s="204"/>
      <c r="S160" s="204"/>
      <c r="T160" s="204"/>
      <c r="U160" s="204"/>
      <c r="V160" s="204"/>
      <c r="W160" s="204"/>
      <c r="X160" s="204"/>
      <c r="Y160" s="204"/>
      <c r="Z160" s="204"/>
      <c r="AA160" s="204"/>
    </row>
    <row r="161" spans="1:27" ht="15.75" customHeight="1" x14ac:dyDescent="0.2">
      <c r="A161" s="210" t="s">
        <v>1077</v>
      </c>
      <c r="B161" s="332"/>
      <c r="C161" s="333"/>
      <c r="D161" s="334"/>
      <c r="E161" s="211"/>
      <c r="F161" s="347">
        <f t="shared" si="9"/>
        <v>0</v>
      </c>
      <c r="G161" s="348"/>
      <c r="H161" s="209"/>
      <c r="I161" s="75"/>
      <c r="J161" s="75"/>
      <c r="K161" s="75"/>
      <c r="L161" s="204"/>
      <c r="M161" s="204"/>
      <c r="N161" s="204"/>
      <c r="O161" s="204"/>
      <c r="P161" s="204"/>
      <c r="Q161" s="204"/>
      <c r="R161" s="204"/>
      <c r="S161" s="204"/>
      <c r="T161" s="204"/>
      <c r="U161" s="204"/>
      <c r="V161" s="204"/>
      <c r="W161" s="204"/>
      <c r="X161" s="204"/>
      <c r="Y161" s="204"/>
      <c r="Z161" s="204"/>
      <c r="AA161" s="204"/>
    </row>
    <row r="162" spans="1:27" ht="15.75" customHeight="1" x14ac:dyDescent="0.2">
      <c r="A162" s="210" t="s">
        <v>1080</v>
      </c>
      <c r="B162" s="332"/>
      <c r="C162" s="333"/>
      <c r="D162" s="334"/>
      <c r="E162" s="211"/>
      <c r="F162" s="347">
        <f t="shared" si="9"/>
        <v>0</v>
      </c>
      <c r="G162" s="348"/>
      <c r="H162" s="209"/>
      <c r="I162" s="75"/>
      <c r="J162" s="75"/>
      <c r="K162" s="75"/>
      <c r="L162" s="204"/>
      <c r="M162" s="204"/>
      <c r="N162" s="204"/>
      <c r="O162" s="204"/>
      <c r="P162" s="204"/>
      <c r="Q162" s="204"/>
      <c r="R162" s="204"/>
      <c r="S162" s="204"/>
      <c r="T162" s="204"/>
      <c r="U162" s="204"/>
      <c r="V162" s="204"/>
      <c r="W162" s="204"/>
      <c r="X162" s="204"/>
      <c r="Y162" s="204"/>
      <c r="Z162" s="204"/>
      <c r="AA162" s="204"/>
    </row>
    <row r="163" spans="1:27" ht="15.75" customHeight="1" x14ac:dyDescent="0.2">
      <c r="A163" s="210" t="s">
        <v>489</v>
      </c>
      <c r="B163" s="332"/>
      <c r="C163" s="333"/>
      <c r="D163" s="334"/>
      <c r="E163" s="211"/>
      <c r="F163" s="347">
        <f t="shared" si="9"/>
        <v>0</v>
      </c>
      <c r="G163" s="348"/>
      <c r="H163" s="209"/>
      <c r="I163" s="75"/>
      <c r="J163" s="75"/>
      <c r="K163" s="75"/>
      <c r="L163" s="204"/>
      <c r="M163" s="204"/>
      <c r="N163" s="204"/>
      <c r="O163" s="204"/>
      <c r="P163" s="204"/>
      <c r="Q163" s="204"/>
      <c r="R163" s="204"/>
      <c r="S163" s="204"/>
      <c r="T163" s="204"/>
      <c r="U163" s="204"/>
      <c r="V163" s="204"/>
      <c r="W163" s="204"/>
      <c r="X163" s="204"/>
      <c r="Y163" s="204"/>
      <c r="Z163" s="204"/>
      <c r="AA163" s="204"/>
    </row>
    <row r="164" spans="1:27" ht="15.75" customHeight="1" x14ac:dyDescent="0.2">
      <c r="A164" s="210" t="s">
        <v>402</v>
      </c>
      <c r="B164" s="142"/>
      <c r="C164" s="138"/>
      <c r="D164" s="143"/>
      <c r="E164" s="211"/>
      <c r="F164" s="212">
        <f>IF(B164&gt;0,1,0)</f>
        <v>0</v>
      </c>
      <c r="G164" s="213" t="str">
        <f t="shared" ref="G164:G227" si="10">IF(OR(C164&gt;0,D164&gt;0),"1","")</f>
        <v/>
      </c>
      <c r="H164" s="209">
        <f t="shared" ref="H164:H227" si="11">IF(OR(C164=1,D164=1),1,0)</f>
        <v>0</v>
      </c>
      <c r="I164" s="75"/>
      <c r="J164" s="75"/>
      <c r="K164" s="75"/>
      <c r="L164" s="204"/>
      <c r="M164" s="204"/>
      <c r="N164" s="204"/>
      <c r="O164" s="204"/>
      <c r="P164" s="204"/>
      <c r="Q164" s="204"/>
      <c r="R164" s="204"/>
      <c r="S164" s="204"/>
      <c r="T164" s="204"/>
      <c r="U164" s="204"/>
      <c r="V164" s="204"/>
      <c r="W164" s="204"/>
      <c r="X164" s="204"/>
      <c r="Y164" s="204"/>
      <c r="Z164" s="204"/>
      <c r="AA164" s="204"/>
    </row>
    <row r="165" spans="1:27" ht="15.75" customHeight="1" x14ac:dyDescent="0.2">
      <c r="A165" s="210" t="s">
        <v>403</v>
      </c>
      <c r="B165" s="142"/>
      <c r="C165" s="138"/>
      <c r="D165" s="143"/>
      <c r="E165" s="211"/>
      <c r="F165" s="212">
        <f>IF(B165&gt;0,1,0)</f>
        <v>0</v>
      </c>
      <c r="G165" s="213" t="str">
        <f t="shared" si="10"/>
        <v/>
      </c>
      <c r="H165" s="209">
        <f t="shared" si="11"/>
        <v>0</v>
      </c>
      <c r="I165" s="75"/>
      <c r="J165" s="75"/>
      <c r="K165" s="75"/>
      <c r="L165" s="204"/>
      <c r="M165" s="204"/>
      <c r="N165" s="204"/>
      <c r="O165" s="204"/>
      <c r="P165" s="204"/>
      <c r="Q165" s="204"/>
      <c r="R165" s="204"/>
      <c r="S165" s="204"/>
      <c r="T165" s="204"/>
      <c r="U165" s="204"/>
      <c r="V165" s="204"/>
      <c r="W165" s="204"/>
      <c r="X165" s="204"/>
      <c r="Y165" s="204"/>
      <c r="Z165" s="204"/>
      <c r="AA165" s="204"/>
    </row>
    <row r="166" spans="1:27" ht="15.75" customHeight="1" x14ac:dyDescent="0.2">
      <c r="A166" s="210" t="s">
        <v>404</v>
      </c>
      <c r="B166" s="142"/>
      <c r="C166" s="138"/>
      <c r="D166" s="143"/>
      <c r="E166" s="211"/>
      <c r="F166" s="212">
        <f t="shared" ref="F166:F194" si="12">IF(B166&gt;0,1,0)</f>
        <v>0</v>
      </c>
      <c r="G166" s="213" t="str">
        <f t="shared" si="10"/>
        <v/>
      </c>
      <c r="H166" s="209">
        <f t="shared" si="11"/>
        <v>0</v>
      </c>
      <c r="I166" s="75"/>
      <c r="J166" s="75"/>
      <c r="K166" s="75"/>
      <c r="L166" s="204"/>
      <c r="M166" s="204"/>
      <c r="N166" s="204"/>
      <c r="O166" s="204"/>
      <c r="P166" s="204"/>
      <c r="Q166" s="204"/>
      <c r="R166" s="204"/>
      <c r="S166" s="204"/>
      <c r="T166" s="204"/>
      <c r="U166" s="204"/>
      <c r="V166" s="204"/>
      <c r="W166" s="204"/>
      <c r="X166" s="204"/>
      <c r="Y166" s="204"/>
      <c r="Z166" s="204"/>
      <c r="AA166" s="204"/>
    </row>
    <row r="167" spans="1:27" ht="15.75" customHeight="1" x14ac:dyDescent="0.2">
      <c r="A167" s="210" t="s">
        <v>544</v>
      </c>
      <c r="B167" s="142"/>
      <c r="C167" s="138"/>
      <c r="D167" s="143"/>
      <c r="E167" s="211"/>
      <c r="F167" s="212">
        <f t="shared" si="12"/>
        <v>0</v>
      </c>
      <c r="G167" s="213" t="str">
        <f t="shared" si="10"/>
        <v/>
      </c>
      <c r="H167" s="209">
        <f t="shared" si="11"/>
        <v>0</v>
      </c>
      <c r="I167" s="75"/>
      <c r="J167" s="75"/>
      <c r="K167" s="75"/>
      <c r="L167" s="204"/>
      <c r="M167" s="204"/>
      <c r="N167" s="204"/>
      <c r="O167" s="204"/>
      <c r="P167" s="204"/>
      <c r="Q167" s="204"/>
      <c r="R167" s="204"/>
      <c r="S167" s="204"/>
      <c r="T167" s="204"/>
      <c r="U167" s="204"/>
      <c r="V167" s="204"/>
      <c r="W167" s="204"/>
      <c r="X167" s="204"/>
      <c r="Y167" s="204"/>
      <c r="Z167" s="204"/>
      <c r="AA167" s="204"/>
    </row>
    <row r="168" spans="1:27" ht="15.75" customHeight="1" x14ac:dyDescent="0.2">
      <c r="A168" s="210" t="s">
        <v>405</v>
      </c>
      <c r="B168" s="142"/>
      <c r="C168" s="138"/>
      <c r="D168" s="143"/>
      <c r="E168" s="211"/>
      <c r="F168" s="212">
        <f t="shared" si="12"/>
        <v>0</v>
      </c>
      <c r="G168" s="213" t="str">
        <f t="shared" si="10"/>
        <v/>
      </c>
      <c r="H168" s="209">
        <f t="shared" si="11"/>
        <v>0</v>
      </c>
      <c r="I168" s="75"/>
      <c r="J168" s="75"/>
      <c r="K168" s="75"/>
      <c r="L168" s="204"/>
      <c r="M168" s="204"/>
      <c r="N168" s="204"/>
      <c r="O168" s="204"/>
      <c r="P168" s="204"/>
      <c r="Q168" s="204"/>
      <c r="R168" s="204"/>
      <c r="S168" s="204"/>
      <c r="T168" s="204"/>
      <c r="U168" s="204"/>
      <c r="V168" s="204"/>
      <c r="W168" s="204"/>
      <c r="X168" s="204"/>
      <c r="Y168" s="204"/>
      <c r="Z168" s="204"/>
      <c r="AA168" s="204"/>
    </row>
    <row r="169" spans="1:27" ht="15.75" customHeight="1" x14ac:dyDescent="0.2">
      <c r="A169" s="210" t="s">
        <v>406</v>
      </c>
      <c r="B169" s="142"/>
      <c r="C169" s="138"/>
      <c r="D169" s="143"/>
      <c r="E169" s="211"/>
      <c r="F169" s="212">
        <f t="shared" si="12"/>
        <v>0</v>
      </c>
      <c r="G169" s="213" t="str">
        <f t="shared" si="10"/>
        <v/>
      </c>
      <c r="H169" s="209">
        <f t="shared" si="11"/>
        <v>0</v>
      </c>
      <c r="I169" s="75"/>
      <c r="J169" s="75"/>
      <c r="K169" s="75"/>
      <c r="L169" s="204"/>
      <c r="M169" s="204"/>
      <c r="N169" s="204"/>
      <c r="O169" s="204"/>
      <c r="P169" s="204"/>
      <c r="Q169" s="204"/>
      <c r="R169" s="204"/>
      <c r="S169" s="204"/>
      <c r="T169" s="204"/>
      <c r="U169" s="204"/>
      <c r="V169" s="204"/>
      <c r="W169" s="204"/>
      <c r="X169" s="204"/>
      <c r="Y169" s="204"/>
      <c r="Z169" s="204"/>
      <c r="AA169" s="204"/>
    </row>
    <row r="170" spans="1:27" ht="15.75" customHeight="1" x14ac:dyDescent="0.2">
      <c r="A170" s="210" t="s">
        <v>407</v>
      </c>
      <c r="B170" s="142"/>
      <c r="C170" s="138"/>
      <c r="D170" s="143"/>
      <c r="E170" s="211"/>
      <c r="F170" s="212">
        <f t="shared" si="12"/>
        <v>0</v>
      </c>
      <c r="G170" s="213" t="str">
        <f t="shared" si="10"/>
        <v/>
      </c>
      <c r="H170" s="209">
        <f t="shared" si="11"/>
        <v>0</v>
      </c>
      <c r="I170" s="75"/>
      <c r="J170" s="75"/>
      <c r="K170" s="75"/>
      <c r="L170" s="204"/>
      <c r="M170" s="204"/>
      <c r="N170" s="204"/>
      <c r="O170" s="204"/>
      <c r="P170" s="204"/>
      <c r="Q170" s="204"/>
      <c r="R170" s="204"/>
      <c r="S170" s="204"/>
      <c r="T170" s="204"/>
      <c r="U170" s="204"/>
      <c r="V170" s="204"/>
      <c r="W170" s="204"/>
      <c r="X170" s="204"/>
      <c r="Y170" s="204"/>
      <c r="Z170" s="204"/>
      <c r="AA170" s="204"/>
    </row>
    <row r="171" spans="1:27" ht="15.75" customHeight="1" x14ac:dyDescent="0.2">
      <c r="A171" s="210" t="s">
        <v>408</v>
      </c>
      <c r="B171" s="142"/>
      <c r="C171" s="138"/>
      <c r="D171" s="143"/>
      <c r="E171" s="211"/>
      <c r="F171" s="212">
        <f t="shared" si="12"/>
        <v>0</v>
      </c>
      <c r="G171" s="213" t="str">
        <f t="shared" si="10"/>
        <v/>
      </c>
      <c r="H171" s="209">
        <f t="shared" si="11"/>
        <v>0</v>
      </c>
      <c r="I171" s="75"/>
      <c r="J171" s="75"/>
      <c r="K171" s="75"/>
      <c r="L171" s="204"/>
      <c r="M171" s="204"/>
      <c r="N171" s="204"/>
      <c r="O171" s="204"/>
      <c r="P171" s="204"/>
      <c r="Q171" s="204"/>
      <c r="R171" s="204"/>
      <c r="S171" s="204"/>
      <c r="T171" s="204"/>
      <c r="U171" s="204"/>
      <c r="V171" s="204"/>
      <c r="W171" s="204"/>
      <c r="X171" s="204"/>
      <c r="Y171" s="204"/>
      <c r="Z171" s="204"/>
      <c r="AA171" s="204"/>
    </row>
    <row r="172" spans="1:27" ht="15.75" customHeight="1" x14ac:dyDescent="0.2">
      <c r="A172" s="210" t="s">
        <v>409</v>
      </c>
      <c r="B172" s="142"/>
      <c r="C172" s="138"/>
      <c r="D172" s="143"/>
      <c r="E172" s="211"/>
      <c r="F172" s="212">
        <f t="shared" si="12"/>
        <v>0</v>
      </c>
      <c r="G172" s="213" t="str">
        <f t="shared" si="10"/>
        <v/>
      </c>
      <c r="H172" s="209">
        <f t="shared" si="11"/>
        <v>0</v>
      </c>
      <c r="I172" s="75"/>
      <c r="J172" s="75"/>
      <c r="K172" s="75"/>
      <c r="L172" s="204"/>
      <c r="M172" s="204"/>
      <c r="N172" s="204"/>
      <c r="O172" s="204"/>
      <c r="P172" s="204"/>
      <c r="Q172" s="204"/>
      <c r="R172" s="204"/>
      <c r="S172" s="204"/>
      <c r="T172" s="204"/>
      <c r="U172" s="204"/>
      <c r="V172" s="204"/>
      <c r="W172" s="204"/>
      <c r="X172" s="204"/>
      <c r="Y172" s="204"/>
      <c r="Z172" s="204"/>
      <c r="AA172" s="204"/>
    </row>
    <row r="173" spans="1:27" ht="15.75" customHeight="1" x14ac:dyDescent="0.2">
      <c r="A173" s="210" t="s">
        <v>410</v>
      </c>
      <c r="B173" s="142"/>
      <c r="C173" s="138"/>
      <c r="D173" s="143"/>
      <c r="E173" s="211"/>
      <c r="F173" s="212">
        <f t="shared" si="12"/>
        <v>0</v>
      </c>
      <c r="G173" s="213" t="str">
        <f t="shared" si="10"/>
        <v/>
      </c>
      <c r="H173" s="209">
        <f t="shared" si="11"/>
        <v>0</v>
      </c>
      <c r="I173" s="75"/>
      <c r="J173" s="75"/>
      <c r="K173" s="75"/>
      <c r="L173" s="204"/>
      <c r="M173" s="204"/>
      <c r="N173" s="204"/>
      <c r="O173" s="204"/>
      <c r="P173" s="204"/>
      <c r="Q173" s="204"/>
      <c r="R173" s="204"/>
      <c r="S173" s="204"/>
      <c r="T173" s="204"/>
      <c r="U173" s="204"/>
      <c r="V173" s="204"/>
      <c r="W173" s="204"/>
      <c r="X173" s="204"/>
      <c r="Y173" s="204"/>
      <c r="Z173" s="204"/>
      <c r="AA173" s="204"/>
    </row>
    <row r="174" spans="1:27" ht="15.75" customHeight="1" x14ac:dyDescent="0.2">
      <c r="A174" s="210" t="s">
        <v>411</v>
      </c>
      <c r="B174" s="142"/>
      <c r="C174" s="138"/>
      <c r="D174" s="143"/>
      <c r="E174" s="211"/>
      <c r="F174" s="212">
        <f t="shared" si="12"/>
        <v>0</v>
      </c>
      <c r="G174" s="213" t="str">
        <f t="shared" si="10"/>
        <v/>
      </c>
      <c r="H174" s="209">
        <f t="shared" si="11"/>
        <v>0</v>
      </c>
      <c r="I174" s="75"/>
      <c r="J174" s="75"/>
      <c r="K174" s="75"/>
      <c r="L174" s="204"/>
      <c r="M174" s="204"/>
      <c r="N174" s="204"/>
      <c r="O174" s="204"/>
      <c r="P174" s="204"/>
      <c r="Q174" s="204"/>
      <c r="R174" s="204"/>
      <c r="S174" s="204"/>
      <c r="T174" s="204"/>
      <c r="U174" s="204"/>
      <c r="V174" s="204"/>
      <c r="W174" s="204"/>
      <c r="X174" s="204"/>
      <c r="Y174" s="204"/>
      <c r="Z174" s="204"/>
      <c r="AA174" s="204"/>
    </row>
    <row r="175" spans="1:27" ht="15.75" customHeight="1" x14ac:dyDescent="0.2">
      <c r="A175" s="210" t="s">
        <v>412</v>
      </c>
      <c r="B175" s="142"/>
      <c r="C175" s="138"/>
      <c r="D175" s="143"/>
      <c r="E175" s="211"/>
      <c r="F175" s="212">
        <f t="shared" si="12"/>
        <v>0</v>
      </c>
      <c r="G175" s="213" t="str">
        <f t="shared" si="10"/>
        <v/>
      </c>
      <c r="H175" s="209">
        <f t="shared" si="11"/>
        <v>0</v>
      </c>
      <c r="I175" s="75"/>
      <c r="J175" s="75"/>
      <c r="K175" s="75"/>
      <c r="L175" s="204"/>
      <c r="M175" s="204"/>
      <c r="N175" s="204"/>
      <c r="O175" s="204"/>
      <c r="P175" s="204"/>
      <c r="Q175" s="204"/>
      <c r="R175" s="204"/>
      <c r="S175" s="204"/>
      <c r="T175" s="204"/>
      <c r="U175" s="204"/>
      <c r="V175" s="204"/>
      <c r="W175" s="204"/>
      <c r="X175" s="204"/>
      <c r="Y175" s="204"/>
      <c r="Z175" s="204"/>
      <c r="AA175" s="204"/>
    </row>
    <row r="176" spans="1:27" ht="15.75" customHeight="1" x14ac:dyDescent="0.2">
      <c r="A176" s="210" t="s">
        <v>413</v>
      </c>
      <c r="B176" s="142"/>
      <c r="C176" s="138"/>
      <c r="D176" s="143"/>
      <c r="E176" s="211"/>
      <c r="F176" s="212">
        <f t="shared" si="12"/>
        <v>0</v>
      </c>
      <c r="G176" s="213" t="str">
        <f t="shared" si="10"/>
        <v/>
      </c>
      <c r="H176" s="209">
        <f t="shared" si="11"/>
        <v>0</v>
      </c>
      <c r="I176" s="75"/>
      <c r="J176" s="75"/>
      <c r="K176" s="75"/>
      <c r="L176" s="204"/>
      <c r="M176" s="204"/>
      <c r="N176" s="204"/>
      <c r="O176" s="204"/>
      <c r="P176" s="204"/>
      <c r="Q176" s="204"/>
      <c r="R176" s="204"/>
      <c r="S176" s="204"/>
      <c r="T176" s="204"/>
      <c r="U176" s="204"/>
      <c r="V176" s="204"/>
      <c r="W176" s="204"/>
      <c r="X176" s="204"/>
      <c r="Y176" s="204"/>
      <c r="Z176" s="204"/>
      <c r="AA176" s="204"/>
    </row>
    <row r="177" spans="1:27" ht="15.75" customHeight="1" x14ac:dyDescent="0.2">
      <c r="A177" s="210" t="s">
        <v>414</v>
      </c>
      <c r="B177" s="142"/>
      <c r="C177" s="138"/>
      <c r="D177" s="143"/>
      <c r="E177" s="211"/>
      <c r="F177" s="212">
        <f t="shared" si="12"/>
        <v>0</v>
      </c>
      <c r="G177" s="213" t="str">
        <f t="shared" si="10"/>
        <v/>
      </c>
      <c r="H177" s="209">
        <f t="shared" si="11"/>
        <v>0</v>
      </c>
      <c r="I177" s="75"/>
      <c r="J177" s="75"/>
      <c r="K177" s="75"/>
      <c r="L177" s="204"/>
      <c r="M177" s="204"/>
      <c r="N177" s="204"/>
      <c r="O177" s="204"/>
      <c r="P177" s="204"/>
      <c r="Q177" s="204"/>
      <c r="R177" s="204"/>
      <c r="S177" s="204"/>
      <c r="T177" s="204"/>
      <c r="U177" s="204"/>
      <c r="V177" s="204"/>
      <c r="W177" s="204"/>
      <c r="X177" s="204"/>
      <c r="Y177" s="204"/>
      <c r="Z177" s="204"/>
      <c r="AA177" s="204"/>
    </row>
    <row r="178" spans="1:27" ht="15.75" customHeight="1" x14ac:dyDescent="0.2">
      <c r="A178" s="210" t="s">
        <v>415</v>
      </c>
      <c r="B178" s="142"/>
      <c r="C178" s="138"/>
      <c r="D178" s="143"/>
      <c r="E178" s="211"/>
      <c r="F178" s="212">
        <f t="shared" si="12"/>
        <v>0</v>
      </c>
      <c r="G178" s="213" t="str">
        <f t="shared" si="10"/>
        <v/>
      </c>
      <c r="H178" s="209">
        <f t="shared" si="11"/>
        <v>0</v>
      </c>
      <c r="I178" s="75"/>
      <c r="J178" s="75"/>
      <c r="K178" s="75"/>
      <c r="L178" s="204"/>
      <c r="M178" s="204"/>
      <c r="N178" s="204"/>
      <c r="O178" s="204"/>
      <c r="P178" s="204"/>
      <c r="Q178" s="204"/>
      <c r="R178" s="204"/>
      <c r="S178" s="204"/>
      <c r="T178" s="204"/>
      <c r="U178" s="204"/>
      <c r="V178" s="204"/>
      <c r="W178" s="204"/>
      <c r="X178" s="204"/>
      <c r="Y178" s="204"/>
      <c r="Z178" s="204"/>
      <c r="AA178" s="204"/>
    </row>
    <row r="179" spans="1:27" ht="15.75" customHeight="1" x14ac:dyDescent="0.2">
      <c r="A179" s="210" t="s">
        <v>416</v>
      </c>
      <c r="B179" s="142"/>
      <c r="C179" s="138"/>
      <c r="D179" s="143"/>
      <c r="E179" s="211"/>
      <c r="F179" s="212">
        <f t="shared" si="12"/>
        <v>0</v>
      </c>
      <c r="G179" s="213" t="str">
        <f t="shared" si="10"/>
        <v/>
      </c>
      <c r="H179" s="209">
        <f t="shared" si="11"/>
        <v>0</v>
      </c>
      <c r="I179" s="75"/>
      <c r="J179" s="75"/>
      <c r="K179" s="75"/>
      <c r="L179" s="204"/>
      <c r="M179" s="204"/>
      <c r="N179" s="204"/>
      <c r="O179" s="204"/>
      <c r="P179" s="204"/>
      <c r="Q179" s="204"/>
      <c r="R179" s="204"/>
      <c r="S179" s="204"/>
      <c r="T179" s="204"/>
      <c r="U179" s="204"/>
      <c r="V179" s="204"/>
      <c r="W179" s="204"/>
      <c r="X179" s="204"/>
      <c r="Y179" s="204"/>
      <c r="Z179" s="204"/>
      <c r="AA179" s="204"/>
    </row>
    <row r="180" spans="1:27" ht="15.75" customHeight="1" x14ac:dyDescent="0.2">
      <c r="A180" s="210" t="s">
        <v>417</v>
      </c>
      <c r="B180" s="142"/>
      <c r="C180" s="138"/>
      <c r="D180" s="143"/>
      <c r="E180" s="211"/>
      <c r="F180" s="212">
        <f t="shared" si="12"/>
        <v>0</v>
      </c>
      <c r="G180" s="213" t="str">
        <f t="shared" si="10"/>
        <v/>
      </c>
      <c r="H180" s="209">
        <f t="shared" si="11"/>
        <v>0</v>
      </c>
      <c r="I180" s="75"/>
      <c r="J180" s="75"/>
      <c r="K180" s="75"/>
      <c r="L180" s="204"/>
      <c r="M180" s="204"/>
      <c r="N180" s="204"/>
      <c r="O180" s="204"/>
      <c r="P180" s="204"/>
      <c r="Q180" s="204"/>
      <c r="R180" s="204"/>
      <c r="S180" s="204"/>
      <c r="T180" s="204"/>
      <c r="U180" s="204"/>
      <c r="V180" s="204"/>
      <c r="W180" s="204"/>
      <c r="X180" s="204"/>
      <c r="Y180" s="204"/>
      <c r="Z180" s="204"/>
      <c r="AA180" s="204"/>
    </row>
    <row r="181" spans="1:27" ht="15.75" customHeight="1" x14ac:dyDescent="0.2">
      <c r="A181" s="210" t="s">
        <v>418</v>
      </c>
      <c r="B181" s="142"/>
      <c r="C181" s="138"/>
      <c r="D181" s="143"/>
      <c r="E181" s="211"/>
      <c r="F181" s="212">
        <f t="shared" si="12"/>
        <v>0</v>
      </c>
      <c r="G181" s="213" t="str">
        <f t="shared" si="10"/>
        <v/>
      </c>
      <c r="H181" s="209">
        <f t="shared" si="11"/>
        <v>0</v>
      </c>
      <c r="I181" s="75"/>
      <c r="J181" s="75"/>
      <c r="K181" s="75"/>
      <c r="L181" s="204"/>
      <c r="M181" s="204"/>
      <c r="N181" s="204"/>
      <c r="O181" s="204"/>
      <c r="P181" s="204"/>
      <c r="Q181" s="204"/>
      <c r="R181" s="204"/>
      <c r="S181" s="204"/>
      <c r="T181" s="204"/>
      <c r="U181" s="204"/>
      <c r="V181" s="204"/>
      <c r="W181" s="204"/>
      <c r="X181" s="204"/>
      <c r="Y181" s="204"/>
      <c r="Z181" s="204"/>
      <c r="AA181" s="204"/>
    </row>
    <row r="182" spans="1:27" ht="15.75" customHeight="1" x14ac:dyDescent="0.2">
      <c r="A182" s="210" t="s">
        <v>419</v>
      </c>
      <c r="B182" s="142"/>
      <c r="C182" s="138"/>
      <c r="D182" s="143"/>
      <c r="E182" s="211"/>
      <c r="F182" s="212">
        <f t="shared" si="12"/>
        <v>0</v>
      </c>
      <c r="G182" s="213" t="str">
        <f t="shared" si="10"/>
        <v/>
      </c>
      <c r="H182" s="209">
        <f t="shared" si="11"/>
        <v>0</v>
      </c>
      <c r="I182" s="75"/>
      <c r="J182" s="75"/>
      <c r="K182" s="75"/>
      <c r="L182" s="204"/>
      <c r="M182" s="204"/>
      <c r="N182" s="204"/>
      <c r="O182" s="204"/>
      <c r="P182" s="204"/>
      <c r="Q182" s="204"/>
      <c r="R182" s="204"/>
      <c r="S182" s="204"/>
      <c r="T182" s="204"/>
      <c r="U182" s="204"/>
      <c r="V182" s="204"/>
      <c r="W182" s="204"/>
      <c r="X182" s="204"/>
      <c r="Y182" s="204"/>
      <c r="Z182" s="204"/>
      <c r="AA182" s="204"/>
    </row>
    <row r="183" spans="1:27" ht="15.75" customHeight="1" x14ac:dyDescent="0.2">
      <c r="A183" s="210" t="s">
        <v>899</v>
      </c>
      <c r="B183" s="142"/>
      <c r="C183" s="138"/>
      <c r="D183" s="143"/>
      <c r="E183" s="211"/>
      <c r="F183" s="212">
        <f t="shared" si="12"/>
        <v>0</v>
      </c>
      <c r="G183" s="213" t="str">
        <f t="shared" si="10"/>
        <v/>
      </c>
      <c r="H183" s="209">
        <f t="shared" si="11"/>
        <v>0</v>
      </c>
      <c r="I183" s="75"/>
      <c r="J183" s="75"/>
      <c r="K183" s="75"/>
      <c r="L183" s="204"/>
      <c r="M183" s="204"/>
      <c r="N183" s="204"/>
      <c r="O183" s="204"/>
      <c r="P183" s="204"/>
      <c r="Q183" s="204"/>
      <c r="R183" s="204"/>
      <c r="S183" s="204"/>
      <c r="T183" s="204"/>
      <c r="U183" s="204"/>
      <c r="V183" s="204"/>
      <c r="W183" s="204"/>
      <c r="X183" s="204"/>
      <c r="Y183" s="204"/>
      <c r="Z183" s="204"/>
      <c r="AA183" s="204"/>
    </row>
    <row r="184" spans="1:27" ht="15.75" customHeight="1" x14ac:dyDescent="0.2">
      <c r="A184" s="210" t="s">
        <v>420</v>
      </c>
      <c r="B184" s="142"/>
      <c r="C184" s="138"/>
      <c r="D184" s="143"/>
      <c r="E184" s="211"/>
      <c r="F184" s="212">
        <f t="shared" si="12"/>
        <v>0</v>
      </c>
      <c r="G184" s="213" t="str">
        <f t="shared" si="10"/>
        <v/>
      </c>
      <c r="H184" s="209">
        <f t="shared" si="11"/>
        <v>0</v>
      </c>
      <c r="I184" s="75"/>
      <c r="J184" s="75"/>
      <c r="K184" s="75"/>
      <c r="L184" s="204"/>
      <c r="M184" s="204"/>
      <c r="N184" s="204"/>
      <c r="O184" s="204"/>
      <c r="P184" s="204"/>
      <c r="Q184" s="204"/>
      <c r="R184" s="204"/>
      <c r="S184" s="204"/>
      <c r="T184" s="204"/>
      <c r="U184" s="204"/>
      <c r="V184" s="204"/>
      <c r="W184" s="204"/>
      <c r="X184" s="204"/>
      <c r="Y184" s="204"/>
      <c r="Z184" s="204"/>
      <c r="AA184" s="204"/>
    </row>
    <row r="185" spans="1:27" ht="15.75" customHeight="1" x14ac:dyDescent="0.2">
      <c r="A185" s="210" t="s">
        <v>421</v>
      </c>
      <c r="B185" s="142"/>
      <c r="C185" s="138"/>
      <c r="D185" s="143"/>
      <c r="E185" s="211"/>
      <c r="F185" s="212">
        <f t="shared" si="12"/>
        <v>0</v>
      </c>
      <c r="G185" s="213" t="str">
        <f t="shared" si="10"/>
        <v/>
      </c>
      <c r="H185" s="209">
        <f t="shared" si="11"/>
        <v>0</v>
      </c>
      <c r="I185" s="75"/>
      <c r="J185" s="75"/>
      <c r="K185" s="75"/>
      <c r="L185" s="204"/>
      <c r="M185" s="204"/>
      <c r="N185" s="204"/>
      <c r="O185" s="204"/>
      <c r="P185" s="204"/>
      <c r="Q185" s="204"/>
      <c r="R185" s="204"/>
      <c r="S185" s="204"/>
      <c r="T185" s="204"/>
      <c r="U185" s="204"/>
      <c r="V185" s="204"/>
      <c r="W185" s="204"/>
      <c r="X185" s="204"/>
      <c r="Y185" s="204"/>
      <c r="Z185" s="204"/>
      <c r="AA185" s="204"/>
    </row>
    <row r="186" spans="1:27" ht="15.75" customHeight="1" x14ac:dyDescent="0.2">
      <c r="A186" s="210" t="s">
        <v>422</v>
      </c>
      <c r="B186" s="142"/>
      <c r="C186" s="138"/>
      <c r="D186" s="143"/>
      <c r="E186" s="211"/>
      <c r="F186" s="212">
        <f t="shared" si="12"/>
        <v>0</v>
      </c>
      <c r="G186" s="213" t="str">
        <f t="shared" si="10"/>
        <v/>
      </c>
      <c r="H186" s="209">
        <f t="shared" si="11"/>
        <v>0</v>
      </c>
      <c r="I186" s="75"/>
      <c r="J186" s="75"/>
      <c r="K186" s="75"/>
      <c r="L186" s="204"/>
      <c r="M186" s="204"/>
      <c r="N186" s="204"/>
      <c r="O186" s="204"/>
      <c r="P186" s="204"/>
      <c r="Q186" s="204"/>
      <c r="R186" s="204"/>
      <c r="S186" s="204"/>
      <c r="T186" s="204"/>
      <c r="U186" s="204"/>
      <c r="V186" s="204"/>
      <c r="W186" s="204"/>
      <c r="X186" s="204"/>
      <c r="Y186" s="204"/>
      <c r="Z186" s="204"/>
      <c r="AA186" s="204"/>
    </row>
    <row r="187" spans="1:27" ht="15.75" customHeight="1" x14ac:dyDescent="0.2">
      <c r="A187" s="210" t="s">
        <v>423</v>
      </c>
      <c r="B187" s="142"/>
      <c r="C187" s="138"/>
      <c r="D187" s="143"/>
      <c r="E187" s="211"/>
      <c r="F187" s="212">
        <f t="shared" si="12"/>
        <v>0</v>
      </c>
      <c r="G187" s="213" t="str">
        <f t="shared" si="10"/>
        <v/>
      </c>
      <c r="H187" s="209">
        <f t="shared" si="11"/>
        <v>0</v>
      </c>
      <c r="I187" s="75"/>
      <c r="J187" s="75"/>
      <c r="K187" s="75"/>
      <c r="L187" s="204"/>
      <c r="M187" s="204"/>
      <c r="N187" s="204"/>
      <c r="O187" s="204"/>
      <c r="P187" s="204"/>
      <c r="Q187" s="204"/>
      <c r="R187" s="204"/>
      <c r="S187" s="204"/>
      <c r="T187" s="204"/>
      <c r="U187" s="204"/>
      <c r="V187" s="204"/>
      <c r="W187" s="204"/>
      <c r="X187" s="204"/>
      <c r="Y187" s="204"/>
      <c r="Z187" s="204"/>
      <c r="AA187" s="204"/>
    </row>
    <row r="188" spans="1:27" ht="15.75" customHeight="1" x14ac:dyDescent="0.2">
      <c r="A188" s="210" t="s">
        <v>424</v>
      </c>
      <c r="B188" s="142"/>
      <c r="C188" s="138"/>
      <c r="D188" s="143"/>
      <c r="E188" s="211"/>
      <c r="F188" s="212">
        <f t="shared" si="12"/>
        <v>0</v>
      </c>
      <c r="G188" s="213" t="str">
        <f t="shared" si="10"/>
        <v/>
      </c>
      <c r="H188" s="209">
        <f t="shared" si="11"/>
        <v>0</v>
      </c>
      <c r="I188" s="75"/>
      <c r="J188" s="75"/>
      <c r="K188" s="75"/>
      <c r="L188" s="204"/>
      <c r="M188" s="204"/>
      <c r="N188" s="204"/>
      <c r="O188" s="204"/>
      <c r="P188" s="204"/>
      <c r="Q188" s="204"/>
      <c r="R188" s="204"/>
      <c r="S188" s="204"/>
      <c r="T188" s="204"/>
      <c r="U188" s="204"/>
      <c r="V188" s="204"/>
      <c r="W188" s="204"/>
      <c r="X188" s="204"/>
      <c r="Y188" s="204"/>
      <c r="Z188" s="204"/>
      <c r="AA188" s="204"/>
    </row>
    <row r="189" spans="1:27" ht="15.75" customHeight="1" x14ac:dyDescent="0.2">
      <c r="A189" s="210" t="s">
        <v>425</v>
      </c>
      <c r="B189" s="142"/>
      <c r="C189" s="138"/>
      <c r="D189" s="143"/>
      <c r="E189" s="211"/>
      <c r="F189" s="212">
        <f t="shared" si="12"/>
        <v>0</v>
      </c>
      <c r="G189" s="213" t="str">
        <f t="shared" si="10"/>
        <v/>
      </c>
      <c r="H189" s="209">
        <f t="shared" si="11"/>
        <v>0</v>
      </c>
      <c r="I189" s="75"/>
      <c r="J189" s="75"/>
      <c r="K189" s="75"/>
      <c r="L189" s="204"/>
      <c r="M189" s="204"/>
      <c r="N189" s="204"/>
      <c r="O189" s="204"/>
      <c r="P189" s="204"/>
      <c r="Q189" s="204"/>
      <c r="R189" s="204"/>
      <c r="S189" s="204"/>
      <c r="T189" s="204"/>
      <c r="U189" s="204"/>
      <c r="V189" s="204"/>
      <c r="W189" s="204"/>
      <c r="X189" s="204"/>
      <c r="Y189" s="204"/>
      <c r="Z189" s="204"/>
      <c r="AA189" s="204"/>
    </row>
    <row r="190" spans="1:27" ht="15.75" customHeight="1" x14ac:dyDescent="0.2">
      <c r="A190" s="210" t="s">
        <v>426</v>
      </c>
      <c r="B190" s="142"/>
      <c r="C190" s="138"/>
      <c r="D190" s="143"/>
      <c r="E190" s="211"/>
      <c r="F190" s="212">
        <f t="shared" si="12"/>
        <v>0</v>
      </c>
      <c r="G190" s="213" t="str">
        <f t="shared" si="10"/>
        <v/>
      </c>
      <c r="H190" s="209">
        <f t="shared" si="11"/>
        <v>0</v>
      </c>
      <c r="I190" s="75"/>
      <c r="J190" s="75"/>
      <c r="K190" s="75"/>
      <c r="L190" s="204"/>
      <c r="M190" s="204"/>
      <c r="N190" s="204"/>
      <c r="O190" s="204"/>
      <c r="P190" s="204"/>
      <c r="Q190" s="204"/>
      <c r="R190" s="204"/>
      <c r="S190" s="204"/>
      <c r="T190" s="204"/>
      <c r="U190" s="204"/>
      <c r="V190" s="204"/>
      <c r="W190" s="204"/>
      <c r="X190" s="204"/>
      <c r="Y190" s="204"/>
      <c r="Z190" s="204"/>
      <c r="AA190" s="204"/>
    </row>
    <row r="191" spans="1:27" ht="15.75" customHeight="1" x14ac:dyDescent="0.2">
      <c r="A191" s="210" t="s">
        <v>427</v>
      </c>
      <c r="B191" s="142"/>
      <c r="C191" s="138"/>
      <c r="D191" s="143"/>
      <c r="E191" s="211"/>
      <c r="F191" s="212">
        <f t="shared" si="12"/>
        <v>0</v>
      </c>
      <c r="G191" s="213" t="str">
        <f t="shared" si="10"/>
        <v/>
      </c>
      <c r="H191" s="209">
        <f t="shared" si="11"/>
        <v>0</v>
      </c>
      <c r="I191" s="75"/>
      <c r="J191" s="75"/>
      <c r="K191" s="75"/>
      <c r="L191" s="204"/>
      <c r="M191" s="204"/>
      <c r="N191" s="204"/>
      <c r="O191" s="204"/>
      <c r="P191" s="204"/>
      <c r="Q191" s="204"/>
      <c r="R191" s="204"/>
      <c r="S191" s="204"/>
      <c r="T191" s="204"/>
      <c r="U191" s="204"/>
      <c r="V191" s="204"/>
      <c r="W191" s="204"/>
      <c r="X191" s="204"/>
      <c r="Y191" s="204"/>
      <c r="Z191" s="204"/>
      <c r="AA191" s="204"/>
    </row>
    <row r="192" spans="1:27" ht="15.75" customHeight="1" x14ac:dyDescent="0.2">
      <c r="A192" s="210" t="s">
        <v>428</v>
      </c>
      <c r="B192" s="142"/>
      <c r="C192" s="138"/>
      <c r="D192" s="143"/>
      <c r="E192" s="211"/>
      <c r="F192" s="212">
        <f t="shared" si="12"/>
        <v>0</v>
      </c>
      <c r="G192" s="213" t="str">
        <f t="shared" si="10"/>
        <v/>
      </c>
      <c r="H192" s="209">
        <f t="shared" si="11"/>
        <v>0</v>
      </c>
      <c r="I192" s="75"/>
      <c r="J192" s="75"/>
      <c r="K192" s="75"/>
      <c r="L192" s="204"/>
      <c r="M192" s="204"/>
      <c r="N192" s="204"/>
      <c r="O192" s="204"/>
      <c r="P192" s="204"/>
      <c r="Q192" s="204"/>
      <c r="R192" s="204"/>
      <c r="S192" s="204"/>
      <c r="T192" s="204"/>
      <c r="U192" s="204"/>
      <c r="V192" s="204"/>
      <c r="W192" s="204"/>
      <c r="X192" s="204"/>
      <c r="Y192" s="204"/>
      <c r="Z192" s="204"/>
      <c r="AA192" s="204"/>
    </row>
    <row r="193" spans="1:27" ht="15.75" customHeight="1" x14ac:dyDescent="0.2">
      <c r="A193" s="210" t="s">
        <v>429</v>
      </c>
      <c r="B193" s="142"/>
      <c r="C193" s="138"/>
      <c r="D193" s="143"/>
      <c r="E193" s="211"/>
      <c r="F193" s="212">
        <f t="shared" si="12"/>
        <v>0</v>
      </c>
      <c r="G193" s="213" t="str">
        <f t="shared" si="10"/>
        <v/>
      </c>
      <c r="H193" s="209">
        <f t="shared" si="11"/>
        <v>0</v>
      </c>
      <c r="I193" s="75"/>
      <c r="J193" s="75"/>
      <c r="K193" s="75"/>
      <c r="L193" s="204"/>
      <c r="M193" s="204"/>
      <c r="N193" s="204"/>
      <c r="O193" s="204"/>
      <c r="P193" s="204"/>
      <c r="Q193" s="204"/>
      <c r="R193" s="204"/>
      <c r="S193" s="204"/>
      <c r="T193" s="204"/>
      <c r="U193" s="204"/>
      <c r="V193" s="204"/>
      <c r="W193" s="204"/>
      <c r="X193" s="204"/>
      <c r="Y193" s="204"/>
      <c r="Z193" s="204"/>
      <c r="AA193" s="204"/>
    </row>
    <row r="194" spans="1:27" ht="15.75" customHeight="1" x14ac:dyDescent="0.2">
      <c r="A194" s="210" t="s">
        <v>430</v>
      </c>
      <c r="B194" s="142"/>
      <c r="C194" s="138"/>
      <c r="D194" s="143"/>
      <c r="E194" s="211"/>
      <c r="F194" s="212">
        <f t="shared" si="12"/>
        <v>0</v>
      </c>
      <c r="G194" s="213" t="str">
        <f t="shared" si="10"/>
        <v/>
      </c>
      <c r="H194" s="209">
        <f t="shared" si="11"/>
        <v>0</v>
      </c>
      <c r="I194" s="75"/>
      <c r="J194" s="75"/>
      <c r="K194" s="75"/>
      <c r="L194" s="204"/>
      <c r="M194" s="204"/>
      <c r="N194" s="204"/>
      <c r="O194" s="204"/>
      <c r="P194" s="204"/>
      <c r="Q194" s="204"/>
      <c r="R194" s="204"/>
      <c r="S194" s="204"/>
      <c r="T194" s="204"/>
      <c r="U194" s="204"/>
      <c r="V194" s="204"/>
      <c r="W194" s="204"/>
      <c r="X194" s="204"/>
      <c r="Y194" s="204"/>
      <c r="Z194" s="204"/>
      <c r="AA194" s="204"/>
    </row>
    <row r="195" spans="1:27" ht="15.75" customHeight="1" x14ac:dyDescent="0.2">
      <c r="A195" s="210" t="s">
        <v>560</v>
      </c>
      <c r="B195" s="332"/>
      <c r="C195" s="333"/>
      <c r="D195" s="334"/>
      <c r="E195" s="211"/>
      <c r="F195" s="349">
        <f>IF(B195&gt;0,1,0)</f>
        <v>0</v>
      </c>
      <c r="G195" s="350"/>
      <c r="H195" s="209"/>
      <c r="I195" s="75"/>
      <c r="J195" s="75"/>
      <c r="K195" s="75"/>
      <c r="L195" s="204"/>
      <c r="M195" s="204"/>
      <c r="N195" s="204"/>
      <c r="O195" s="204"/>
      <c r="P195" s="204"/>
      <c r="Q195" s="204"/>
      <c r="R195" s="204"/>
      <c r="S195" s="204"/>
      <c r="T195" s="204"/>
      <c r="U195" s="204"/>
      <c r="V195" s="204"/>
      <c r="W195" s="204"/>
      <c r="X195" s="204"/>
      <c r="Y195" s="204"/>
      <c r="Z195" s="204"/>
      <c r="AA195" s="204"/>
    </row>
    <row r="196" spans="1:27" ht="15.75" customHeight="1" x14ac:dyDescent="0.2">
      <c r="A196" s="210" t="s">
        <v>431</v>
      </c>
      <c r="B196" s="142"/>
      <c r="C196" s="138"/>
      <c r="D196" s="143"/>
      <c r="E196" s="211"/>
      <c r="F196" s="212">
        <f>IF(B196&gt;0,1,0)</f>
        <v>0</v>
      </c>
      <c r="G196" s="213" t="str">
        <f t="shared" si="10"/>
        <v/>
      </c>
      <c r="H196" s="209">
        <f t="shared" si="11"/>
        <v>0</v>
      </c>
      <c r="I196" s="75"/>
      <c r="J196" s="75"/>
      <c r="K196" s="75"/>
      <c r="L196" s="204"/>
      <c r="M196" s="204"/>
      <c r="N196" s="204"/>
      <c r="O196" s="204"/>
      <c r="P196" s="204"/>
      <c r="Q196" s="204"/>
      <c r="R196" s="204"/>
      <c r="S196" s="204"/>
      <c r="T196" s="204"/>
      <c r="U196" s="204"/>
      <c r="V196" s="204"/>
      <c r="W196" s="204"/>
      <c r="X196" s="204"/>
      <c r="Y196" s="204"/>
      <c r="Z196" s="204"/>
      <c r="AA196" s="204"/>
    </row>
    <row r="197" spans="1:27" ht="15.75" customHeight="1" x14ac:dyDescent="0.2">
      <c r="A197" s="210" t="s">
        <v>432</v>
      </c>
      <c r="B197" s="142"/>
      <c r="C197" s="138"/>
      <c r="D197" s="143"/>
      <c r="E197" s="211"/>
      <c r="F197" s="212">
        <f>IF(B197&gt;0,1,0)</f>
        <v>0</v>
      </c>
      <c r="G197" s="213" t="str">
        <f t="shared" si="10"/>
        <v/>
      </c>
      <c r="H197" s="209">
        <f t="shared" si="11"/>
        <v>0</v>
      </c>
      <c r="I197" s="75"/>
      <c r="J197" s="75"/>
      <c r="K197" s="75"/>
      <c r="L197" s="204"/>
      <c r="M197" s="204"/>
      <c r="N197" s="204"/>
      <c r="O197" s="204"/>
      <c r="P197" s="204"/>
      <c r="Q197" s="204"/>
      <c r="R197" s="204"/>
      <c r="S197" s="204"/>
      <c r="T197" s="204"/>
      <c r="U197" s="204"/>
      <c r="V197" s="204"/>
      <c r="W197" s="204"/>
      <c r="X197" s="204"/>
      <c r="Y197" s="204"/>
      <c r="Z197" s="204"/>
      <c r="AA197" s="204"/>
    </row>
    <row r="198" spans="1:27" ht="15.75" customHeight="1" x14ac:dyDescent="0.2">
      <c r="A198" s="210" t="s">
        <v>433</v>
      </c>
      <c r="B198" s="142"/>
      <c r="C198" s="138"/>
      <c r="D198" s="143"/>
      <c r="E198" s="211"/>
      <c r="F198" s="212">
        <f t="shared" ref="F198:F205" si="13">IF(B198&gt;0,1,0)</f>
        <v>0</v>
      </c>
      <c r="G198" s="213" t="str">
        <f t="shared" si="10"/>
        <v/>
      </c>
      <c r="H198" s="209">
        <f t="shared" si="11"/>
        <v>0</v>
      </c>
      <c r="I198" s="75"/>
      <c r="J198" s="75"/>
      <c r="K198" s="75"/>
      <c r="L198" s="204"/>
      <c r="M198" s="204"/>
      <c r="N198" s="204"/>
      <c r="O198" s="204"/>
      <c r="P198" s="204"/>
      <c r="Q198" s="204"/>
      <c r="R198" s="204"/>
      <c r="S198" s="204"/>
      <c r="T198" s="204"/>
      <c r="U198" s="204"/>
      <c r="V198" s="204"/>
      <c r="W198" s="204"/>
      <c r="X198" s="204"/>
      <c r="Y198" s="204"/>
      <c r="Z198" s="204"/>
      <c r="AA198" s="204"/>
    </row>
    <row r="199" spans="1:27" ht="15.75" customHeight="1" x14ac:dyDescent="0.2">
      <c r="A199" s="210" t="s">
        <v>434</v>
      </c>
      <c r="B199" s="142"/>
      <c r="C199" s="138"/>
      <c r="D199" s="143"/>
      <c r="E199" s="211"/>
      <c r="F199" s="212">
        <f t="shared" si="13"/>
        <v>0</v>
      </c>
      <c r="G199" s="213" t="str">
        <f t="shared" si="10"/>
        <v/>
      </c>
      <c r="H199" s="209">
        <f t="shared" si="11"/>
        <v>0</v>
      </c>
      <c r="I199" s="75"/>
      <c r="J199" s="75"/>
      <c r="K199" s="75"/>
      <c r="L199" s="204"/>
      <c r="M199" s="204"/>
      <c r="N199" s="204"/>
      <c r="O199" s="204"/>
      <c r="P199" s="204"/>
      <c r="Q199" s="204"/>
      <c r="R199" s="204"/>
      <c r="S199" s="204"/>
      <c r="T199" s="204"/>
      <c r="U199" s="204"/>
      <c r="V199" s="204"/>
      <c r="W199" s="204"/>
      <c r="X199" s="204"/>
      <c r="Y199" s="204"/>
      <c r="Z199" s="204"/>
      <c r="AA199" s="204"/>
    </row>
    <row r="200" spans="1:27" ht="15.75" customHeight="1" x14ac:dyDescent="0.2">
      <c r="A200" s="210" t="s">
        <v>435</v>
      </c>
      <c r="B200" s="142"/>
      <c r="C200" s="138"/>
      <c r="D200" s="143"/>
      <c r="E200" s="211"/>
      <c r="F200" s="212">
        <f t="shared" si="13"/>
        <v>0</v>
      </c>
      <c r="G200" s="213" t="str">
        <f t="shared" si="10"/>
        <v/>
      </c>
      <c r="H200" s="209">
        <f t="shared" si="11"/>
        <v>0</v>
      </c>
      <c r="I200" s="75"/>
      <c r="J200" s="75"/>
      <c r="K200" s="75"/>
      <c r="L200" s="204"/>
      <c r="M200" s="204"/>
      <c r="N200" s="204"/>
      <c r="O200" s="204"/>
      <c r="P200" s="204"/>
      <c r="Q200" s="204"/>
      <c r="R200" s="204"/>
      <c r="S200" s="204"/>
      <c r="T200" s="204"/>
      <c r="U200" s="204"/>
      <c r="V200" s="204"/>
      <c r="W200" s="204"/>
      <c r="X200" s="204"/>
      <c r="Y200" s="204"/>
      <c r="Z200" s="204"/>
      <c r="AA200" s="204"/>
    </row>
    <row r="201" spans="1:27" ht="15.75" customHeight="1" x14ac:dyDescent="0.2">
      <c r="A201" s="210" t="s">
        <v>436</v>
      </c>
      <c r="B201" s="142"/>
      <c r="C201" s="138"/>
      <c r="D201" s="143"/>
      <c r="E201" s="211"/>
      <c r="F201" s="212">
        <f t="shared" si="13"/>
        <v>0</v>
      </c>
      <c r="G201" s="213" t="str">
        <f t="shared" si="10"/>
        <v/>
      </c>
      <c r="H201" s="209">
        <f t="shared" si="11"/>
        <v>0</v>
      </c>
      <c r="I201" s="75"/>
      <c r="J201" s="75"/>
      <c r="K201" s="75"/>
      <c r="L201" s="204"/>
      <c r="M201" s="204"/>
      <c r="N201" s="204"/>
      <c r="O201" s="204"/>
      <c r="P201" s="204"/>
      <c r="Q201" s="204"/>
      <c r="R201" s="204"/>
      <c r="S201" s="204"/>
      <c r="T201" s="204"/>
      <c r="U201" s="204"/>
      <c r="V201" s="204"/>
      <c r="W201" s="204"/>
      <c r="X201" s="204"/>
      <c r="Y201" s="204"/>
      <c r="Z201" s="204"/>
      <c r="AA201" s="204"/>
    </row>
    <row r="202" spans="1:27" ht="15.75" customHeight="1" x14ac:dyDescent="0.2">
      <c r="A202" s="210" t="s">
        <v>437</v>
      </c>
      <c r="B202" s="142"/>
      <c r="C202" s="138"/>
      <c r="D202" s="143"/>
      <c r="E202" s="211"/>
      <c r="F202" s="212">
        <f t="shared" si="13"/>
        <v>0</v>
      </c>
      <c r="G202" s="213" t="str">
        <f t="shared" si="10"/>
        <v/>
      </c>
      <c r="H202" s="209">
        <f t="shared" si="11"/>
        <v>0</v>
      </c>
      <c r="I202" s="75"/>
      <c r="J202" s="75"/>
      <c r="K202" s="75"/>
      <c r="L202" s="204"/>
      <c r="M202" s="204"/>
      <c r="N202" s="204"/>
      <c r="O202" s="204"/>
      <c r="P202" s="204"/>
      <c r="Q202" s="204"/>
      <c r="R202" s="204"/>
      <c r="S202" s="204"/>
      <c r="T202" s="204"/>
      <c r="U202" s="204"/>
      <c r="V202" s="204"/>
      <c r="W202" s="204"/>
      <c r="X202" s="204"/>
      <c r="Y202" s="204"/>
      <c r="Z202" s="204"/>
      <c r="AA202" s="204"/>
    </row>
    <row r="203" spans="1:27" ht="15.75" customHeight="1" x14ac:dyDescent="0.2">
      <c r="A203" s="210" t="s">
        <v>438</v>
      </c>
      <c r="B203" s="142"/>
      <c r="C203" s="138"/>
      <c r="D203" s="143"/>
      <c r="E203" s="211"/>
      <c r="F203" s="212">
        <f t="shared" si="13"/>
        <v>0</v>
      </c>
      <c r="G203" s="213" t="str">
        <f t="shared" si="10"/>
        <v/>
      </c>
      <c r="H203" s="209">
        <f t="shared" si="11"/>
        <v>0</v>
      </c>
      <c r="I203" s="75"/>
      <c r="J203" s="75"/>
      <c r="K203" s="75"/>
      <c r="L203" s="204"/>
      <c r="M203" s="204"/>
      <c r="N203" s="204"/>
      <c r="O203" s="204"/>
      <c r="P203" s="204"/>
      <c r="Q203" s="204"/>
      <c r="R203" s="204"/>
      <c r="S203" s="204"/>
      <c r="T203" s="204"/>
      <c r="U203" s="204"/>
      <c r="V203" s="204"/>
      <c r="W203" s="204"/>
      <c r="X203" s="204"/>
      <c r="Y203" s="204"/>
      <c r="Z203" s="204"/>
      <c r="AA203" s="204"/>
    </row>
    <row r="204" spans="1:27" ht="15.75" customHeight="1" x14ac:dyDescent="0.2">
      <c r="A204" s="210" t="s">
        <v>439</v>
      </c>
      <c r="B204" s="142"/>
      <c r="C204" s="138"/>
      <c r="D204" s="143"/>
      <c r="E204" s="211"/>
      <c r="F204" s="212">
        <f t="shared" si="13"/>
        <v>0</v>
      </c>
      <c r="G204" s="213" t="str">
        <f t="shared" si="10"/>
        <v/>
      </c>
      <c r="H204" s="209">
        <f t="shared" si="11"/>
        <v>0</v>
      </c>
      <c r="I204" s="75"/>
      <c r="J204" s="75"/>
      <c r="K204" s="75"/>
      <c r="L204" s="204"/>
      <c r="M204" s="204"/>
      <c r="N204" s="204"/>
      <c r="O204" s="204"/>
      <c r="P204" s="204"/>
      <c r="Q204" s="204"/>
      <c r="R204" s="204"/>
      <c r="S204" s="204"/>
      <c r="T204" s="204"/>
      <c r="U204" s="204"/>
      <c r="V204" s="204"/>
      <c r="W204" s="204"/>
      <c r="X204" s="204"/>
      <c r="Y204" s="204"/>
      <c r="Z204" s="204"/>
      <c r="AA204" s="204"/>
    </row>
    <row r="205" spans="1:27" ht="15.75" customHeight="1" x14ac:dyDescent="0.2">
      <c r="A205" s="210" t="s">
        <v>440</v>
      </c>
      <c r="B205" s="142"/>
      <c r="C205" s="138"/>
      <c r="D205" s="143"/>
      <c r="E205" s="211"/>
      <c r="F205" s="212">
        <f t="shared" si="13"/>
        <v>0</v>
      </c>
      <c r="G205" s="213" t="str">
        <f t="shared" si="10"/>
        <v/>
      </c>
      <c r="H205" s="209">
        <f t="shared" si="11"/>
        <v>0</v>
      </c>
      <c r="I205" s="75"/>
      <c r="J205" s="75"/>
      <c r="K205" s="75"/>
      <c r="L205" s="204"/>
      <c r="M205" s="204"/>
      <c r="N205" s="204"/>
      <c r="O205" s="204"/>
      <c r="P205" s="204"/>
      <c r="Q205" s="204"/>
      <c r="R205" s="204"/>
      <c r="S205" s="204"/>
      <c r="T205" s="204"/>
      <c r="U205" s="204"/>
      <c r="V205" s="204"/>
      <c r="W205" s="204"/>
      <c r="X205" s="204"/>
      <c r="Y205" s="204"/>
      <c r="Z205" s="204"/>
      <c r="AA205" s="204"/>
    </row>
    <row r="206" spans="1:27" ht="15.75" customHeight="1" x14ac:dyDescent="0.2">
      <c r="A206" s="210" t="s">
        <v>441</v>
      </c>
      <c r="B206" s="142"/>
      <c r="C206" s="138"/>
      <c r="D206" s="143"/>
      <c r="E206" s="211"/>
      <c r="F206" s="212">
        <f>IF(B206&gt;0,1,0)</f>
        <v>0</v>
      </c>
      <c r="G206" s="213" t="str">
        <f t="shared" si="10"/>
        <v/>
      </c>
      <c r="H206" s="209">
        <f t="shared" si="11"/>
        <v>0</v>
      </c>
      <c r="I206" s="75"/>
      <c r="J206" s="75"/>
      <c r="K206" s="75"/>
      <c r="L206" s="204"/>
      <c r="M206" s="204"/>
      <c r="N206" s="204"/>
      <c r="O206" s="204"/>
      <c r="P206" s="204"/>
      <c r="Q206" s="204"/>
      <c r="R206" s="204"/>
      <c r="S206" s="204"/>
      <c r="T206" s="204"/>
      <c r="U206" s="204"/>
      <c r="V206" s="204"/>
      <c r="W206" s="204"/>
      <c r="X206" s="204"/>
      <c r="Y206" s="204"/>
      <c r="Z206" s="204"/>
      <c r="AA206" s="204"/>
    </row>
    <row r="207" spans="1:27" ht="15.75" customHeight="1" x14ac:dyDescent="0.2">
      <c r="A207" s="210" t="s">
        <v>442</v>
      </c>
      <c r="B207" s="142"/>
      <c r="C207" s="138"/>
      <c r="D207" s="143"/>
      <c r="E207" s="211"/>
      <c r="F207" s="212">
        <f>IF(B207&gt;0,1,0)</f>
        <v>0</v>
      </c>
      <c r="G207" s="213" t="str">
        <f t="shared" si="10"/>
        <v/>
      </c>
      <c r="H207" s="209">
        <f t="shared" si="11"/>
        <v>0</v>
      </c>
      <c r="I207" s="75"/>
      <c r="J207" s="75"/>
      <c r="K207" s="75"/>
      <c r="L207" s="204"/>
      <c r="M207" s="204"/>
      <c r="N207" s="204"/>
      <c r="O207" s="204"/>
      <c r="P207" s="204"/>
      <c r="Q207" s="204"/>
      <c r="R207" s="204"/>
      <c r="S207" s="204"/>
      <c r="T207" s="204"/>
      <c r="U207" s="204"/>
      <c r="V207" s="204"/>
      <c r="W207" s="204"/>
      <c r="X207" s="204"/>
      <c r="Y207" s="204"/>
      <c r="Z207" s="204"/>
      <c r="AA207" s="204"/>
    </row>
    <row r="208" spans="1:27" ht="15.75" customHeight="1" x14ac:dyDescent="0.2">
      <c r="A208" s="210" t="s">
        <v>443</v>
      </c>
      <c r="B208" s="142"/>
      <c r="C208" s="138"/>
      <c r="D208" s="143"/>
      <c r="E208" s="211"/>
      <c r="F208" s="212">
        <f t="shared" ref="F208:F214" si="14">IF(B208&gt;0,1,0)</f>
        <v>0</v>
      </c>
      <c r="G208" s="213" t="str">
        <f t="shared" si="10"/>
        <v/>
      </c>
      <c r="H208" s="209">
        <f t="shared" si="11"/>
        <v>0</v>
      </c>
      <c r="I208" s="75"/>
      <c r="J208" s="75"/>
      <c r="K208" s="75"/>
      <c r="L208" s="204"/>
      <c r="M208" s="204"/>
      <c r="N208" s="204"/>
      <c r="O208" s="204"/>
      <c r="P208" s="204"/>
      <c r="Q208" s="204"/>
      <c r="R208" s="204"/>
      <c r="S208" s="204"/>
      <c r="T208" s="204"/>
      <c r="U208" s="204"/>
      <c r="V208" s="204"/>
      <c r="W208" s="204"/>
      <c r="X208" s="204"/>
      <c r="Y208" s="204"/>
      <c r="Z208" s="204"/>
      <c r="AA208" s="204"/>
    </row>
    <row r="209" spans="1:27" ht="15.75" customHeight="1" x14ac:dyDescent="0.2">
      <c r="A209" s="210" t="s">
        <v>444</v>
      </c>
      <c r="B209" s="142"/>
      <c r="C209" s="138"/>
      <c r="D209" s="143"/>
      <c r="E209" s="211"/>
      <c r="F209" s="212">
        <f t="shared" si="14"/>
        <v>0</v>
      </c>
      <c r="G209" s="213" t="str">
        <f t="shared" si="10"/>
        <v/>
      </c>
      <c r="H209" s="209">
        <f t="shared" si="11"/>
        <v>0</v>
      </c>
      <c r="I209" s="75"/>
      <c r="J209" s="75"/>
      <c r="K209" s="75"/>
      <c r="L209" s="204"/>
      <c r="M209" s="204"/>
      <c r="N209" s="204"/>
      <c r="O209" s="204"/>
      <c r="P209" s="204"/>
      <c r="Q209" s="204"/>
      <c r="R209" s="204"/>
      <c r="S209" s="204"/>
      <c r="T209" s="204"/>
      <c r="U209" s="204"/>
      <c r="V209" s="204"/>
      <c r="W209" s="204"/>
      <c r="X209" s="204"/>
      <c r="Y209" s="204"/>
      <c r="Z209" s="204"/>
      <c r="AA209" s="204"/>
    </row>
    <row r="210" spans="1:27" ht="15.75" customHeight="1" x14ac:dyDescent="0.2">
      <c r="A210" s="210" t="s">
        <v>445</v>
      </c>
      <c r="B210" s="142"/>
      <c r="C210" s="138"/>
      <c r="D210" s="143"/>
      <c r="E210" s="211"/>
      <c r="F210" s="212">
        <f t="shared" si="14"/>
        <v>0</v>
      </c>
      <c r="G210" s="213" t="str">
        <f t="shared" si="10"/>
        <v/>
      </c>
      <c r="H210" s="209">
        <f t="shared" si="11"/>
        <v>0</v>
      </c>
      <c r="I210" s="75"/>
      <c r="J210" s="75"/>
      <c r="K210" s="75"/>
      <c r="L210" s="204"/>
      <c r="M210" s="204"/>
      <c r="N210" s="204"/>
      <c r="O210" s="204"/>
      <c r="P210" s="204"/>
      <c r="Q210" s="204"/>
      <c r="R210" s="204"/>
      <c r="S210" s="204"/>
      <c r="T210" s="204"/>
      <c r="U210" s="204"/>
      <c r="V210" s="204"/>
      <c r="W210" s="204"/>
      <c r="X210" s="204"/>
      <c r="Y210" s="204"/>
      <c r="Z210" s="204"/>
      <c r="AA210" s="204"/>
    </row>
    <row r="211" spans="1:27" ht="15.75" customHeight="1" x14ac:dyDescent="0.2">
      <c r="A211" s="210" t="s">
        <v>571</v>
      </c>
      <c r="B211" s="142"/>
      <c r="C211" s="138"/>
      <c r="D211" s="143"/>
      <c r="E211" s="211"/>
      <c r="F211" s="212">
        <f t="shared" si="14"/>
        <v>0</v>
      </c>
      <c r="G211" s="213" t="str">
        <f t="shared" si="10"/>
        <v/>
      </c>
      <c r="H211" s="209">
        <f t="shared" si="11"/>
        <v>0</v>
      </c>
      <c r="I211" s="75"/>
      <c r="J211" s="75"/>
      <c r="K211" s="75"/>
      <c r="L211" s="204"/>
      <c r="M211" s="204"/>
      <c r="N211" s="204"/>
      <c r="O211" s="204"/>
      <c r="P211" s="204"/>
      <c r="Q211" s="204"/>
      <c r="R211" s="204"/>
      <c r="S211" s="204"/>
      <c r="T211" s="204"/>
      <c r="U211" s="204"/>
      <c r="V211" s="204"/>
      <c r="W211" s="204"/>
      <c r="X211" s="204"/>
      <c r="Y211" s="204"/>
      <c r="Z211" s="204"/>
      <c r="AA211" s="204"/>
    </row>
    <row r="212" spans="1:27" ht="15.75" customHeight="1" x14ac:dyDescent="0.2">
      <c r="A212" s="210" t="s">
        <v>446</v>
      </c>
      <c r="B212" s="142"/>
      <c r="C212" s="138"/>
      <c r="D212" s="143"/>
      <c r="E212" s="211"/>
      <c r="F212" s="212">
        <f t="shared" si="14"/>
        <v>0</v>
      </c>
      <c r="G212" s="213" t="str">
        <f t="shared" si="10"/>
        <v/>
      </c>
      <c r="H212" s="209">
        <f t="shared" si="11"/>
        <v>0</v>
      </c>
      <c r="I212" s="75"/>
      <c r="J212" s="75"/>
      <c r="K212" s="75"/>
      <c r="L212" s="204"/>
      <c r="M212" s="204"/>
      <c r="N212" s="204"/>
      <c r="O212" s="204"/>
      <c r="P212" s="204"/>
      <c r="Q212" s="204"/>
      <c r="R212" s="204"/>
      <c r="S212" s="204"/>
      <c r="T212" s="204"/>
      <c r="U212" s="204"/>
      <c r="V212" s="204"/>
      <c r="W212" s="204"/>
      <c r="X212" s="204"/>
      <c r="Y212" s="204"/>
      <c r="Z212" s="204"/>
      <c r="AA212" s="204"/>
    </row>
    <row r="213" spans="1:27" ht="15.75" customHeight="1" x14ac:dyDescent="0.2">
      <c r="A213" s="210" t="s">
        <v>447</v>
      </c>
      <c r="B213" s="142"/>
      <c r="C213" s="138"/>
      <c r="D213" s="143"/>
      <c r="E213" s="211"/>
      <c r="F213" s="212">
        <f t="shared" si="14"/>
        <v>0</v>
      </c>
      <c r="G213" s="213" t="str">
        <f t="shared" si="10"/>
        <v/>
      </c>
      <c r="H213" s="209">
        <f t="shared" si="11"/>
        <v>0</v>
      </c>
      <c r="I213" s="75"/>
      <c r="J213" s="75"/>
      <c r="K213" s="75"/>
      <c r="L213" s="204"/>
      <c r="M213" s="204"/>
      <c r="N213" s="204"/>
      <c r="O213" s="204"/>
      <c r="P213" s="204"/>
      <c r="Q213" s="204"/>
      <c r="R213" s="204"/>
      <c r="S213" s="204"/>
      <c r="T213" s="204"/>
      <c r="U213" s="204"/>
      <c r="V213" s="204"/>
      <c r="W213" s="204"/>
      <c r="X213" s="204"/>
      <c r="Y213" s="204"/>
      <c r="Z213" s="204"/>
      <c r="AA213" s="204"/>
    </row>
    <row r="214" spans="1:27" ht="15.75" customHeight="1" x14ac:dyDescent="0.2">
      <c r="A214" s="210" t="s">
        <v>448</v>
      </c>
      <c r="B214" s="142"/>
      <c r="C214" s="138"/>
      <c r="D214" s="143"/>
      <c r="E214" s="211"/>
      <c r="F214" s="212">
        <f t="shared" si="14"/>
        <v>0</v>
      </c>
      <c r="G214" s="213" t="str">
        <f t="shared" si="10"/>
        <v/>
      </c>
      <c r="H214" s="209">
        <f t="shared" si="11"/>
        <v>0</v>
      </c>
      <c r="I214" s="75"/>
      <c r="J214" s="75"/>
      <c r="K214" s="75"/>
      <c r="L214" s="204"/>
      <c r="M214" s="204"/>
      <c r="N214" s="204"/>
      <c r="O214" s="204"/>
      <c r="P214" s="204"/>
      <c r="Q214" s="204"/>
      <c r="R214" s="204"/>
      <c r="S214" s="204"/>
      <c r="T214" s="204"/>
      <c r="U214" s="204"/>
      <c r="V214" s="204"/>
      <c r="W214" s="204"/>
      <c r="X214" s="204"/>
      <c r="Y214" s="204"/>
      <c r="Z214" s="204"/>
      <c r="AA214" s="204"/>
    </row>
    <row r="215" spans="1:27" ht="15.75" customHeight="1" x14ac:dyDescent="0.2">
      <c r="A215" s="210" t="s">
        <v>449</v>
      </c>
      <c r="B215" s="142"/>
      <c r="C215" s="138"/>
      <c r="D215" s="143"/>
      <c r="E215" s="211"/>
      <c r="F215" s="212">
        <f>IF(B215&gt;0,1,0)</f>
        <v>0</v>
      </c>
      <c r="G215" s="213" t="str">
        <f t="shared" si="10"/>
        <v/>
      </c>
      <c r="H215" s="209">
        <f t="shared" si="11"/>
        <v>0</v>
      </c>
      <c r="I215" s="75"/>
      <c r="J215" s="75"/>
      <c r="K215" s="75"/>
      <c r="L215" s="204"/>
      <c r="M215" s="204"/>
      <c r="N215" s="204"/>
      <c r="O215" s="204"/>
      <c r="P215" s="204"/>
      <c r="Q215" s="204"/>
      <c r="R215" s="204"/>
      <c r="S215" s="204"/>
      <c r="T215" s="204"/>
      <c r="U215" s="204"/>
      <c r="V215" s="204"/>
      <c r="W215" s="204"/>
      <c r="X215" s="204"/>
      <c r="Y215" s="204"/>
      <c r="Z215" s="204"/>
      <c r="AA215" s="204"/>
    </row>
    <row r="216" spans="1:27" ht="15.75" customHeight="1" x14ac:dyDescent="0.2">
      <c r="A216" s="210" t="s">
        <v>450</v>
      </c>
      <c r="B216" s="142"/>
      <c r="C216" s="138"/>
      <c r="D216" s="143"/>
      <c r="E216" s="211"/>
      <c r="F216" s="212">
        <f>IF(B216&gt;0,1,0)</f>
        <v>0</v>
      </c>
      <c r="G216" s="213" t="str">
        <f t="shared" si="10"/>
        <v/>
      </c>
      <c r="H216" s="209">
        <f t="shared" si="11"/>
        <v>0</v>
      </c>
      <c r="I216" s="75"/>
      <c r="J216" s="75"/>
      <c r="K216" s="75"/>
      <c r="L216" s="204"/>
      <c r="M216" s="204"/>
      <c r="N216" s="204"/>
      <c r="O216" s="204"/>
      <c r="P216" s="204"/>
      <c r="Q216" s="204"/>
      <c r="R216" s="204"/>
      <c r="S216" s="204"/>
      <c r="T216" s="204"/>
      <c r="U216" s="204"/>
      <c r="V216" s="204"/>
      <c r="W216" s="204"/>
      <c r="X216" s="204"/>
      <c r="Y216" s="204"/>
      <c r="Z216" s="204"/>
      <c r="AA216" s="204"/>
    </row>
    <row r="217" spans="1:27" ht="15.75" customHeight="1" x14ac:dyDescent="0.2">
      <c r="A217" s="210" t="s">
        <v>566</v>
      </c>
      <c r="B217" s="142"/>
      <c r="C217" s="138"/>
      <c r="D217" s="143"/>
      <c r="E217" s="211"/>
      <c r="F217" s="212">
        <f t="shared" ref="F217:F280" si="15">IF(B217&gt;0,1,0)</f>
        <v>0</v>
      </c>
      <c r="G217" s="213" t="str">
        <f t="shared" si="10"/>
        <v/>
      </c>
      <c r="H217" s="209">
        <f t="shared" si="11"/>
        <v>0</v>
      </c>
      <c r="I217" s="75"/>
      <c r="J217" s="75"/>
      <c r="K217" s="75"/>
      <c r="L217" s="204"/>
      <c r="M217" s="204"/>
      <c r="N217" s="204"/>
      <c r="O217" s="204"/>
      <c r="P217" s="204"/>
      <c r="Q217" s="204"/>
      <c r="R217" s="204"/>
      <c r="S217" s="204"/>
      <c r="T217" s="204"/>
      <c r="U217" s="204"/>
      <c r="V217" s="204"/>
      <c r="W217" s="204"/>
      <c r="X217" s="204"/>
      <c r="Y217" s="204"/>
      <c r="Z217" s="204"/>
      <c r="AA217" s="204"/>
    </row>
    <row r="218" spans="1:27" ht="15.75" customHeight="1" x14ac:dyDescent="0.2">
      <c r="A218" s="210" t="s">
        <v>451</v>
      </c>
      <c r="B218" s="142"/>
      <c r="C218" s="138"/>
      <c r="D218" s="143"/>
      <c r="E218" s="211"/>
      <c r="F218" s="212">
        <f t="shared" si="15"/>
        <v>0</v>
      </c>
      <c r="G218" s="213" t="str">
        <f t="shared" si="10"/>
        <v/>
      </c>
      <c r="H218" s="209">
        <f t="shared" si="11"/>
        <v>0</v>
      </c>
      <c r="I218" s="75"/>
      <c r="J218" s="75"/>
      <c r="K218" s="75"/>
      <c r="L218" s="204"/>
      <c r="M218" s="204"/>
      <c r="N218" s="204"/>
      <c r="O218" s="204"/>
      <c r="P218" s="204"/>
      <c r="Q218" s="204"/>
      <c r="R218" s="204"/>
      <c r="S218" s="204"/>
      <c r="T218" s="204"/>
      <c r="U218" s="204"/>
      <c r="V218" s="204"/>
      <c r="W218" s="204"/>
      <c r="X218" s="204"/>
      <c r="Y218" s="204"/>
      <c r="Z218" s="204"/>
      <c r="AA218" s="204"/>
    </row>
    <row r="219" spans="1:27" ht="15.75" customHeight="1" x14ac:dyDescent="0.2">
      <c r="A219" s="210" t="s">
        <v>452</v>
      </c>
      <c r="B219" s="142"/>
      <c r="C219" s="138"/>
      <c r="D219" s="143"/>
      <c r="E219" s="211"/>
      <c r="F219" s="212">
        <f t="shared" si="15"/>
        <v>0</v>
      </c>
      <c r="G219" s="213" t="str">
        <f t="shared" si="10"/>
        <v/>
      </c>
      <c r="H219" s="209">
        <f t="shared" si="11"/>
        <v>0</v>
      </c>
      <c r="I219" s="75"/>
      <c r="J219" s="75"/>
      <c r="K219" s="75"/>
      <c r="L219" s="204"/>
      <c r="M219" s="204"/>
      <c r="N219" s="204"/>
      <c r="O219" s="204"/>
      <c r="P219" s="204"/>
      <c r="Q219" s="204"/>
      <c r="R219" s="204"/>
      <c r="S219" s="204"/>
      <c r="T219" s="204"/>
      <c r="U219" s="204"/>
      <c r="V219" s="204"/>
      <c r="W219" s="204"/>
      <c r="X219" s="204"/>
      <c r="Y219" s="204"/>
      <c r="Z219" s="204"/>
      <c r="AA219" s="204"/>
    </row>
    <row r="220" spans="1:27" ht="15.75" customHeight="1" x14ac:dyDescent="0.2">
      <c r="A220" s="210" t="s">
        <v>453</v>
      </c>
      <c r="B220" s="142"/>
      <c r="C220" s="138"/>
      <c r="D220" s="143"/>
      <c r="E220" s="211"/>
      <c r="F220" s="212">
        <f t="shared" si="15"/>
        <v>0</v>
      </c>
      <c r="G220" s="213" t="str">
        <f t="shared" si="10"/>
        <v/>
      </c>
      <c r="H220" s="209">
        <f t="shared" si="11"/>
        <v>0</v>
      </c>
      <c r="I220" s="75"/>
      <c r="J220" s="75"/>
      <c r="K220" s="75"/>
      <c r="L220" s="204"/>
      <c r="M220" s="204"/>
      <c r="N220" s="204"/>
      <c r="O220" s="204"/>
      <c r="P220" s="204"/>
      <c r="Q220" s="204"/>
      <c r="R220" s="204"/>
      <c r="S220" s="204"/>
      <c r="T220" s="204"/>
      <c r="U220" s="204"/>
      <c r="V220" s="204"/>
      <c r="W220" s="204"/>
      <c r="X220" s="204"/>
      <c r="Y220" s="204"/>
      <c r="Z220" s="204"/>
      <c r="AA220" s="204"/>
    </row>
    <row r="221" spans="1:27" ht="15.75" customHeight="1" x14ac:dyDescent="0.2">
      <c r="A221" s="210" t="s">
        <v>454</v>
      </c>
      <c r="B221" s="142"/>
      <c r="C221" s="138"/>
      <c r="D221" s="143"/>
      <c r="E221" s="211"/>
      <c r="F221" s="212">
        <f t="shared" si="15"/>
        <v>0</v>
      </c>
      <c r="G221" s="213" t="str">
        <f t="shared" si="10"/>
        <v/>
      </c>
      <c r="H221" s="209">
        <f t="shared" si="11"/>
        <v>0</v>
      </c>
      <c r="I221" s="75"/>
      <c r="J221" s="75"/>
      <c r="K221" s="75"/>
      <c r="L221" s="204"/>
      <c r="M221" s="204"/>
      <c r="N221" s="204"/>
      <c r="O221" s="204"/>
      <c r="P221" s="204"/>
      <c r="Q221" s="204"/>
      <c r="R221" s="204"/>
      <c r="S221" s="204"/>
      <c r="T221" s="204"/>
      <c r="U221" s="204"/>
      <c r="V221" s="204"/>
      <c r="W221" s="204"/>
      <c r="X221" s="204"/>
      <c r="Y221" s="204"/>
      <c r="Z221" s="204"/>
      <c r="AA221" s="204"/>
    </row>
    <row r="222" spans="1:27" ht="15.75" customHeight="1" x14ac:dyDescent="0.2">
      <c r="A222" s="210" t="s">
        <v>455</v>
      </c>
      <c r="B222" s="142"/>
      <c r="C222" s="138"/>
      <c r="D222" s="143"/>
      <c r="E222" s="211"/>
      <c r="F222" s="212">
        <f t="shared" si="15"/>
        <v>0</v>
      </c>
      <c r="G222" s="213" t="str">
        <f t="shared" si="10"/>
        <v/>
      </c>
      <c r="H222" s="209">
        <f t="shared" si="11"/>
        <v>0</v>
      </c>
      <c r="I222" s="75"/>
      <c r="J222" s="75"/>
      <c r="K222" s="75"/>
      <c r="L222" s="204"/>
      <c r="M222" s="204"/>
      <c r="N222" s="204"/>
      <c r="O222" s="204"/>
      <c r="P222" s="204"/>
      <c r="Q222" s="204"/>
      <c r="R222" s="204"/>
      <c r="S222" s="204"/>
      <c r="T222" s="204"/>
      <c r="U222" s="204"/>
      <c r="V222" s="204"/>
      <c r="W222" s="204"/>
      <c r="X222" s="204"/>
      <c r="Y222" s="204"/>
      <c r="Z222" s="204"/>
      <c r="AA222" s="204"/>
    </row>
    <row r="223" spans="1:27" ht="15.75" customHeight="1" x14ac:dyDescent="0.2">
      <c r="A223" s="210" t="s">
        <v>456</v>
      </c>
      <c r="B223" s="142"/>
      <c r="C223" s="138"/>
      <c r="D223" s="143"/>
      <c r="E223" s="211"/>
      <c r="F223" s="212">
        <f t="shared" si="15"/>
        <v>0</v>
      </c>
      <c r="G223" s="213" t="str">
        <f t="shared" si="10"/>
        <v/>
      </c>
      <c r="H223" s="209">
        <f t="shared" si="11"/>
        <v>0</v>
      </c>
      <c r="I223" s="75"/>
      <c r="J223" s="75"/>
      <c r="K223" s="75"/>
      <c r="L223" s="204"/>
      <c r="M223" s="204"/>
      <c r="N223" s="204"/>
      <c r="O223" s="204"/>
      <c r="P223" s="204"/>
      <c r="Q223" s="204"/>
      <c r="R223" s="204"/>
      <c r="S223" s="204"/>
      <c r="T223" s="204"/>
      <c r="U223" s="204"/>
      <c r="V223" s="204"/>
      <c r="W223" s="204"/>
      <c r="X223" s="204"/>
      <c r="Y223" s="204"/>
      <c r="Z223" s="204"/>
      <c r="AA223" s="204"/>
    </row>
    <row r="224" spans="1:27" ht="15.75" customHeight="1" x14ac:dyDescent="0.2">
      <c r="A224" s="210" t="s">
        <v>561</v>
      </c>
      <c r="B224" s="142"/>
      <c r="C224" s="138"/>
      <c r="D224" s="143"/>
      <c r="E224" s="211"/>
      <c r="F224" s="212">
        <f t="shared" si="15"/>
        <v>0</v>
      </c>
      <c r="G224" s="213" t="str">
        <f t="shared" si="10"/>
        <v/>
      </c>
      <c r="H224" s="209">
        <f t="shared" si="11"/>
        <v>0</v>
      </c>
      <c r="I224" s="75"/>
      <c r="J224" s="75"/>
      <c r="K224" s="75"/>
      <c r="L224" s="204"/>
      <c r="M224" s="204"/>
      <c r="N224" s="204"/>
      <c r="O224" s="204"/>
      <c r="P224" s="204"/>
      <c r="Q224" s="204"/>
      <c r="R224" s="204"/>
      <c r="S224" s="204"/>
      <c r="T224" s="204"/>
      <c r="U224" s="204"/>
      <c r="V224" s="204"/>
      <c r="W224" s="204"/>
      <c r="X224" s="204"/>
      <c r="Y224" s="204"/>
      <c r="Z224" s="204"/>
      <c r="AA224" s="204"/>
    </row>
    <row r="225" spans="1:27" ht="15.75" customHeight="1" x14ac:dyDescent="0.2">
      <c r="A225" s="210" t="s">
        <v>457</v>
      </c>
      <c r="B225" s="142"/>
      <c r="C225" s="138"/>
      <c r="D225" s="143"/>
      <c r="E225" s="211"/>
      <c r="F225" s="212">
        <f t="shared" si="15"/>
        <v>0</v>
      </c>
      <c r="G225" s="213" t="str">
        <f t="shared" si="10"/>
        <v/>
      </c>
      <c r="H225" s="209">
        <f t="shared" si="11"/>
        <v>0</v>
      </c>
      <c r="I225" s="75"/>
      <c r="J225" s="75"/>
      <c r="K225" s="75"/>
      <c r="L225" s="204"/>
      <c r="M225" s="204"/>
      <c r="N225" s="204"/>
      <c r="O225" s="204"/>
      <c r="P225" s="204"/>
      <c r="Q225" s="204"/>
      <c r="R225" s="204"/>
      <c r="S225" s="204"/>
      <c r="T225" s="204"/>
      <c r="U225" s="204"/>
      <c r="V225" s="204"/>
      <c r="W225" s="204"/>
      <c r="X225" s="204"/>
      <c r="Y225" s="204"/>
      <c r="Z225" s="204"/>
      <c r="AA225" s="204"/>
    </row>
    <row r="226" spans="1:27" ht="15.75" customHeight="1" x14ac:dyDescent="0.2">
      <c r="A226" s="210" t="s">
        <v>458</v>
      </c>
      <c r="B226" s="142"/>
      <c r="C226" s="138"/>
      <c r="D226" s="143"/>
      <c r="E226" s="211"/>
      <c r="F226" s="212">
        <f t="shared" si="15"/>
        <v>0</v>
      </c>
      <c r="G226" s="213" t="str">
        <f t="shared" si="10"/>
        <v/>
      </c>
      <c r="H226" s="209">
        <f t="shared" si="11"/>
        <v>0</v>
      </c>
      <c r="I226" s="75"/>
      <c r="J226" s="75"/>
      <c r="K226" s="75"/>
      <c r="L226" s="204"/>
      <c r="M226" s="204"/>
      <c r="N226" s="204"/>
      <c r="O226" s="204"/>
      <c r="P226" s="204"/>
      <c r="Q226" s="204"/>
      <c r="R226" s="204"/>
      <c r="S226" s="204"/>
      <c r="T226" s="204"/>
      <c r="U226" s="204"/>
      <c r="V226" s="204"/>
      <c r="W226" s="204"/>
      <c r="X226" s="204"/>
      <c r="Y226" s="204"/>
      <c r="Z226" s="204"/>
      <c r="AA226" s="204"/>
    </row>
    <row r="227" spans="1:27" ht="15.75" customHeight="1" x14ac:dyDescent="0.2">
      <c r="A227" s="210" t="s">
        <v>459</v>
      </c>
      <c r="B227" s="142"/>
      <c r="C227" s="138"/>
      <c r="D227" s="143"/>
      <c r="E227" s="211"/>
      <c r="F227" s="212">
        <f t="shared" si="15"/>
        <v>0</v>
      </c>
      <c r="G227" s="213" t="str">
        <f t="shared" si="10"/>
        <v/>
      </c>
      <c r="H227" s="209">
        <f t="shared" si="11"/>
        <v>0</v>
      </c>
      <c r="I227" s="75"/>
      <c r="J227" s="75"/>
      <c r="K227" s="75"/>
      <c r="L227" s="204"/>
      <c r="M227" s="204"/>
      <c r="N227" s="204"/>
      <c r="O227" s="204"/>
      <c r="P227" s="204"/>
      <c r="Q227" s="204"/>
      <c r="R227" s="204"/>
      <c r="S227" s="204"/>
      <c r="T227" s="204"/>
      <c r="U227" s="204"/>
      <c r="V227" s="204"/>
      <c r="W227" s="204"/>
      <c r="X227" s="204"/>
      <c r="Y227" s="204"/>
      <c r="Z227" s="204"/>
      <c r="AA227" s="204"/>
    </row>
    <row r="228" spans="1:27" ht="15.75" customHeight="1" x14ac:dyDescent="0.2">
      <c r="A228" s="210" t="s">
        <v>460</v>
      </c>
      <c r="B228" s="142"/>
      <c r="C228" s="138"/>
      <c r="D228" s="143"/>
      <c r="E228" s="211"/>
      <c r="F228" s="212">
        <f t="shared" si="15"/>
        <v>0</v>
      </c>
      <c r="G228" s="213" t="str">
        <f t="shared" ref="G228:G291" si="16">IF(OR(C228&gt;0,D228&gt;0),"1","")</f>
        <v/>
      </c>
      <c r="H228" s="209">
        <f t="shared" ref="H228:H291" si="17">IF(OR(C228=1,D228=1),1,0)</f>
        <v>0</v>
      </c>
      <c r="I228" s="75"/>
      <c r="J228" s="75"/>
      <c r="K228" s="75"/>
      <c r="L228" s="204"/>
      <c r="M228" s="204"/>
      <c r="N228" s="204"/>
      <c r="O228" s="204"/>
      <c r="P228" s="204"/>
      <c r="Q228" s="204"/>
      <c r="R228" s="204"/>
      <c r="S228" s="204"/>
      <c r="T228" s="204"/>
      <c r="U228" s="204"/>
      <c r="V228" s="204"/>
      <c r="W228" s="204"/>
      <c r="X228" s="204"/>
      <c r="Y228" s="204"/>
      <c r="Z228" s="204"/>
      <c r="AA228" s="204"/>
    </row>
    <row r="229" spans="1:27" ht="15.75" customHeight="1" x14ac:dyDescent="0.2">
      <c r="A229" s="210" t="s">
        <v>461</v>
      </c>
      <c r="B229" s="142"/>
      <c r="C229" s="138"/>
      <c r="D229" s="143"/>
      <c r="E229" s="211"/>
      <c r="F229" s="212">
        <f t="shared" si="15"/>
        <v>0</v>
      </c>
      <c r="G229" s="213" t="str">
        <f t="shared" si="16"/>
        <v/>
      </c>
      <c r="H229" s="209">
        <f t="shared" si="17"/>
        <v>0</v>
      </c>
      <c r="I229" s="75"/>
      <c r="J229" s="75"/>
      <c r="K229" s="75"/>
      <c r="L229" s="204"/>
      <c r="M229" s="204"/>
      <c r="N229" s="204"/>
      <c r="O229" s="204"/>
      <c r="P229" s="204"/>
      <c r="Q229" s="204"/>
      <c r="R229" s="204"/>
      <c r="S229" s="204"/>
      <c r="T229" s="204"/>
      <c r="U229" s="204"/>
      <c r="V229" s="204"/>
      <c r="W229" s="204"/>
      <c r="X229" s="204"/>
      <c r="Y229" s="204"/>
      <c r="Z229" s="204"/>
      <c r="AA229" s="204"/>
    </row>
    <row r="230" spans="1:27" ht="15.75" customHeight="1" x14ac:dyDescent="0.2">
      <c r="A230" s="210" t="s">
        <v>462</v>
      </c>
      <c r="B230" s="142"/>
      <c r="C230" s="138"/>
      <c r="D230" s="143"/>
      <c r="E230" s="211"/>
      <c r="F230" s="212">
        <f t="shared" si="15"/>
        <v>0</v>
      </c>
      <c r="G230" s="213" t="str">
        <f t="shared" si="16"/>
        <v/>
      </c>
      <c r="H230" s="209">
        <f t="shared" si="17"/>
        <v>0</v>
      </c>
      <c r="I230" s="75"/>
      <c r="J230" s="75"/>
      <c r="K230" s="75"/>
      <c r="L230" s="204"/>
      <c r="M230" s="204"/>
      <c r="N230" s="204"/>
      <c r="O230" s="204"/>
      <c r="P230" s="204"/>
      <c r="Q230" s="204"/>
      <c r="R230" s="204"/>
      <c r="S230" s="204"/>
      <c r="T230" s="204"/>
      <c r="U230" s="204"/>
      <c r="V230" s="204"/>
      <c r="W230" s="204"/>
      <c r="X230" s="204"/>
      <c r="Y230" s="204"/>
      <c r="Z230" s="204"/>
      <c r="AA230" s="204"/>
    </row>
    <row r="231" spans="1:27" ht="15.75" customHeight="1" x14ac:dyDescent="0.2">
      <c r="A231" s="210" t="s">
        <v>463</v>
      </c>
      <c r="B231" s="142"/>
      <c r="C231" s="138"/>
      <c r="D231" s="143"/>
      <c r="E231" s="211"/>
      <c r="F231" s="212">
        <f t="shared" si="15"/>
        <v>0</v>
      </c>
      <c r="G231" s="213" t="str">
        <f t="shared" si="16"/>
        <v/>
      </c>
      <c r="H231" s="209">
        <f t="shared" si="17"/>
        <v>0</v>
      </c>
      <c r="I231" s="75"/>
      <c r="J231" s="75"/>
      <c r="K231" s="75"/>
      <c r="L231" s="204"/>
      <c r="M231" s="204"/>
      <c r="N231" s="204"/>
      <c r="O231" s="204"/>
      <c r="P231" s="204"/>
      <c r="Q231" s="204"/>
      <c r="R231" s="204"/>
      <c r="S231" s="204"/>
      <c r="T231" s="204"/>
      <c r="U231" s="204"/>
      <c r="V231" s="204"/>
      <c r="W231" s="204"/>
      <c r="X231" s="204"/>
      <c r="Y231" s="204"/>
      <c r="Z231" s="204"/>
      <c r="AA231" s="204"/>
    </row>
    <row r="232" spans="1:27" ht="15.75" customHeight="1" x14ac:dyDescent="0.2">
      <c r="A232" s="210" t="s">
        <v>464</v>
      </c>
      <c r="B232" s="142"/>
      <c r="C232" s="138"/>
      <c r="D232" s="143"/>
      <c r="E232" s="211"/>
      <c r="F232" s="212">
        <f t="shared" si="15"/>
        <v>0</v>
      </c>
      <c r="G232" s="213" t="str">
        <f t="shared" si="16"/>
        <v/>
      </c>
      <c r="H232" s="209">
        <f t="shared" si="17"/>
        <v>0</v>
      </c>
      <c r="I232" s="75"/>
      <c r="J232" s="75"/>
      <c r="K232" s="75"/>
      <c r="L232" s="204"/>
      <c r="M232" s="204"/>
      <c r="N232" s="204"/>
      <c r="O232" s="204"/>
      <c r="P232" s="204"/>
      <c r="Q232" s="204"/>
      <c r="R232" s="204"/>
      <c r="S232" s="204"/>
      <c r="T232" s="204"/>
      <c r="U232" s="204"/>
      <c r="V232" s="204"/>
      <c r="W232" s="204"/>
      <c r="X232" s="204"/>
      <c r="Y232" s="204"/>
      <c r="Z232" s="204"/>
      <c r="AA232" s="204"/>
    </row>
    <row r="233" spans="1:27" ht="15.75" customHeight="1" x14ac:dyDescent="0.2">
      <c r="A233" s="210" t="s">
        <v>465</v>
      </c>
      <c r="B233" s="142"/>
      <c r="C233" s="138"/>
      <c r="D233" s="143"/>
      <c r="E233" s="211"/>
      <c r="F233" s="212">
        <f t="shared" si="15"/>
        <v>0</v>
      </c>
      <c r="G233" s="213" t="str">
        <f t="shared" si="16"/>
        <v/>
      </c>
      <c r="H233" s="209">
        <f t="shared" si="17"/>
        <v>0</v>
      </c>
      <c r="I233" s="75"/>
      <c r="J233" s="75"/>
      <c r="K233" s="75"/>
      <c r="L233" s="204"/>
      <c r="M233" s="204"/>
      <c r="N233" s="204"/>
      <c r="O233" s="204"/>
      <c r="P233" s="204"/>
      <c r="Q233" s="204"/>
      <c r="R233" s="204"/>
      <c r="S233" s="204"/>
      <c r="T233" s="204"/>
      <c r="U233" s="204"/>
      <c r="V233" s="204"/>
      <c r="W233" s="204"/>
      <c r="X233" s="204"/>
      <c r="Y233" s="204"/>
      <c r="Z233" s="204"/>
      <c r="AA233" s="204"/>
    </row>
    <row r="234" spans="1:27" ht="15.75" customHeight="1" x14ac:dyDescent="0.2">
      <c r="A234" s="210" t="s">
        <v>466</v>
      </c>
      <c r="B234" s="142"/>
      <c r="C234" s="138"/>
      <c r="D234" s="143"/>
      <c r="E234" s="211"/>
      <c r="F234" s="212">
        <f t="shared" si="15"/>
        <v>0</v>
      </c>
      <c r="G234" s="213" t="str">
        <f t="shared" si="16"/>
        <v/>
      </c>
      <c r="H234" s="209">
        <f t="shared" si="17"/>
        <v>0</v>
      </c>
      <c r="I234" s="75"/>
      <c r="J234" s="75"/>
      <c r="K234" s="75"/>
      <c r="L234" s="204"/>
      <c r="M234" s="204"/>
      <c r="N234" s="204"/>
      <c r="O234" s="204"/>
      <c r="P234" s="204"/>
      <c r="Q234" s="204"/>
      <c r="R234" s="204"/>
      <c r="S234" s="204"/>
      <c r="T234" s="204"/>
      <c r="U234" s="204"/>
      <c r="V234" s="204"/>
      <c r="W234" s="204"/>
      <c r="X234" s="204"/>
      <c r="Y234" s="204"/>
      <c r="Z234" s="204"/>
      <c r="AA234" s="204"/>
    </row>
    <row r="235" spans="1:27" ht="15.75" customHeight="1" x14ac:dyDescent="0.2">
      <c r="A235" s="210" t="s">
        <v>467</v>
      </c>
      <c r="B235" s="142"/>
      <c r="C235" s="138"/>
      <c r="D235" s="143"/>
      <c r="E235" s="211"/>
      <c r="F235" s="212">
        <f t="shared" si="15"/>
        <v>0</v>
      </c>
      <c r="G235" s="213" t="str">
        <f t="shared" si="16"/>
        <v/>
      </c>
      <c r="H235" s="209">
        <f t="shared" si="17"/>
        <v>0</v>
      </c>
      <c r="I235" s="75"/>
      <c r="J235" s="75"/>
      <c r="K235" s="75"/>
      <c r="L235" s="204"/>
      <c r="M235" s="204"/>
      <c r="N235" s="204"/>
      <c r="O235" s="204"/>
      <c r="P235" s="204"/>
      <c r="Q235" s="204"/>
      <c r="R235" s="204"/>
      <c r="S235" s="204"/>
      <c r="T235" s="204"/>
      <c r="U235" s="204"/>
      <c r="V235" s="204"/>
      <c r="W235" s="204"/>
      <c r="X235" s="204"/>
      <c r="Y235" s="204"/>
      <c r="Z235" s="204"/>
      <c r="AA235" s="204"/>
    </row>
    <row r="236" spans="1:27" ht="15.75" customHeight="1" x14ac:dyDescent="0.2">
      <c r="A236" s="210" t="s">
        <v>468</v>
      </c>
      <c r="B236" s="142"/>
      <c r="C236" s="138"/>
      <c r="D236" s="143"/>
      <c r="E236" s="211"/>
      <c r="F236" s="212">
        <f t="shared" si="15"/>
        <v>0</v>
      </c>
      <c r="G236" s="213" t="str">
        <f t="shared" si="16"/>
        <v/>
      </c>
      <c r="H236" s="209">
        <f t="shared" si="17"/>
        <v>0</v>
      </c>
      <c r="I236" s="75"/>
      <c r="J236" s="75"/>
      <c r="K236" s="75"/>
      <c r="L236" s="204"/>
      <c r="M236" s="204"/>
      <c r="N236" s="204"/>
      <c r="O236" s="204"/>
      <c r="P236" s="204"/>
      <c r="Q236" s="204"/>
      <c r="R236" s="204"/>
      <c r="S236" s="204"/>
      <c r="T236" s="204"/>
      <c r="U236" s="204"/>
      <c r="V236" s="204"/>
      <c r="W236" s="204"/>
      <c r="X236" s="204"/>
      <c r="Y236" s="204"/>
      <c r="Z236" s="204"/>
      <c r="AA236" s="204"/>
    </row>
    <row r="237" spans="1:27" ht="15.75" customHeight="1" x14ac:dyDescent="0.2">
      <c r="A237" s="210" t="s">
        <v>469</v>
      </c>
      <c r="B237" s="142"/>
      <c r="C237" s="138"/>
      <c r="D237" s="143"/>
      <c r="E237" s="211"/>
      <c r="F237" s="212">
        <f t="shared" si="15"/>
        <v>0</v>
      </c>
      <c r="G237" s="213" t="str">
        <f t="shared" si="16"/>
        <v/>
      </c>
      <c r="H237" s="209">
        <f t="shared" si="17"/>
        <v>0</v>
      </c>
      <c r="I237" s="75"/>
      <c r="J237" s="75"/>
      <c r="K237" s="75"/>
      <c r="L237" s="204"/>
      <c r="M237" s="204"/>
      <c r="N237" s="204"/>
      <c r="O237" s="204"/>
      <c r="P237" s="204"/>
      <c r="Q237" s="204"/>
      <c r="R237" s="204"/>
      <c r="S237" s="204"/>
      <c r="T237" s="204"/>
      <c r="U237" s="204"/>
      <c r="V237" s="204"/>
      <c r="W237" s="204"/>
      <c r="X237" s="204"/>
      <c r="Y237" s="204"/>
      <c r="Z237" s="204"/>
      <c r="AA237" s="204"/>
    </row>
    <row r="238" spans="1:27" ht="15.75" customHeight="1" x14ac:dyDescent="0.2">
      <c r="A238" s="210" t="s">
        <v>470</v>
      </c>
      <c r="B238" s="142"/>
      <c r="C238" s="138"/>
      <c r="D238" s="143"/>
      <c r="E238" s="211"/>
      <c r="F238" s="212">
        <f t="shared" si="15"/>
        <v>0</v>
      </c>
      <c r="G238" s="213" t="str">
        <f t="shared" si="16"/>
        <v/>
      </c>
      <c r="H238" s="209">
        <f t="shared" si="17"/>
        <v>0</v>
      </c>
      <c r="I238" s="75"/>
      <c r="J238" s="75"/>
      <c r="K238" s="75"/>
      <c r="L238" s="204"/>
      <c r="M238" s="204"/>
      <c r="N238" s="204"/>
      <c r="O238" s="204"/>
      <c r="P238" s="204"/>
      <c r="Q238" s="204"/>
      <c r="R238" s="204"/>
      <c r="S238" s="204"/>
      <c r="T238" s="204"/>
      <c r="U238" s="204"/>
      <c r="V238" s="204"/>
      <c r="W238" s="204"/>
      <c r="X238" s="204"/>
      <c r="Y238" s="204"/>
      <c r="Z238" s="204"/>
      <c r="AA238" s="204"/>
    </row>
    <row r="239" spans="1:27" ht="15.75" customHeight="1" x14ac:dyDescent="0.2">
      <c r="A239" s="210" t="s">
        <v>471</v>
      </c>
      <c r="B239" s="142"/>
      <c r="C239" s="138"/>
      <c r="D239" s="143"/>
      <c r="E239" s="211"/>
      <c r="F239" s="212">
        <f t="shared" si="15"/>
        <v>0</v>
      </c>
      <c r="G239" s="213" t="str">
        <f t="shared" si="16"/>
        <v/>
      </c>
      <c r="H239" s="209">
        <f t="shared" si="17"/>
        <v>0</v>
      </c>
      <c r="I239" s="75"/>
      <c r="J239" s="75"/>
      <c r="K239" s="75"/>
      <c r="L239" s="204"/>
      <c r="M239" s="204"/>
      <c r="N239" s="204"/>
      <c r="O239" s="204"/>
      <c r="P239" s="204"/>
      <c r="Q239" s="204"/>
      <c r="R239" s="204"/>
      <c r="S239" s="204"/>
      <c r="T239" s="204"/>
      <c r="U239" s="204"/>
      <c r="V239" s="204"/>
      <c r="W239" s="204"/>
      <c r="X239" s="204"/>
      <c r="Y239" s="204"/>
      <c r="Z239" s="204"/>
      <c r="AA239" s="204"/>
    </row>
    <row r="240" spans="1:27" ht="15.75" customHeight="1" x14ac:dyDescent="0.2">
      <c r="A240" s="210" t="s">
        <v>472</v>
      </c>
      <c r="B240" s="142"/>
      <c r="C240" s="138"/>
      <c r="D240" s="143"/>
      <c r="E240" s="211"/>
      <c r="F240" s="212">
        <f t="shared" si="15"/>
        <v>0</v>
      </c>
      <c r="G240" s="213" t="str">
        <f t="shared" si="16"/>
        <v/>
      </c>
      <c r="H240" s="209">
        <f t="shared" si="17"/>
        <v>0</v>
      </c>
      <c r="I240" s="75"/>
      <c r="J240" s="75"/>
      <c r="K240" s="75"/>
      <c r="L240" s="204"/>
      <c r="M240" s="204"/>
      <c r="N240" s="204"/>
      <c r="O240" s="204"/>
      <c r="P240" s="204"/>
      <c r="Q240" s="204"/>
      <c r="R240" s="204"/>
      <c r="S240" s="204"/>
      <c r="T240" s="204"/>
      <c r="U240" s="204"/>
      <c r="V240" s="204"/>
      <c r="W240" s="204"/>
      <c r="X240" s="204"/>
      <c r="Y240" s="204"/>
      <c r="Z240" s="204"/>
      <c r="AA240" s="204"/>
    </row>
    <row r="241" spans="1:27" ht="15.75" customHeight="1" x14ac:dyDescent="0.2">
      <c r="A241" s="210" t="s">
        <v>473</v>
      </c>
      <c r="B241" s="142"/>
      <c r="C241" s="138"/>
      <c r="D241" s="143"/>
      <c r="E241" s="211"/>
      <c r="F241" s="212">
        <f t="shared" si="15"/>
        <v>0</v>
      </c>
      <c r="G241" s="213" t="str">
        <f t="shared" si="16"/>
        <v/>
      </c>
      <c r="H241" s="209">
        <f t="shared" si="17"/>
        <v>0</v>
      </c>
      <c r="I241" s="75"/>
      <c r="J241" s="75"/>
      <c r="K241" s="75"/>
      <c r="L241" s="204"/>
      <c r="M241" s="204"/>
      <c r="N241" s="204"/>
      <c r="O241" s="204"/>
      <c r="P241" s="204"/>
      <c r="Q241" s="204"/>
      <c r="R241" s="204"/>
      <c r="S241" s="204"/>
      <c r="T241" s="204"/>
      <c r="U241" s="204"/>
      <c r="V241" s="204"/>
      <c r="W241" s="204"/>
      <c r="X241" s="204"/>
      <c r="Y241" s="204"/>
      <c r="Z241" s="204"/>
      <c r="AA241" s="204"/>
    </row>
    <row r="242" spans="1:27" ht="15.75" customHeight="1" x14ac:dyDescent="0.2">
      <c r="A242" s="210" t="s">
        <v>474</v>
      </c>
      <c r="B242" s="142"/>
      <c r="C242" s="138"/>
      <c r="D242" s="143"/>
      <c r="E242" s="211"/>
      <c r="F242" s="212">
        <f t="shared" si="15"/>
        <v>0</v>
      </c>
      <c r="G242" s="213" t="str">
        <f t="shared" si="16"/>
        <v/>
      </c>
      <c r="H242" s="209">
        <f t="shared" si="17"/>
        <v>0</v>
      </c>
      <c r="I242" s="75"/>
      <c r="J242" s="75"/>
      <c r="K242" s="75"/>
      <c r="L242" s="204"/>
      <c r="M242" s="204"/>
      <c r="N242" s="204"/>
      <c r="O242" s="204"/>
      <c r="P242" s="204"/>
      <c r="Q242" s="204"/>
      <c r="R242" s="204"/>
      <c r="S242" s="204"/>
      <c r="T242" s="204"/>
      <c r="U242" s="204"/>
      <c r="V242" s="204"/>
      <c r="W242" s="204"/>
      <c r="X242" s="204"/>
      <c r="Y242" s="204"/>
      <c r="Z242" s="204"/>
      <c r="AA242" s="204"/>
    </row>
    <row r="243" spans="1:27" ht="15.75" customHeight="1" x14ac:dyDescent="0.2">
      <c r="A243" s="210" t="s">
        <v>475</v>
      </c>
      <c r="B243" s="142"/>
      <c r="C243" s="138"/>
      <c r="D243" s="143"/>
      <c r="E243" s="211"/>
      <c r="F243" s="212">
        <f t="shared" si="15"/>
        <v>0</v>
      </c>
      <c r="G243" s="213" t="str">
        <f t="shared" si="16"/>
        <v/>
      </c>
      <c r="H243" s="209">
        <f t="shared" si="17"/>
        <v>0</v>
      </c>
      <c r="I243" s="75"/>
      <c r="J243" s="75"/>
      <c r="K243" s="75"/>
      <c r="L243" s="204"/>
      <c r="M243" s="204"/>
      <c r="N243" s="204"/>
      <c r="O243" s="204"/>
      <c r="P243" s="204"/>
      <c r="Q243" s="204"/>
      <c r="R243" s="204"/>
      <c r="S243" s="204"/>
      <c r="T243" s="204"/>
      <c r="U243" s="204"/>
      <c r="V243" s="204"/>
      <c r="W243" s="204"/>
      <c r="X243" s="204"/>
      <c r="Y243" s="204"/>
      <c r="Z243" s="204"/>
      <c r="AA243" s="204"/>
    </row>
    <row r="244" spans="1:27" ht="15.75" customHeight="1" x14ac:dyDescent="0.2">
      <c r="A244" s="210" t="s">
        <v>476</v>
      </c>
      <c r="B244" s="142"/>
      <c r="C244" s="138"/>
      <c r="D244" s="143"/>
      <c r="E244" s="211"/>
      <c r="F244" s="212">
        <f t="shared" si="15"/>
        <v>0</v>
      </c>
      <c r="G244" s="213" t="str">
        <f t="shared" si="16"/>
        <v/>
      </c>
      <c r="H244" s="209">
        <f t="shared" si="17"/>
        <v>0</v>
      </c>
      <c r="I244" s="75"/>
      <c r="J244" s="75"/>
      <c r="K244" s="75"/>
      <c r="L244" s="204"/>
      <c r="M244" s="204"/>
      <c r="N244" s="204"/>
      <c r="O244" s="204"/>
      <c r="P244" s="204"/>
      <c r="Q244" s="204"/>
      <c r="R244" s="204"/>
      <c r="S244" s="204"/>
      <c r="T244" s="204"/>
      <c r="U244" s="204"/>
      <c r="V244" s="204"/>
      <c r="W244" s="204"/>
      <c r="X244" s="204"/>
      <c r="Y244" s="204"/>
      <c r="Z244" s="204"/>
      <c r="AA244" s="204"/>
    </row>
    <row r="245" spans="1:27" ht="15.75" customHeight="1" x14ac:dyDescent="0.2">
      <c r="A245" s="210" t="s">
        <v>545</v>
      </c>
      <c r="B245" s="142"/>
      <c r="C245" s="138"/>
      <c r="D245" s="143"/>
      <c r="E245" s="211"/>
      <c r="F245" s="212">
        <f t="shared" si="15"/>
        <v>0</v>
      </c>
      <c r="G245" s="213" t="str">
        <f t="shared" si="16"/>
        <v/>
      </c>
      <c r="H245" s="209">
        <f t="shared" si="17"/>
        <v>0</v>
      </c>
      <c r="I245" s="75"/>
      <c r="J245" s="75"/>
      <c r="K245" s="75"/>
      <c r="L245" s="204"/>
      <c r="M245" s="204"/>
      <c r="N245" s="204"/>
      <c r="O245" s="204"/>
      <c r="P245" s="204"/>
      <c r="Q245" s="204"/>
      <c r="R245" s="204"/>
      <c r="S245" s="204"/>
      <c r="T245" s="204"/>
      <c r="U245" s="204"/>
      <c r="V245" s="204"/>
      <c r="W245" s="204"/>
      <c r="X245" s="204"/>
      <c r="Y245" s="204"/>
      <c r="Z245" s="204"/>
      <c r="AA245" s="204"/>
    </row>
    <row r="246" spans="1:27" ht="15.75" customHeight="1" x14ac:dyDescent="0.2">
      <c r="A246" s="210" t="s">
        <v>477</v>
      </c>
      <c r="B246" s="142"/>
      <c r="C246" s="138"/>
      <c r="D246" s="143"/>
      <c r="E246" s="211"/>
      <c r="F246" s="212">
        <f t="shared" si="15"/>
        <v>0</v>
      </c>
      <c r="G246" s="213" t="str">
        <f t="shared" si="16"/>
        <v/>
      </c>
      <c r="H246" s="209">
        <f t="shared" si="17"/>
        <v>0</v>
      </c>
      <c r="I246" s="75"/>
      <c r="J246" s="75"/>
      <c r="K246" s="75"/>
      <c r="L246" s="204"/>
      <c r="M246" s="204"/>
      <c r="N246" s="204"/>
      <c r="O246" s="204"/>
      <c r="P246" s="204"/>
      <c r="Q246" s="204"/>
      <c r="R246" s="204"/>
      <c r="S246" s="204"/>
      <c r="T246" s="204"/>
      <c r="U246" s="204"/>
      <c r="V246" s="204"/>
      <c r="W246" s="204"/>
      <c r="X246" s="204"/>
      <c r="Y246" s="204"/>
      <c r="Z246" s="204"/>
      <c r="AA246" s="204"/>
    </row>
    <row r="247" spans="1:27" ht="15.75" customHeight="1" x14ac:dyDescent="0.2">
      <c r="A247" s="210" t="s">
        <v>478</v>
      </c>
      <c r="B247" s="142"/>
      <c r="C247" s="138"/>
      <c r="D247" s="143"/>
      <c r="E247" s="211"/>
      <c r="F247" s="212">
        <f t="shared" si="15"/>
        <v>0</v>
      </c>
      <c r="G247" s="213" t="str">
        <f t="shared" si="16"/>
        <v/>
      </c>
      <c r="H247" s="209">
        <f t="shared" si="17"/>
        <v>0</v>
      </c>
      <c r="I247" s="75"/>
      <c r="J247" s="75"/>
      <c r="K247" s="75"/>
      <c r="L247" s="204"/>
      <c r="M247" s="204"/>
      <c r="N247" s="204"/>
      <c r="O247" s="204"/>
      <c r="P247" s="204"/>
      <c r="Q247" s="204"/>
      <c r="R247" s="204"/>
      <c r="S247" s="204"/>
      <c r="T247" s="204"/>
      <c r="U247" s="204"/>
      <c r="V247" s="204"/>
      <c r="W247" s="204"/>
      <c r="X247" s="204"/>
      <c r="Y247" s="204"/>
      <c r="Z247" s="204"/>
      <c r="AA247" s="204"/>
    </row>
    <row r="248" spans="1:27" ht="15.75" customHeight="1" x14ac:dyDescent="0.2">
      <c r="A248" s="210" t="s">
        <v>479</v>
      </c>
      <c r="B248" s="142"/>
      <c r="C248" s="138"/>
      <c r="D248" s="143"/>
      <c r="E248" s="211"/>
      <c r="F248" s="212">
        <f t="shared" si="15"/>
        <v>0</v>
      </c>
      <c r="G248" s="213" t="str">
        <f t="shared" si="16"/>
        <v/>
      </c>
      <c r="H248" s="209">
        <f t="shared" si="17"/>
        <v>0</v>
      </c>
      <c r="I248" s="75"/>
      <c r="J248" s="75"/>
      <c r="K248" s="75"/>
      <c r="L248" s="204"/>
      <c r="M248" s="204"/>
      <c r="N248" s="204"/>
      <c r="O248" s="204"/>
      <c r="P248" s="204"/>
      <c r="Q248" s="204"/>
      <c r="R248" s="204"/>
      <c r="S248" s="204"/>
      <c r="T248" s="204"/>
      <c r="U248" s="204"/>
      <c r="V248" s="204"/>
      <c r="W248" s="204"/>
      <c r="X248" s="204"/>
      <c r="Y248" s="204"/>
      <c r="Z248" s="204"/>
      <c r="AA248" s="204"/>
    </row>
    <row r="249" spans="1:27" ht="15.75" customHeight="1" x14ac:dyDescent="0.2">
      <c r="A249" s="210" t="s">
        <v>480</v>
      </c>
      <c r="B249" s="142"/>
      <c r="C249" s="138"/>
      <c r="D249" s="143"/>
      <c r="E249" s="211"/>
      <c r="F249" s="212">
        <f t="shared" si="15"/>
        <v>0</v>
      </c>
      <c r="G249" s="213" t="str">
        <f t="shared" si="16"/>
        <v/>
      </c>
      <c r="H249" s="209">
        <f t="shared" si="17"/>
        <v>0</v>
      </c>
      <c r="I249" s="75"/>
      <c r="J249" s="75"/>
      <c r="K249" s="75"/>
      <c r="L249" s="204"/>
      <c r="M249" s="204"/>
      <c r="N249" s="204"/>
      <c r="O249" s="204"/>
      <c r="P249" s="204"/>
      <c r="Q249" s="204"/>
      <c r="R249" s="204"/>
      <c r="S249" s="204"/>
      <c r="T249" s="204"/>
      <c r="U249" s="204"/>
      <c r="V249" s="204"/>
      <c r="W249" s="204"/>
      <c r="X249" s="204"/>
      <c r="Y249" s="204"/>
      <c r="Z249" s="204"/>
      <c r="AA249" s="204"/>
    </row>
    <row r="250" spans="1:27" ht="15.75" customHeight="1" x14ac:dyDescent="0.2">
      <c r="A250" s="210" t="s">
        <v>481</v>
      </c>
      <c r="B250" s="142"/>
      <c r="C250" s="138"/>
      <c r="D250" s="143"/>
      <c r="E250" s="211"/>
      <c r="F250" s="212">
        <f t="shared" si="15"/>
        <v>0</v>
      </c>
      <c r="G250" s="213" t="str">
        <f t="shared" si="16"/>
        <v/>
      </c>
      <c r="H250" s="209">
        <f t="shared" si="17"/>
        <v>0</v>
      </c>
      <c r="I250" s="75"/>
      <c r="J250" s="75"/>
      <c r="K250" s="75"/>
      <c r="L250" s="204"/>
      <c r="M250" s="204"/>
      <c r="N250" s="204"/>
      <c r="O250" s="204"/>
      <c r="P250" s="204"/>
      <c r="Q250" s="204"/>
      <c r="R250" s="204"/>
      <c r="S250" s="204"/>
      <c r="T250" s="204"/>
      <c r="U250" s="204"/>
      <c r="V250" s="204"/>
      <c r="W250" s="204"/>
      <c r="X250" s="204"/>
      <c r="Y250" s="204"/>
      <c r="Z250" s="204"/>
      <c r="AA250" s="204"/>
    </row>
    <row r="251" spans="1:27" ht="15.75" customHeight="1" x14ac:dyDescent="0.2">
      <c r="A251" s="210" t="s">
        <v>482</v>
      </c>
      <c r="B251" s="142"/>
      <c r="C251" s="138"/>
      <c r="D251" s="143"/>
      <c r="E251" s="211"/>
      <c r="F251" s="212">
        <f t="shared" si="15"/>
        <v>0</v>
      </c>
      <c r="G251" s="213" t="str">
        <f t="shared" si="16"/>
        <v/>
      </c>
      <c r="H251" s="209">
        <f t="shared" si="17"/>
        <v>0</v>
      </c>
      <c r="I251" s="75"/>
      <c r="J251" s="75"/>
      <c r="K251" s="75"/>
      <c r="L251" s="204"/>
      <c r="M251" s="204"/>
      <c r="N251" s="204"/>
      <c r="O251" s="204"/>
      <c r="P251" s="204"/>
      <c r="Q251" s="204"/>
      <c r="R251" s="204"/>
      <c r="S251" s="204"/>
      <c r="T251" s="204"/>
      <c r="U251" s="204"/>
      <c r="V251" s="204"/>
      <c r="W251" s="204"/>
      <c r="X251" s="204"/>
      <c r="Y251" s="204"/>
      <c r="Z251" s="204"/>
      <c r="AA251" s="204"/>
    </row>
    <row r="252" spans="1:27" ht="15.75" customHeight="1" x14ac:dyDescent="0.2">
      <c r="A252" s="210" t="s">
        <v>483</v>
      </c>
      <c r="B252" s="142"/>
      <c r="C252" s="138"/>
      <c r="D252" s="143"/>
      <c r="E252" s="211"/>
      <c r="F252" s="212">
        <f t="shared" si="15"/>
        <v>0</v>
      </c>
      <c r="G252" s="213" t="str">
        <f t="shared" si="16"/>
        <v/>
      </c>
      <c r="H252" s="209">
        <f t="shared" si="17"/>
        <v>0</v>
      </c>
      <c r="I252" s="75"/>
      <c r="J252" s="75"/>
      <c r="K252" s="75"/>
      <c r="L252" s="204"/>
      <c r="M252" s="204"/>
      <c r="N252" s="204"/>
      <c r="O252" s="204"/>
      <c r="P252" s="204"/>
      <c r="Q252" s="204"/>
      <c r="R252" s="204"/>
      <c r="S252" s="204"/>
      <c r="T252" s="204"/>
      <c r="U252" s="204"/>
      <c r="V252" s="204"/>
      <c r="W252" s="204"/>
      <c r="X252" s="204"/>
      <c r="Y252" s="204"/>
      <c r="Z252" s="204"/>
      <c r="AA252" s="204"/>
    </row>
    <row r="253" spans="1:27" ht="15.75" customHeight="1" x14ac:dyDescent="0.2">
      <c r="A253" s="210" t="s">
        <v>484</v>
      </c>
      <c r="B253" s="142"/>
      <c r="C253" s="138"/>
      <c r="D253" s="143"/>
      <c r="E253" s="211"/>
      <c r="F253" s="212">
        <f t="shared" si="15"/>
        <v>0</v>
      </c>
      <c r="G253" s="213" t="str">
        <f t="shared" si="16"/>
        <v/>
      </c>
      <c r="H253" s="209">
        <f t="shared" si="17"/>
        <v>0</v>
      </c>
      <c r="I253" s="75"/>
      <c r="J253" s="75"/>
      <c r="K253" s="75"/>
      <c r="L253" s="204"/>
      <c r="M253" s="204"/>
      <c r="N253" s="204"/>
      <c r="O253" s="204"/>
      <c r="P253" s="204"/>
      <c r="Q253" s="204"/>
      <c r="R253" s="204"/>
      <c r="S253" s="204"/>
      <c r="T253" s="204"/>
      <c r="U253" s="204"/>
      <c r="V253" s="204"/>
      <c r="W253" s="204"/>
      <c r="X253" s="204"/>
      <c r="Y253" s="204"/>
      <c r="Z253" s="204"/>
      <c r="AA253" s="204"/>
    </row>
    <row r="254" spans="1:27" ht="15.75" customHeight="1" x14ac:dyDescent="0.2">
      <c r="A254" s="210" t="s">
        <v>485</v>
      </c>
      <c r="B254" s="142"/>
      <c r="C254" s="138"/>
      <c r="D254" s="143"/>
      <c r="E254" s="211"/>
      <c r="F254" s="212">
        <f t="shared" si="15"/>
        <v>0</v>
      </c>
      <c r="G254" s="213" t="str">
        <f t="shared" si="16"/>
        <v/>
      </c>
      <c r="H254" s="209">
        <f t="shared" si="17"/>
        <v>0</v>
      </c>
      <c r="I254" s="75"/>
      <c r="J254" s="75"/>
      <c r="K254" s="75"/>
      <c r="L254" s="204"/>
      <c r="M254" s="204"/>
      <c r="N254" s="204"/>
      <c r="O254" s="204"/>
      <c r="P254" s="204"/>
      <c r="Q254" s="204"/>
      <c r="R254" s="204"/>
      <c r="S254" s="204"/>
      <c r="T254" s="204"/>
      <c r="U254" s="204"/>
      <c r="V254" s="204"/>
      <c r="W254" s="204"/>
      <c r="X254" s="204"/>
      <c r="Y254" s="204"/>
      <c r="Z254" s="204"/>
      <c r="AA254" s="204"/>
    </row>
    <row r="255" spans="1:27" ht="15.75" customHeight="1" x14ac:dyDescent="0.2">
      <c r="A255" s="210" t="s">
        <v>486</v>
      </c>
      <c r="B255" s="142"/>
      <c r="C255" s="138"/>
      <c r="D255" s="143"/>
      <c r="E255" s="211"/>
      <c r="F255" s="212">
        <f t="shared" si="15"/>
        <v>0</v>
      </c>
      <c r="G255" s="213" t="str">
        <f t="shared" si="16"/>
        <v/>
      </c>
      <c r="H255" s="209">
        <f t="shared" si="17"/>
        <v>0</v>
      </c>
      <c r="I255" s="75"/>
      <c r="J255" s="75"/>
      <c r="K255" s="75"/>
      <c r="L255" s="204"/>
      <c r="M255" s="204"/>
      <c r="N255" s="204"/>
      <c r="O255" s="204"/>
      <c r="P255" s="204"/>
      <c r="Q255" s="204"/>
      <c r="R255" s="204"/>
      <c r="S255" s="204"/>
      <c r="T255" s="204"/>
      <c r="U255" s="204"/>
      <c r="V255" s="204"/>
      <c r="W255" s="204"/>
      <c r="X255" s="204"/>
      <c r="Y255" s="204"/>
      <c r="Z255" s="204"/>
      <c r="AA255" s="204"/>
    </row>
    <row r="256" spans="1:27" ht="15.75" customHeight="1" x14ac:dyDescent="0.2">
      <c r="A256" s="210" t="s">
        <v>546</v>
      </c>
      <c r="B256" s="142"/>
      <c r="C256" s="138"/>
      <c r="D256" s="143"/>
      <c r="E256" s="211"/>
      <c r="F256" s="212">
        <f t="shared" si="15"/>
        <v>0</v>
      </c>
      <c r="G256" s="213" t="str">
        <f t="shared" si="16"/>
        <v/>
      </c>
      <c r="H256" s="209">
        <f t="shared" si="17"/>
        <v>0</v>
      </c>
      <c r="I256" s="75"/>
      <c r="J256" s="75"/>
      <c r="K256" s="75"/>
      <c r="L256" s="204"/>
      <c r="M256" s="204"/>
      <c r="N256" s="204"/>
      <c r="O256" s="204"/>
      <c r="P256" s="204"/>
      <c r="Q256" s="204"/>
      <c r="R256" s="204"/>
      <c r="S256" s="204"/>
      <c r="T256" s="204"/>
      <c r="U256" s="204"/>
      <c r="V256" s="204"/>
      <c r="W256" s="204"/>
      <c r="X256" s="204"/>
      <c r="Y256" s="204"/>
      <c r="Z256" s="204"/>
      <c r="AA256" s="204"/>
    </row>
    <row r="257" spans="1:27" ht="15.75" customHeight="1" x14ac:dyDescent="0.2">
      <c r="A257" s="210" t="s">
        <v>487</v>
      </c>
      <c r="B257" s="142"/>
      <c r="C257" s="138"/>
      <c r="D257" s="143"/>
      <c r="E257" s="211"/>
      <c r="F257" s="212">
        <f t="shared" si="15"/>
        <v>0</v>
      </c>
      <c r="G257" s="213" t="str">
        <f t="shared" si="16"/>
        <v/>
      </c>
      <c r="H257" s="209">
        <f t="shared" si="17"/>
        <v>0</v>
      </c>
      <c r="I257" s="75"/>
      <c r="J257" s="75"/>
      <c r="K257" s="75"/>
      <c r="L257" s="204"/>
      <c r="M257" s="204"/>
      <c r="N257" s="204"/>
      <c r="O257" s="204"/>
      <c r="P257" s="204"/>
      <c r="Q257" s="204"/>
      <c r="R257" s="204"/>
      <c r="S257" s="204"/>
      <c r="T257" s="204"/>
      <c r="U257" s="204"/>
      <c r="V257" s="204"/>
      <c r="W257" s="204"/>
      <c r="X257" s="204"/>
      <c r="Y257" s="204"/>
      <c r="Z257" s="204"/>
      <c r="AA257" s="204"/>
    </row>
    <row r="258" spans="1:27" ht="15.75" customHeight="1" x14ac:dyDescent="0.2">
      <c r="A258" s="210" t="s">
        <v>488</v>
      </c>
      <c r="B258" s="142"/>
      <c r="C258" s="138"/>
      <c r="D258" s="143"/>
      <c r="E258" s="211"/>
      <c r="F258" s="212">
        <f t="shared" si="15"/>
        <v>0</v>
      </c>
      <c r="G258" s="213" t="str">
        <f t="shared" si="16"/>
        <v/>
      </c>
      <c r="H258" s="209">
        <f t="shared" si="17"/>
        <v>0</v>
      </c>
      <c r="I258" s="75"/>
      <c r="J258" s="75"/>
      <c r="K258" s="75"/>
      <c r="L258" s="204"/>
      <c r="M258" s="204"/>
      <c r="N258" s="204"/>
      <c r="O258" s="204"/>
      <c r="P258" s="204"/>
      <c r="Q258" s="204"/>
      <c r="R258" s="204"/>
      <c r="S258" s="204"/>
      <c r="T258" s="204"/>
      <c r="U258" s="204"/>
      <c r="V258" s="204"/>
      <c r="W258" s="204"/>
      <c r="X258" s="204"/>
      <c r="Y258" s="204"/>
      <c r="Z258" s="204"/>
      <c r="AA258" s="204"/>
    </row>
    <row r="259" spans="1:27" ht="15.75" customHeight="1" x14ac:dyDescent="0.2">
      <c r="A259" s="210" t="s">
        <v>490</v>
      </c>
      <c r="B259" s="142"/>
      <c r="C259" s="138"/>
      <c r="D259" s="143"/>
      <c r="E259" s="211"/>
      <c r="F259" s="212">
        <f t="shared" si="15"/>
        <v>0</v>
      </c>
      <c r="G259" s="213" t="str">
        <f t="shared" si="16"/>
        <v/>
      </c>
      <c r="H259" s="209">
        <f t="shared" si="17"/>
        <v>0</v>
      </c>
      <c r="I259" s="75"/>
      <c r="J259" s="75"/>
      <c r="K259" s="75"/>
      <c r="L259" s="204"/>
      <c r="M259" s="204"/>
      <c r="N259" s="204"/>
      <c r="O259" s="204"/>
      <c r="P259" s="204"/>
      <c r="Q259" s="204"/>
      <c r="R259" s="204"/>
      <c r="S259" s="204"/>
      <c r="T259" s="204"/>
      <c r="U259" s="204"/>
      <c r="V259" s="204"/>
      <c r="W259" s="204"/>
      <c r="X259" s="204"/>
      <c r="Y259" s="204"/>
      <c r="Z259" s="204"/>
      <c r="AA259" s="204"/>
    </row>
    <row r="260" spans="1:27" ht="15.75" customHeight="1" x14ac:dyDescent="0.2">
      <c r="A260" s="210" t="s">
        <v>491</v>
      </c>
      <c r="B260" s="142"/>
      <c r="C260" s="138"/>
      <c r="D260" s="143"/>
      <c r="E260" s="211"/>
      <c r="F260" s="212">
        <f t="shared" si="15"/>
        <v>0</v>
      </c>
      <c r="G260" s="213" t="str">
        <f t="shared" si="16"/>
        <v/>
      </c>
      <c r="H260" s="209">
        <f t="shared" si="17"/>
        <v>0</v>
      </c>
      <c r="I260" s="75"/>
      <c r="J260" s="75"/>
      <c r="K260" s="75"/>
      <c r="L260" s="204"/>
      <c r="M260" s="204"/>
      <c r="N260" s="204"/>
      <c r="O260" s="204"/>
      <c r="P260" s="204"/>
      <c r="Q260" s="204"/>
      <c r="R260" s="204"/>
      <c r="S260" s="204"/>
      <c r="T260" s="204"/>
      <c r="U260" s="204"/>
      <c r="V260" s="204"/>
      <c r="W260" s="204"/>
      <c r="X260" s="204"/>
      <c r="Y260" s="204"/>
      <c r="Z260" s="204"/>
      <c r="AA260" s="204"/>
    </row>
    <row r="261" spans="1:27" ht="15.75" customHeight="1" x14ac:dyDescent="0.2">
      <c r="A261" s="210" t="s">
        <v>492</v>
      </c>
      <c r="B261" s="142"/>
      <c r="C261" s="138"/>
      <c r="D261" s="143"/>
      <c r="E261" s="211"/>
      <c r="F261" s="212">
        <f t="shared" si="15"/>
        <v>0</v>
      </c>
      <c r="G261" s="213" t="str">
        <f t="shared" si="16"/>
        <v/>
      </c>
      <c r="H261" s="209">
        <f t="shared" si="17"/>
        <v>0</v>
      </c>
      <c r="I261" s="75"/>
      <c r="J261" s="75"/>
      <c r="K261" s="75"/>
      <c r="L261" s="204"/>
      <c r="M261" s="204"/>
      <c r="N261" s="204"/>
      <c r="O261" s="204"/>
      <c r="P261" s="204"/>
      <c r="Q261" s="204"/>
      <c r="R261" s="204"/>
      <c r="S261" s="204"/>
      <c r="T261" s="204"/>
      <c r="U261" s="204"/>
      <c r="V261" s="204"/>
      <c r="W261" s="204"/>
      <c r="X261" s="204"/>
      <c r="Y261" s="204"/>
      <c r="Z261" s="204"/>
      <c r="AA261" s="204"/>
    </row>
    <row r="262" spans="1:27" ht="15.75" customHeight="1" x14ac:dyDescent="0.2">
      <c r="A262" s="210" t="s">
        <v>493</v>
      </c>
      <c r="B262" s="142"/>
      <c r="C262" s="138"/>
      <c r="D262" s="143"/>
      <c r="E262" s="211"/>
      <c r="F262" s="212">
        <f t="shared" si="15"/>
        <v>0</v>
      </c>
      <c r="G262" s="213" t="str">
        <f t="shared" si="16"/>
        <v/>
      </c>
      <c r="H262" s="209">
        <f t="shared" si="17"/>
        <v>0</v>
      </c>
      <c r="I262" s="75"/>
      <c r="J262" s="75"/>
      <c r="K262" s="75"/>
      <c r="L262" s="204"/>
      <c r="M262" s="204"/>
      <c r="N262" s="204"/>
      <c r="O262" s="204"/>
      <c r="P262" s="204"/>
      <c r="Q262" s="204"/>
      <c r="R262" s="204"/>
      <c r="S262" s="204"/>
      <c r="T262" s="204"/>
      <c r="U262" s="204"/>
      <c r="V262" s="204"/>
      <c r="W262" s="204"/>
      <c r="X262" s="204"/>
      <c r="Y262" s="204"/>
      <c r="Z262" s="204"/>
      <c r="AA262" s="204"/>
    </row>
    <row r="263" spans="1:27" ht="15.75" customHeight="1" x14ac:dyDescent="0.2">
      <c r="A263" s="210" t="s">
        <v>494</v>
      </c>
      <c r="B263" s="142"/>
      <c r="C263" s="138"/>
      <c r="D263" s="143"/>
      <c r="E263" s="211"/>
      <c r="F263" s="212">
        <f t="shared" si="15"/>
        <v>0</v>
      </c>
      <c r="G263" s="213" t="str">
        <f t="shared" si="16"/>
        <v/>
      </c>
      <c r="H263" s="209">
        <f t="shared" si="17"/>
        <v>0</v>
      </c>
      <c r="I263" s="75"/>
      <c r="J263" s="75"/>
      <c r="K263" s="75"/>
      <c r="L263" s="204"/>
      <c r="M263" s="204"/>
      <c r="N263" s="204"/>
      <c r="O263" s="204"/>
      <c r="P263" s="204"/>
      <c r="Q263" s="204"/>
      <c r="R263" s="204"/>
      <c r="S263" s="204"/>
      <c r="T263" s="204"/>
      <c r="U263" s="204"/>
      <c r="V263" s="204"/>
      <c r="W263" s="204"/>
      <c r="X263" s="204"/>
      <c r="Y263" s="204"/>
      <c r="Z263" s="204"/>
      <c r="AA263" s="204"/>
    </row>
    <row r="264" spans="1:27" ht="15.75" customHeight="1" x14ac:dyDescent="0.2">
      <c r="A264" s="210" t="s">
        <v>495</v>
      </c>
      <c r="B264" s="142"/>
      <c r="C264" s="138"/>
      <c r="D264" s="143"/>
      <c r="E264" s="211"/>
      <c r="F264" s="212">
        <f t="shared" si="15"/>
        <v>0</v>
      </c>
      <c r="G264" s="213" t="str">
        <f t="shared" si="16"/>
        <v/>
      </c>
      <c r="H264" s="209">
        <f t="shared" si="17"/>
        <v>0</v>
      </c>
      <c r="I264" s="75"/>
      <c r="J264" s="75"/>
      <c r="K264" s="75"/>
      <c r="L264" s="204"/>
      <c r="M264" s="204"/>
      <c r="N264" s="204"/>
      <c r="O264" s="204"/>
      <c r="P264" s="204"/>
      <c r="Q264" s="204"/>
      <c r="R264" s="204"/>
      <c r="S264" s="204"/>
      <c r="T264" s="204"/>
      <c r="U264" s="204"/>
      <c r="V264" s="204"/>
      <c r="W264" s="204"/>
      <c r="X264" s="204"/>
      <c r="Y264" s="204"/>
      <c r="Z264" s="204"/>
      <c r="AA264" s="204"/>
    </row>
    <row r="265" spans="1:27" ht="15.75" customHeight="1" x14ac:dyDescent="0.2">
      <c r="A265" s="210" t="s">
        <v>496</v>
      </c>
      <c r="B265" s="142"/>
      <c r="C265" s="138"/>
      <c r="D265" s="143"/>
      <c r="E265" s="211"/>
      <c r="F265" s="212">
        <f t="shared" si="15"/>
        <v>0</v>
      </c>
      <c r="G265" s="213" t="str">
        <f t="shared" si="16"/>
        <v/>
      </c>
      <c r="H265" s="209">
        <f t="shared" si="17"/>
        <v>0</v>
      </c>
      <c r="I265" s="75"/>
      <c r="J265" s="75"/>
      <c r="K265" s="75"/>
      <c r="L265" s="204"/>
      <c r="M265" s="204"/>
      <c r="N265" s="204"/>
      <c r="O265" s="204"/>
      <c r="P265" s="204"/>
      <c r="Q265" s="204"/>
      <c r="R265" s="204"/>
      <c r="S265" s="204"/>
      <c r="T265" s="204"/>
      <c r="U265" s="204"/>
      <c r="V265" s="204"/>
      <c r="W265" s="204"/>
      <c r="X265" s="204"/>
      <c r="Y265" s="204"/>
      <c r="Z265" s="204"/>
      <c r="AA265" s="204"/>
    </row>
    <row r="266" spans="1:27" ht="15.75" customHeight="1" x14ac:dyDescent="0.2">
      <c r="A266" s="210" t="s">
        <v>497</v>
      </c>
      <c r="B266" s="142"/>
      <c r="C266" s="138"/>
      <c r="D266" s="143"/>
      <c r="E266" s="211"/>
      <c r="F266" s="212">
        <f t="shared" si="15"/>
        <v>0</v>
      </c>
      <c r="G266" s="213" t="str">
        <f t="shared" si="16"/>
        <v/>
      </c>
      <c r="H266" s="209">
        <f t="shared" si="17"/>
        <v>0</v>
      </c>
      <c r="I266" s="75"/>
      <c r="J266" s="75"/>
      <c r="K266" s="75"/>
      <c r="L266" s="204"/>
      <c r="M266" s="204"/>
      <c r="N266" s="204"/>
      <c r="O266" s="204"/>
      <c r="P266" s="204"/>
      <c r="Q266" s="204"/>
      <c r="R266" s="204"/>
      <c r="S266" s="204"/>
      <c r="T266" s="204"/>
      <c r="U266" s="204"/>
      <c r="V266" s="204"/>
      <c r="W266" s="204"/>
      <c r="X266" s="204"/>
      <c r="Y266" s="204"/>
      <c r="Z266" s="204"/>
      <c r="AA266" s="204"/>
    </row>
    <row r="267" spans="1:27" ht="15.75" customHeight="1" x14ac:dyDescent="0.2">
      <c r="A267" s="210" t="s">
        <v>498</v>
      </c>
      <c r="B267" s="142"/>
      <c r="C267" s="138"/>
      <c r="D267" s="143"/>
      <c r="E267" s="211"/>
      <c r="F267" s="212">
        <f t="shared" si="15"/>
        <v>0</v>
      </c>
      <c r="G267" s="213" t="str">
        <f t="shared" si="16"/>
        <v/>
      </c>
      <c r="H267" s="209">
        <f t="shared" si="17"/>
        <v>0</v>
      </c>
      <c r="I267" s="75"/>
      <c r="J267" s="75"/>
      <c r="K267" s="75"/>
      <c r="L267" s="204"/>
      <c r="M267" s="204"/>
      <c r="N267" s="204"/>
      <c r="O267" s="204"/>
      <c r="P267" s="204"/>
      <c r="Q267" s="204"/>
      <c r="R267" s="204"/>
      <c r="S267" s="204"/>
      <c r="T267" s="204"/>
      <c r="U267" s="204"/>
      <c r="V267" s="204"/>
      <c r="W267" s="204"/>
      <c r="X267" s="204"/>
      <c r="Y267" s="204"/>
      <c r="Z267" s="204"/>
      <c r="AA267" s="204"/>
    </row>
    <row r="268" spans="1:27" ht="15.75" customHeight="1" x14ac:dyDescent="0.2">
      <c r="A268" s="210" t="s">
        <v>499</v>
      </c>
      <c r="B268" s="142"/>
      <c r="C268" s="138"/>
      <c r="D268" s="143"/>
      <c r="E268" s="211"/>
      <c r="F268" s="212">
        <f t="shared" si="15"/>
        <v>0</v>
      </c>
      <c r="G268" s="213" t="str">
        <f t="shared" si="16"/>
        <v/>
      </c>
      <c r="H268" s="209">
        <f t="shared" si="17"/>
        <v>0</v>
      </c>
      <c r="I268" s="75"/>
      <c r="J268" s="75"/>
      <c r="K268" s="75"/>
      <c r="L268" s="204"/>
      <c r="M268" s="204"/>
      <c r="N268" s="204"/>
      <c r="O268" s="204"/>
      <c r="P268" s="204"/>
      <c r="Q268" s="204"/>
      <c r="R268" s="204"/>
      <c r="S268" s="204"/>
      <c r="T268" s="204"/>
      <c r="U268" s="204"/>
      <c r="V268" s="204"/>
      <c r="W268" s="204"/>
      <c r="X268" s="204"/>
      <c r="Y268" s="204"/>
      <c r="Z268" s="204"/>
      <c r="AA268" s="204"/>
    </row>
    <row r="269" spans="1:27" ht="15.75" customHeight="1" x14ac:dyDescent="0.2">
      <c r="A269" s="210" t="s">
        <v>500</v>
      </c>
      <c r="B269" s="142"/>
      <c r="C269" s="138"/>
      <c r="D269" s="143"/>
      <c r="E269" s="211"/>
      <c r="F269" s="212">
        <f t="shared" si="15"/>
        <v>0</v>
      </c>
      <c r="G269" s="213" t="str">
        <f t="shared" si="16"/>
        <v/>
      </c>
      <c r="H269" s="209">
        <f t="shared" si="17"/>
        <v>0</v>
      </c>
      <c r="I269" s="75"/>
      <c r="J269" s="75"/>
      <c r="K269" s="75"/>
      <c r="L269" s="204"/>
      <c r="M269" s="204"/>
      <c r="N269" s="204"/>
      <c r="O269" s="204"/>
      <c r="P269" s="204"/>
      <c r="Q269" s="204"/>
      <c r="R269" s="204"/>
      <c r="S269" s="204"/>
      <c r="T269" s="204"/>
      <c r="U269" s="204"/>
      <c r="V269" s="204"/>
      <c r="W269" s="204"/>
      <c r="X269" s="204"/>
      <c r="Y269" s="204"/>
      <c r="Z269" s="204"/>
      <c r="AA269" s="204"/>
    </row>
    <row r="270" spans="1:27" ht="15.75" customHeight="1" x14ac:dyDescent="0.2">
      <c r="A270" s="210" t="s">
        <v>501</v>
      </c>
      <c r="B270" s="142"/>
      <c r="C270" s="138"/>
      <c r="D270" s="143"/>
      <c r="E270" s="211"/>
      <c r="F270" s="212">
        <f t="shared" si="15"/>
        <v>0</v>
      </c>
      <c r="G270" s="213" t="str">
        <f t="shared" si="16"/>
        <v/>
      </c>
      <c r="H270" s="209">
        <f t="shared" si="17"/>
        <v>0</v>
      </c>
      <c r="I270" s="75"/>
      <c r="J270" s="75"/>
      <c r="K270" s="75"/>
      <c r="L270" s="204"/>
      <c r="M270" s="204"/>
      <c r="N270" s="204"/>
      <c r="O270" s="204"/>
      <c r="P270" s="204"/>
      <c r="Q270" s="204"/>
      <c r="R270" s="204"/>
      <c r="S270" s="204"/>
      <c r="T270" s="204"/>
      <c r="U270" s="204"/>
      <c r="V270" s="204"/>
      <c r="W270" s="204"/>
      <c r="X270" s="204"/>
      <c r="Y270" s="204"/>
      <c r="Z270" s="204"/>
      <c r="AA270" s="204"/>
    </row>
    <row r="271" spans="1:27" ht="15.75" customHeight="1" x14ac:dyDescent="0.2">
      <c r="A271" s="210" t="s">
        <v>547</v>
      </c>
      <c r="B271" s="142"/>
      <c r="C271" s="138"/>
      <c r="D271" s="143"/>
      <c r="E271" s="211"/>
      <c r="F271" s="212">
        <f t="shared" si="15"/>
        <v>0</v>
      </c>
      <c r="G271" s="213" t="str">
        <f t="shared" si="16"/>
        <v/>
      </c>
      <c r="H271" s="209">
        <f t="shared" si="17"/>
        <v>0</v>
      </c>
      <c r="I271" s="75"/>
      <c r="J271" s="75"/>
      <c r="K271" s="75"/>
      <c r="L271" s="204"/>
      <c r="M271" s="204"/>
      <c r="N271" s="204"/>
      <c r="O271" s="204"/>
      <c r="P271" s="204"/>
      <c r="Q271" s="204"/>
      <c r="R271" s="204"/>
      <c r="S271" s="204"/>
      <c r="T271" s="204"/>
      <c r="U271" s="204"/>
      <c r="V271" s="204"/>
      <c r="W271" s="204"/>
      <c r="X271" s="204"/>
      <c r="Y271" s="204"/>
      <c r="Z271" s="204"/>
      <c r="AA271" s="204"/>
    </row>
    <row r="272" spans="1:27" ht="15.75" customHeight="1" x14ac:dyDescent="0.2">
      <c r="A272" s="210" t="s">
        <v>502</v>
      </c>
      <c r="B272" s="142"/>
      <c r="C272" s="138"/>
      <c r="D272" s="143"/>
      <c r="E272" s="211"/>
      <c r="F272" s="212">
        <f t="shared" si="15"/>
        <v>0</v>
      </c>
      <c r="G272" s="213" t="str">
        <f t="shared" si="16"/>
        <v/>
      </c>
      <c r="H272" s="209">
        <f t="shared" si="17"/>
        <v>0</v>
      </c>
      <c r="I272" s="75"/>
      <c r="J272" s="75"/>
      <c r="K272" s="75"/>
      <c r="L272" s="204"/>
      <c r="M272" s="204"/>
      <c r="N272" s="204"/>
      <c r="O272" s="204"/>
      <c r="P272" s="204"/>
      <c r="Q272" s="204"/>
      <c r="R272" s="204"/>
      <c r="S272" s="204"/>
      <c r="T272" s="204"/>
      <c r="U272" s="204"/>
      <c r="V272" s="204"/>
      <c r="W272" s="204"/>
      <c r="X272" s="204"/>
      <c r="Y272" s="204"/>
      <c r="Z272" s="204"/>
      <c r="AA272" s="204"/>
    </row>
    <row r="273" spans="1:27" ht="15.75" customHeight="1" x14ac:dyDescent="0.2">
      <c r="A273" s="210" t="s">
        <v>503</v>
      </c>
      <c r="B273" s="142"/>
      <c r="C273" s="138"/>
      <c r="D273" s="143"/>
      <c r="E273" s="211"/>
      <c r="F273" s="212">
        <f t="shared" si="15"/>
        <v>0</v>
      </c>
      <c r="G273" s="213" t="str">
        <f t="shared" si="16"/>
        <v/>
      </c>
      <c r="H273" s="209">
        <f t="shared" si="17"/>
        <v>0</v>
      </c>
      <c r="I273" s="75"/>
      <c r="J273" s="75"/>
      <c r="K273" s="75"/>
      <c r="L273" s="204"/>
      <c r="M273" s="204"/>
      <c r="N273" s="204"/>
      <c r="O273" s="204"/>
      <c r="P273" s="204"/>
      <c r="Q273" s="204"/>
      <c r="R273" s="204"/>
      <c r="S273" s="204"/>
      <c r="T273" s="204"/>
      <c r="U273" s="204"/>
      <c r="V273" s="204"/>
      <c r="W273" s="204"/>
      <c r="X273" s="204"/>
      <c r="Y273" s="204"/>
      <c r="Z273" s="204"/>
      <c r="AA273" s="204"/>
    </row>
    <row r="274" spans="1:27" ht="15.75" customHeight="1" x14ac:dyDescent="0.2">
      <c r="A274" s="210" t="s">
        <v>504</v>
      </c>
      <c r="B274" s="142"/>
      <c r="C274" s="138"/>
      <c r="D274" s="143"/>
      <c r="E274" s="211"/>
      <c r="F274" s="212">
        <f t="shared" si="15"/>
        <v>0</v>
      </c>
      <c r="G274" s="213" t="str">
        <f t="shared" si="16"/>
        <v/>
      </c>
      <c r="H274" s="209">
        <f t="shared" si="17"/>
        <v>0</v>
      </c>
      <c r="I274" s="75"/>
      <c r="J274" s="75"/>
      <c r="K274" s="75"/>
      <c r="L274" s="204"/>
      <c r="M274" s="204"/>
      <c r="N274" s="204"/>
      <c r="O274" s="204"/>
      <c r="P274" s="204"/>
      <c r="Q274" s="204"/>
      <c r="R274" s="204"/>
      <c r="S274" s="204"/>
      <c r="T274" s="204"/>
      <c r="U274" s="204"/>
      <c r="V274" s="204"/>
      <c r="W274" s="204"/>
      <c r="X274" s="204"/>
      <c r="Y274" s="204"/>
      <c r="Z274" s="204"/>
      <c r="AA274" s="204"/>
    </row>
    <row r="275" spans="1:27" ht="15.75" customHeight="1" x14ac:dyDescent="0.2">
      <c r="A275" s="210" t="s">
        <v>505</v>
      </c>
      <c r="B275" s="142"/>
      <c r="C275" s="138"/>
      <c r="D275" s="143"/>
      <c r="E275" s="211"/>
      <c r="F275" s="212">
        <f t="shared" si="15"/>
        <v>0</v>
      </c>
      <c r="G275" s="213" t="str">
        <f t="shared" si="16"/>
        <v/>
      </c>
      <c r="H275" s="209">
        <f t="shared" si="17"/>
        <v>0</v>
      </c>
      <c r="I275" s="75"/>
      <c r="J275" s="75"/>
      <c r="K275" s="75"/>
      <c r="L275" s="204"/>
      <c r="M275" s="204"/>
      <c r="N275" s="204"/>
      <c r="O275" s="204"/>
      <c r="P275" s="204"/>
      <c r="Q275" s="204"/>
      <c r="R275" s="204"/>
      <c r="S275" s="204"/>
      <c r="T275" s="204"/>
      <c r="U275" s="204"/>
      <c r="V275" s="204"/>
      <c r="W275" s="204"/>
      <c r="X275" s="204"/>
      <c r="Y275" s="204"/>
      <c r="Z275" s="204"/>
      <c r="AA275" s="204"/>
    </row>
    <row r="276" spans="1:27" ht="15.75" customHeight="1" x14ac:dyDescent="0.2">
      <c r="A276" s="210" t="s">
        <v>506</v>
      </c>
      <c r="B276" s="142"/>
      <c r="C276" s="138"/>
      <c r="D276" s="143"/>
      <c r="E276" s="211"/>
      <c r="F276" s="212">
        <f t="shared" si="15"/>
        <v>0</v>
      </c>
      <c r="G276" s="213" t="str">
        <f t="shared" si="16"/>
        <v/>
      </c>
      <c r="H276" s="209">
        <f t="shared" si="17"/>
        <v>0</v>
      </c>
      <c r="I276" s="75"/>
      <c r="J276" s="75"/>
      <c r="K276" s="75"/>
      <c r="L276" s="204"/>
      <c r="M276" s="204"/>
      <c r="N276" s="204"/>
      <c r="O276" s="204"/>
      <c r="P276" s="204"/>
      <c r="Q276" s="204"/>
      <c r="R276" s="204"/>
      <c r="S276" s="204"/>
      <c r="T276" s="204"/>
      <c r="U276" s="204"/>
      <c r="V276" s="204"/>
      <c r="W276" s="204"/>
      <c r="X276" s="204"/>
      <c r="Y276" s="204"/>
      <c r="Z276" s="204"/>
      <c r="AA276" s="204"/>
    </row>
    <row r="277" spans="1:27" ht="15.75" customHeight="1" x14ac:dyDescent="0.2">
      <c r="A277" s="210" t="s">
        <v>507</v>
      </c>
      <c r="B277" s="142"/>
      <c r="C277" s="138"/>
      <c r="D277" s="143"/>
      <c r="E277" s="211"/>
      <c r="F277" s="212">
        <f t="shared" si="15"/>
        <v>0</v>
      </c>
      <c r="G277" s="213" t="str">
        <f t="shared" si="16"/>
        <v/>
      </c>
      <c r="H277" s="209">
        <f t="shared" si="17"/>
        <v>0</v>
      </c>
      <c r="I277" s="75"/>
      <c r="J277" s="75"/>
      <c r="K277" s="75"/>
      <c r="L277" s="204"/>
      <c r="M277" s="204"/>
      <c r="N277" s="204"/>
      <c r="O277" s="204"/>
      <c r="P277" s="204"/>
      <c r="Q277" s="204"/>
      <c r="R277" s="204"/>
      <c r="S277" s="204"/>
      <c r="T277" s="204"/>
      <c r="U277" s="204"/>
      <c r="V277" s="204"/>
      <c r="W277" s="204"/>
      <c r="X277" s="204"/>
      <c r="Y277" s="204"/>
      <c r="Z277" s="204"/>
      <c r="AA277" s="204"/>
    </row>
    <row r="278" spans="1:27" ht="15.75" customHeight="1" x14ac:dyDescent="0.2">
      <c r="A278" s="210" t="s">
        <v>508</v>
      </c>
      <c r="B278" s="142"/>
      <c r="C278" s="138"/>
      <c r="D278" s="143"/>
      <c r="E278" s="211"/>
      <c r="F278" s="212">
        <f t="shared" si="15"/>
        <v>0</v>
      </c>
      <c r="G278" s="213" t="str">
        <f t="shared" si="16"/>
        <v/>
      </c>
      <c r="H278" s="209">
        <f t="shared" si="17"/>
        <v>0</v>
      </c>
      <c r="I278" s="75"/>
      <c r="J278" s="75"/>
      <c r="K278" s="75"/>
      <c r="L278" s="204"/>
      <c r="M278" s="204"/>
      <c r="N278" s="204"/>
      <c r="O278" s="204"/>
      <c r="P278" s="204"/>
      <c r="Q278" s="204"/>
      <c r="R278" s="204"/>
      <c r="S278" s="204"/>
      <c r="T278" s="204"/>
      <c r="U278" s="204"/>
      <c r="V278" s="204"/>
      <c r="W278" s="204"/>
      <c r="X278" s="204"/>
      <c r="Y278" s="204"/>
      <c r="Z278" s="204"/>
      <c r="AA278" s="204"/>
    </row>
    <row r="279" spans="1:27" ht="15.75" customHeight="1" x14ac:dyDescent="0.2">
      <c r="A279" s="210" t="s">
        <v>509</v>
      </c>
      <c r="B279" s="142"/>
      <c r="C279" s="138"/>
      <c r="D279" s="143"/>
      <c r="E279" s="211"/>
      <c r="F279" s="212">
        <f t="shared" si="15"/>
        <v>0</v>
      </c>
      <c r="G279" s="213" t="str">
        <f t="shared" si="16"/>
        <v/>
      </c>
      <c r="H279" s="209">
        <f t="shared" si="17"/>
        <v>0</v>
      </c>
      <c r="I279" s="75"/>
      <c r="J279" s="75"/>
      <c r="K279" s="75"/>
      <c r="L279" s="204"/>
      <c r="M279" s="204"/>
      <c r="N279" s="204"/>
      <c r="O279" s="204"/>
      <c r="P279" s="204"/>
      <c r="Q279" s="204"/>
      <c r="R279" s="204"/>
      <c r="S279" s="204"/>
      <c r="T279" s="204"/>
      <c r="U279" s="204"/>
      <c r="V279" s="204"/>
      <c r="W279" s="204"/>
      <c r="X279" s="204"/>
      <c r="Y279" s="204"/>
      <c r="Z279" s="204"/>
      <c r="AA279" s="204"/>
    </row>
    <row r="280" spans="1:27" ht="15.75" customHeight="1" x14ac:dyDescent="0.2">
      <c r="A280" s="210" t="s">
        <v>510</v>
      </c>
      <c r="B280" s="142"/>
      <c r="C280" s="138"/>
      <c r="D280" s="143"/>
      <c r="E280" s="211"/>
      <c r="F280" s="212">
        <f t="shared" si="15"/>
        <v>0</v>
      </c>
      <c r="G280" s="213" t="str">
        <f t="shared" si="16"/>
        <v/>
      </c>
      <c r="H280" s="209">
        <f t="shared" si="17"/>
        <v>0</v>
      </c>
      <c r="I280" s="75"/>
      <c r="J280" s="75"/>
      <c r="K280" s="75"/>
      <c r="L280" s="204"/>
      <c r="M280" s="204"/>
      <c r="N280" s="204"/>
      <c r="O280" s="204"/>
      <c r="P280" s="204"/>
      <c r="Q280" s="204"/>
      <c r="R280" s="204"/>
      <c r="S280" s="204"/>
      <c r="T280" s="204"/>
      <c r="U280" s="204"/>
      <c r="V280" s="204"/>
      <c r="W280" s="204"/>
      <c r="X280" s="204"/>
      <c r="Y280" s="204"/>
      <c r="Z280" s="204"/>
      <c r="AA280" s="204"/>
    </row>
    <row r="281" spans="1:27" ht="15.75" customHeight="1" x14ac:dyDescent="0.2">
      <c r="A281" s="210" t="s">
        <v>511</v>
      </c>
      <c r="B281" s="142"/>
      <c r="C281" s="138"/>
      <c r="D281" s="143"/>
      <c r="E281" s="211"/>
      <c r="F281" s="212">
        <f t="shared" ref="F281:F312" si="18">IF(B281&gt;0,1,0)</f>
        <v>0</v>
      </c>
      <c r="G281" s="213" t="str">
        <f t="shared" si="16"/>
        <v/>
      </c>
      <c r="H281" s="209">
        <f t="shared" si="17"/>
        <v>0</v>
      </c>
      <c r="I281" s="75"/>
      <c r="J281" s="75"/>
      <c r="K281" s="75"/>
      <c r="L281" s="204"/>
      <c r="M281" s="204"/>
      <c r="N281" s="204"/>
      <c r="O281" s="204"/>
      <c r="P281" s="204"/>
      <c r="Q281" s="204"/>
      <c r="R281" s="204"/>
      <c r="S281" s="204"/>
      <c r="T281" s="204"/>
      <c r="U281" s="204"/>
      <c r="V281" s="204"/>
      <c r="W281" s="204"/>
      <c r="X281" s="204"/>
      <c r="Y281" s="204"/>
      <c r="Z281" s="204"/>
      <c r="AA281" s="204"/>
    </row>
    <row r="282" spans="1:27" ht="15.75" customHeight="1" x14ac:dyDescent="0.2">
      <c r="A282" s="210" t="s">
        <v>512</v>
      </c>
      <c r="B282" s="142"/>
      <c r="C282" s="138"/>
      <c r="D282" s="143"/>
      <c r="E282" s="211"/>
      <c r="F282" s="212">
        <f t="shared" si="18"/>
        <v>0</v>
      </c>
      <c r="G282" s="213" t="str">
        <f t="shared" si="16"/>
        <v/>
      </c>
      <c r="H282" s="209">
        <f t="shared" si="17"/>
        <v>0</v>
      </c>
      <c r="I282" s="75"/>
      <c r="J282" s="75"/>
      <c r="K282" s="75"/>
      <c r="L282" s="204"/>
      <c r="M282" s="204"/>
      <c r="N282" s="204"/>
      <c r="O282" s="204"/>
      <c r="P282" s="204"/>
      <c r="Q282" s="204"/>
      <c r="R282" s="204"/>
      <c r="S282" s="204"/>
      <c r="T282" s="204"/>
      <c r="U282" s="204"/>
      <c r="V282" s="204"/>
      <c r="W282" s="204"/>
      <c r="X282" s="204"/>
      <c r="Y282" s="204"/>
      <c r="Z282" s="204"/>
      <c r="AA282" s="204"/>
    </row>
    <row r="283" spans="1:27" ht="15.75" customHeight="1" x14ac:dyDescent="0.2">
      <c r="A283" s="210" t="s">
        <v>513</v>
      </c>
      <c r="B283" s="142"/>
      <c r="C283" s="138"/>
      <c r="D283" s="143"/>
      <c r="E283" s="211"/>
      <c r="F283" s="212">
        <f t="shared" si="18"/>
        <v>0</v>
      </c>
      <c r="G283" s="213" t="str">
        <f t="shared" si="16"/>
        <v/>
      </c>
      <c r="H283" s="209">
        <f t="shared" si="17"/>
        <v>0</v>
      </c>
      <c r="I283" s="75"/>
      <c r="J283" s="75"/>
      <c r="K283" s="75"/>
      <c r="L283" s="204"/>
      <c r="M283" s="204"/>
      <c r="N283" s="204"/>
      <c r="O283" s="204"/>
      <c r="P283" s="204"/>
      <c r="Q283" s="204"/>
      <c r="R283" s="204"/>
      <c r="S283" s="204"/>
      <c r="T283" s="204"/>
      <c r="U283" s="204"/>
      <c r="V283" s="204"/>
      <c r="W283" s="204"/>
      <c r="X283" s="204"/>
      <c r="Y283" s="204"/>
      <c r="Z283" s="204"/>
      <c r="AA283" s="204"/>
    </row>
    <row r="284" spans="1:27" ht="15.75" customHeight="1" x14ac:dyDescent="0.2">
      <c r="A284" s="210" t="s">
        <v>514</v>
      </c>
      <c r="B284" s="142"/>
      <c r="C284" s="138"/>
      <c r="D284" s="143"/>
      <c r="E284" s="211"/>
      <c r="F284" s="212">
        <f t="shared" si="18"/>
        <v>0</v>
      </c>
      <c r="G284" s="213" t="str">
        <f t="shared" si="16"/>
        <v/>
      </c>
      <c r="H284" s="209">
        <f t="shared" si="17"/>
        <v>0</v>
      </c>
      <c r="I284" s="75"/>
      <c r="J284" s="75"/>
      <c r="K284" s="75"/>
      <c r="L284" s="204"/>
      <c r="M284" s="204"/>
      <c r="N284" s="204"/>
      <c r="O284" s="204"/>
      <c r="P284" s="204"/>
      <c r="Q284" s="204"/>
      <c r="R284" s="204"/>
      <c r="S284" s="204"/>
      <c r="T284" s="204"/>
      <c r="U284" s="204"/>
      <c r="V284" s="204"/>
      <c r="W284" s="204"/>
      <c r="X284" s="204"/>
      <c r="Y284" s="204"/>
      <c r="Z284" s="204"/>
      <c r="AA284" s="204"/>
    </row>
    <row r="285" spans="1:27" ht="15.75" customHeight="1" x14ac:dyDescent="0.2">
      <c r="A285" s="210" t="s">
        <v>515</v>
      </c>
      <c r="B285" s="142"/>
      <c r="C285" s="138"/>
      <c r="D285" s="143"/>
      <c r="E285" s="211"/>
      <c r="F285" s="212">
        <f t="shared" si="18"/>
        <v>0</v>
      </c>
      <c r="G285" s="213" t="str">
        <f t="shared" si="16"/>
        <v/>
      </c>
      <c r="H285" s="209">
        <f t="shared" si="17"/>
        <v>0</v>
      </c>
      <c r="I285" s="75"/>
      <c r="J285" s="75"/>
      <c r="K285" s="75"/>
      <c r="L285" s="204"/>
      <c r="M285" s="204"/>
      <c r="N285" s="204"/>
      <c r="O285" s="204"/>
      <c r="P285" s="204"/>
      <c r="Q285" s="204"/>
      <c r="R285" s="204"/>
      <c r="S285" s="204"/>
      <c r="T285" s="204"/>
      <c r="U285" s="204"/>
      <c r="V285" s="204"/>
      <c r="W285" s="204"/>
      <c r="X285" s="204"/>
      <c r="Y285" s="204"/>
      <c r="Z285" s="204"/>
      <c r="AA285" s="204"/>
    </row>
    <row r="286" spans="1:27" ht="15.75" customHeight="1" x14ac:dyDescent="0.2">
      <c r="A286" s="210" t="s">
        <v>516</v>
      </c>
      <c r="B286" s="142"/>
      <c r="C286" s="138"/>
      <c r="D286" s="143"/>
      <c r="E286" s="211"/>
      <c r="F286" s="212">
        <f t="shared" si="18"/>
        <v>0</v>
      </c>
      <c r="G286" s="213" t="str">
        <f t="shared" si="16"/>
        <v/>
      </c>
      <c r="H286" s="209">
        <f t="shared" si="17"/>
        <v>0</v>
      </c>
      <c r="I286" s="75"/>
      <c r="J286" s="75"/>
      <c r="K286" s="75"/>
      <c r="L286" s="204"/>
      <c r="M286" s="204"/>
      <c r="N286" s="204"/>
      <c r="O286" s="204"/>
      <c r="P286" s="204"/>
      <c r="Q286" s="204"/>
      <c r="R286" s="204"/>
      <c r="S286" s="204"/>
      <c r="T286" s="204"/>
      <c r="U286" s="204"/>
      <c r="V286" s="204"/>
      <c r="W286" s="204"/>
      <c r="X286" s="204"/>
      <c r="Y286" s="204"/>
      <c r="Z286" s="204"/>
      <c r="AA286" s="204"/>
    </row>
    <row r="287" spans="1:27" ht="15.75" customHeight="1" x14ac:dyDescent="0.2">
      <c r="A287" s="210" t="s">
        <v>517</v>
      </c>
      <c r="B287" s="142"/>
      <c r="C287" s="138"/>
      <c r="D287" s="143"/>
      <c r="E287" s="211"/>
      <c r="F287" s="212">
        <f t="shared" si="18"/>
        <v>0</v>
      </c>
      <c r="G287" s="213" t="str">
        <f t="shared" si="16"/>
        <v/>
      </c>
      <c r="H287" s="209">
        <f t="shared" si="17"/>
        <v>0</v>
      </c>
      <c r="I287" s="75"/>
      <c r="J287" s="75"/>
      <c r="K287" s="75"/>
      <c r="L287" s="204"/>
      <c r="M287" s="204"/>
      <c r="N287" s="204"/>
      <c r="O287" s="204"/>
      <c r="P287" s="204"/>
      <c r="Q287" s="204"/>
      <c r="R287" s="204"/>
      <c r="S287" s="204"/>
      <c r="T287" s="204"/>
      <c r="U287" s="204"/>
      <c r="V287" s="204"/>
      <c r="W287" s="204"/>
      <c r="X287" s="204"/>
      <c r="Y287" s="204"/>
      <c r="Z287" s="204"/>
      <c r="AA287" s="204"/>
    </row>
    <row r="288" spans="1:27" ht="15.75" customHeight="1" x14ac:dyDescent="0.2">
      <c r="A288" s="210" t="s">
        <v>518</v>
      </c>
      <c r="B288" s="142"/>
      <c r="C288" s="138"/>
      <c r="D288" s="143"/>
      <c r="E288" s="211"/>
      <c r="F288" s="212">
        <f t="shared" si="18"/>
        <v>0</v>
      </c>
      <c r="G288" s="213" t="str">
        <f t="shared" si="16"/>
        <v/>
      </c>
      <c r="H288" s="209">
        <f t="shared" si="17"/>
        <v>0</v>
      </c>
      <c r="I288" s="75"/>
      <c r="J288" s="75"/>
      <c r="K288" s="75"/>
      <c r="L288" s="204"/>
      <c r="M288" s="204"/>
      <c r="N288" s="204"/>
      <c r="O288" s="204"/>
      <c r="P288" s="204"/>
      <c r="Q288" s="204"/>
      <c r="R288" s="204"/>
      <c r="S288" s="204"/>
      <c r="T288" s="204"/>
      <c r="U288" s="204"/>
      <c r="V288" s="204"/>
      <c r="W288" s="204"/>
      <c r="X288" s="204"/>
      <c r="Y288" s="204"/>
      <c r="Z288" s="204"/>
      <c r="AA288" s="204"/>
    </row>
    <row r="289" spans="1:27" ht="15.75" customHeight="1" x14ac:dyDescent="0.2">
      <c r="A289" s="210" t="s">
        <v>519</v>
      </c>
      <c r="B289" s="142"/>
      <c r="C289" s="138"/>
      <c r="D289" s="143"/>
      <c r="E289" s="211"/>
      <c r="F289" s="212">
        <f t="shared" si="18"/>
        <v>0</v>
      </c>
      <c r="G289" s="213" t="str">
        <f t="shared" si="16"/>
        <v/>
      </c>
      <c r="H289" s="209">
        <f t="shared" si="17"/>
        <v>0</v>
      </c>
      <c r="I289" s="75"/>
      <c r="J289" s="75"/>
      <c r="K289" s="75"/>
      <c r="L289" s="204"/>
      <c r="M289" s="204"/>
      <c r="N289" s="204"/>
      <c r="O289" s="204"/>
      <c r="P289" s="204"/>
      <c r="Q289" s="204"/>
      <c r="R289" s="204"/>
      <c r="S289" s="204"/>
      <c r="T289" s="204"/>
      <c r="U289" s="204"/>
      <c r="V289" s="204"/>
      <c r="W289" s="204"/>
      <c r="X289" s="204"/>
      <c r="Y289" s="204"/>
      <c r="Z289" s="204"/>
      <c r="AA289" s="204"/>
    </row>
    <row r="290" spans="1:27" ht="15.75" customHeight="1" x14ac:dyDescent="0.2">
      <c r="A290" s="210" t="s">
        <v>520</v>
      </c>
      <c r="B290" s="142"/>
      <c r="C290" s="138"/>
      <c r="D290" s="143"/>
      <c r="E290" s="211"/>
      <c r="F290" s="212">
        <f t="shared" si="18"/>
        <v>0</v>
      </c>
      <c r="G290" s="213" t="str">
        <f t="shared" si="16"/>
        <v/>
      </c>
      <c r="H290" s="209">
        <f t="shared" si="17"/>
        <v>0</v>
      </c>
      <c r="I290" s="75"/>
      <c r="J290" s="75"/>
      <c r="K290" s="75"/>
      <c r="L290" s="204"/>
      <c r="M290" s="204"/>
      <c r="N290" s="204"/>
      <c r="O290" s="204"/>
      <c r="P290" s="204"/>
      <c r="Q290" s="204"/>
      <c r="R290" s="204"/>
      <c r="S290" s="204"/>
      <c r="T290" s="204"/>
      <c r="U290" s="204"/>
      <c r="V290" s="204"/>
      <c r="W290" s="204"/>
      <c r="X290" s="204"/>
      <c r="Y290" s="204"/>
      <c r="Z290" s="204"/>
      <c r="AA290" s="204"/>
    </row>
    <row r="291" spans="1:27" ht="15.75" customHeight="1" x14ac:dyDescent="0.2">
      <c r="A291" s="210" t="s">
        <v>521</v>
      </c>
      <c r="B291" s="142"/>
      <c r="C291" s="138"/>
      <c r="D291" s="143"/>
      <c r="E291" s="211"/>
      <c r="F291" s="212">
        <f t="shared" si="18"/>
        <v>0</v>
      </c>
      <c r="G291" s="213" t="str">
        <f t="shared" si="16"/>
        <v/>
      </c>
      <c r="H291" s="209">
        <f t="shared" si="17"/>
        <v>0</v>
      </c>
      <c r="I291" s="75"/>
      <c r="J291" s="75"/>
      <c r="K291" s="75"/>
      <c r="L291" s="204"/>
      <c r="M291" s="204"/>
      <c r="N291" s="204"/>
      <c r="O291" s="204"/>
      <c r="P291" s="204"/>
      <c r="Q291" s="204"/>
      <c r="R291" s="204"/>
      <c r="S291" s="204"/>
      <c r="T291" s="204"/>
      <c r="U291" s="204"/>
      <c r="V291" s="204"/>
      <c r="W291" s="204"/>
      <c r="X291" s="204"/>
      <c r="Y291" s="204"/>
      <c r="Z291" s="204"/>
      <c r="AA291" s="204"/>
    </row>
    <row r="292" spans="1:27" ht="15.75" customHeight="1" x14ac:dyDescent="0.2">
      <c r="A292" s="210" t="s">
        <v>522</v>
      </c>
      <c r="B292" s="142"/>
      <c r="C292" s="138"/>
      <c r="D292" s="143"/>
      <c r="E292" s="211"/>
      <c r="F292" s="212">
        <f t="shared" si="18"/>
        <v>0</v>
      </c>
      <c r="G292" s="213" t="str">
        <f t="shared" ref="G292:G312" si="19">IF(OR(C292&gt;0,D292&gt;0),"1","")</f>
        <v/>
      </c>
      <c r="H292" s="209">
        <f t="shared" ref="H292:H312" si="20">IF(OR(C292=1,D292=1),1,0)</f>
        <v>0</v>
      </c>
      <c r="I292" s="75"/>
      <c r="J292" s="75"/>
      <c r="K292" s="75"/>
      <c r="L292" s="204"/>
      <c r="M292" s="204"/>
      <c r="N292" s="204"/>
      <c r="O292" s="204"/>
      <c r="P292" s="204"/>
      <c r="Q292" s="204"/>
      <c r="R292" s="204"/>
      <c r="S292" s="204"/>
      <c r="T292" s="204"/>
      <c r="U292" s="204"/>
      <c r="V292" s="204"/>
      <c r="W292" s="204"/>
      <c r="X292" s="204"/>
      <c r="Y292" s="204"/>
      <c r="Z292" s="204"/>
      <c r="AA292" s="204"/>
    </row>
    <row r="293" spans="1:27" ht="15.75" customHeight="1" x14ac:dyDescent="0.2">
      <c r="A293" s="210" t="s">
        <v>523</v>
      </c>
      <c r="B293" s="142"/>
      <c r="C293" s="138"/>
      <c r="D293" s="143"/>
      <c r="E293" s="211"/>
      <c r="F293" s="212">
        <f t="shared" si="18"/>
        <v>0</v>
      </c>
      <c r="G293" s="213" t="str">
        <f t="shared" si="19"/>
        <v/>
      </c>
      <c r="H293" s="209">
        <f t="shared" si="20"/>
        <v>0</v>
      </c>
      <c r="I293" s="75"/>
      <c r="J293" s="75"/>
      <c r="K293" s="75"/>
      <c r="L293" s="204"/>
      <c r="M293" s="204"/>
      <c r="N293" s="204"/>
      <c r="O293" s="204"/>
      <c r="P293" s="204"/>
      <c r="Q293" s="204"/>
      <c r="R293" s="204"/>
      <c r="S293" s="204"/>
      <c r="T293" s="204"/>
      <c r="U293" s="204"/>
      <c r="V293" s="204"/>
      <c r="W293" s="204"/>
      <c r="X293" s="204"/>
      <c r="Y293" s="204"/>
      <c r="Z293" s="204"/>
      <c r="AA293" s="204"/>
    </row>
    <row r="294" spans="1:27" ht="15.75" customHeight="1" x14ac:dyDescent="0.2">
      <c r="A294" s="210" t="s">
        <v>570</v>
      </c>
      <c r="B294" s="142"/>
      <c r="C294" s="138"/>
      <c r="D294" s="143"/>
      <c r="E294" s="211"/>
      <c r="F294" s="212">
        <f t="shared" si="18"/>
        <v>0</v>
      </c>
      <c r="G294" s="213" t="str">
        <f t="shared" si="19"/>
        <v/>
      </c>
      <c r="H294" s="209">
        <f t="shared" si="20"/>
        <v>0</v>
      </c>
      <c r="I294" s="75"/>
      <c r="J294" s="75"/>
      <c r="K294" s="75"/>
      <c r="L294" s="204"/>
      <c r="M294" s="204"/>
      <c r="N294" s="204"/>
      <c r="O294" s="204"/>
      <c r="P294" s="204"/>
      <c r="Q294" s="204"/>
      <c r="R294" s="204"/>
      <c r="S294" s="204"/>
      <c r="T294" s="204"/>
      <c r="U294" s="204"/>
      <c r="V294" s="204"/>
      <c r="W294" s="204"/>
      <c r="X294" s="204"/>
      <c r="Y294" s="204"/>
      <c r="Z294" s="204"/>
      <c r="AA294" s="204"/>
    </row>
    <row r="295" spans="1:27" ht="15.75" customHeight="1" x14ac:dyDescent="0.2">
      <c r="A295" s="210" t="s">
        <v>524</v>
      </c>
      <c r="B295" s="142"/>
      <c r="C295" s="138"/>
      <c r="D295" s="143"/>
      <c r="E295" s="211"/>
      <c r="F295" s="212">
        <f t="shared" si="18"/>
        <v>0</v>
      </c>
      <c r="G295" s="213" t="str">
        <f t="shared" si="19"/>
        <v/>
      </c>
      <c r="H295" s="209">
        <f t="shared" si="20"/>
        <v>0</v>
      </c>
      <c r="I295" s="75"/>
      <c r="J295" s="75"/>
      <c r="K295" s="75"/>
      <c r="L295" s="204"/>
      <c r="M295" s="204"/>
      <c r="N295" s="204"/>
      <c r="O295" s="204"/>
      <c r="P295" s="204"/>
      <c r="Q295" s="204"/>
      <c r="R295" s="204"/>
      <c r="S295" s="204"/>
      <c r="T295" s="204"/>
      <c r="U295" s="204"/>
      <c r="V295" s="204"/>
      <c r="W295" s="204"/>
      <c r="X295" s="204"/>
      <c r="Y295" s="204"/>
      <c r="Z295" s="204"/>
      <c r="AA295" s="204"/>
    </row>
    <row r="296" spans="1:27" ht="15.75" customHeight="1" x14ac:dyDescent="0.2">
      <c r="A296" s="210" t="s">
        <v>525</v>
      </c>
      <c r="B296" s="142"/>
      <c r="C296" s="138"/>
      <c r="D296" s="143"/>
      <c r="E296" s="211"/>
      <c r="F296" s="212">
        <f t="shared" si="18"/>
        <v>0</v>
      </c>
      <c r="G296" s="213" t="str">
        <f t="shared" si="19"/>
        <v/>
      </c>
      <c r="H296" s="209">
        <f t="shared" si="20"/>
        <v>0</v>
      </c>
      <c r="I296" s="75"/>
      <c r="J296" s="75"/>
      <c r="K296" s="75"/>
      <c r="L296" s="204"/>
      <c r="M296" s="204"/>
      <c r="N296" s="204"/>
      <c r="O296" s="204"/>
      <c r="P296" s="204"/>
      <c r="Q296" s="204"/>
      <c r="R296" s="204"/>
      <c r="S296" s="204"/>
      <c r="T296" s="204"/>
      <c r="U296" s="204"/>
      <c r="V296" s="204"/>
      <c r="W296" s="204"/>
      <c r="X296" s="204"/>
      <c r="Y296" s="204"/>
      <c r="Z296" s="204"/>
      <c r="AA296" s="204"/>
    </row>
    <row r="297" spans="1:27" ht="15.75" customHeight="1" x14ac:dyDescent="0.2">
      <c r="A297" s="210" t="s">
        <v>526</v>
      </c>
      <c r="B297" s="142"/>
      <c r="C297" s="138"/>
      <c r="D297" s="143"/>
      <c r="E297" s="211"/>
      <c r="F297" s="212">
        <f t="shared" si="18"/>
        <v>0</v>
      </c>
      <c r="G297" s="213" t="str">
        <f t="shared" si="19"/>
        <v/>
      </c>
      <c r="H297" s="209">
        <f t="shared" si="20"/>
        <v>0</v>
      </c>
      <c r="I297" s="75"/>
      <c r="J297" s="75"/>
      <c r="K297" s="75"/>
      <c r="L297" s="204"/>
      <c r="M297" s="204"/>
      <c r="N297" s="204"/>
      <c r="O297" s="204"/>
      <c r="P297" s="204"/>
      <c r="Q297" s="204"/>
      <c r="R297" s="204"/>
      <c r="S297" s="204"/>
      <c r="T297" s="204"/>
      <c r="U297" s="204"/>
      <c r="V297" s="204"/>
      <c r="W297" s="204"/>
      <c r="X297" s="204"/>
      <c r="Y297" s="204"/>
      <c r="Z297" s="204"/>
      <c r="AA297" s="204"/>
    </row>
    <row r="298" spans="1:27" ht="15.75" customHeight="1" x14ac:dyDescent="0.2">
      <c r="A298" s="210" t="s">
        <v>527</v>
      </c>
      <c r="B298" s="142"/>
      <c r="C298" s="138"/>
      <c r="D298" s="143"/>
      <c r="E298" s="211"/>
      <c r="F298" s="212">
        <f t="shared" si="18"/>
        <v>0</v>
      </c>
      <c r="G298" s="213" t="str">
        <f t="shared" si="19"/>
        <v/>
      </c>
      <c r="H298" s="209">
        <f t="shared" si="20"/>
        <v>0</v>
      </c>
      <c r="I298" s="75"/>
      <c r="J298" s="75"/>
      <c r="K298" s="75"/>
      <c r="L298" s="204"/>
      <c r="M298" s="204"/>
      <c r="N298" s="204"/>
      <c r="O298" s="204"/>
      <c r="P298" s="204"/>
      <c r="Q298" s="204"/>
      <c r="R298" s="204"/>
      <c r="S298" s="204"/>
      <c r="T298" s="204"/>
      <c r="U298" s="204"/>
      <c r="V298" s="204"/>
      <c r="W298" s="204"/>
      <c r="X298" s="204"/>
      <c r="Y298" s="204"/>
      <c r="Z298" s="204"/>
      <c r="AA298" s="204"/>
    </row>
    <row r="299" spans="1:27" ht="15.75" customHeight="1" x14ac:dyDescent="0.2">
      <c r="A299" s="210" t="s">
        <v>528</v>
      </c>
      <c r="B299" s="142"/>
      <c r="C299" s="138"/>
      <c r="D299" s="143"/>
      <c r="E299" s="211"/>
      <c r="F299" s="212">
        <f t="shared" si="18"/>
        <v>0</v>
      </c>
      <c r="G299" s="213" t="str">
        <f t="shared" si="19"/>
        <v/>
      </c>
      <c r="H299" s="209">
        <f t="shared" si="20"/>
        <v>0</v>
      </c>
      <c r="I299" s="75"/>
      <c r="J299" s="75"/>
      <c r="K299" s="75"/>
      <c r="L299" s="204"/>
      <c r="M299" s="204"/>
      <c r="N299" s="204"/>
      <c r="O299" s="204"/>
      <c r="P299" s="204"/>
      <c r="Q299" s="204"/>
      <c r="R299" s="204"/>
      <c r="S299" s="204"/>
      <c r="T299" s="204"/>
      <c r="U299" s="204"/>
      <c r="V299" s="204"/>
      <c r="W299" s="204"/>
      <c r="X299" s="204"/>
      <c r="Y299" s="204"/>
      <c r="Z299" s="204"/>
      <c r="AA299" s="204"/>
    </row>
    <row r="300" spans="1:27" ht="15.75" customHeight="1" x14ac:dyDescent="0.2">
      <c r="A300" s="210" t="s">
        <v>529</v>
      </c>
      <c r="B300" s="142"/>
      <c r="C300" s="138"/>
      <c r="D300" s="143"/>
      <c r="E300" s="211"/>
      <c r="F300" s="212">
        <f t="shared" si="18"/>
        <v>0</v>
      </c>
      <c r="G300" s="213" t="str">
        <f t="shared" si="19"/>
        <v/>
      </c>
      <c r="H300" s="209">
        <f t="shared" si="20"/>
        <v>0</v>
      </c>
      <c r="I300" s="75"/>
      <c r="J300" s="75"/>
      <c r="K300" s="75"/>
      <c r="L300" s="204"/>
      <c r="M300" s="204"/>
      <c r="N300" s="204"/>
      <c r="O300" s="204"/>
      <c r="P300" s="204"/>
      <c r="Q300" s="204"/>
      <c r="R300" s="204"/>
      <c r="S300" s="204"/>
      <c r="T300" s="204"/>
      <c r="U300" s="204"/>
      <c r="V300" s="204"/>
      <c r="W300" s="204"/>
      <c r="X300" s="204"/>
      <c r="Y300" s="204"/>
      <c r="Z300" s="204"/>
      <c r="AA300" s="204"/>
    </row>
    <row r="301" spans="1:27" ht="15.75" customHeight="1" x14ac:dyDescent="0.2">
      <c r="A301" s="210" t="s">
        <v>530</v>
      </c>
      <c r="B301" s="142"/>
      <c r="C301" s="138"/>
      <c r="D301" s="143"/>
      <c r="E301" s="211"/>
      <c r="F301" s="212">
        <f t="shared" si="18"/>
        <v>0</v>
      </c>
      <c r="G301" s="213" t="str">
        <f t="shared" si="19"/>
        <v/>
      </c>
      <c r="H301" s="209">
        <f t="shared" si="20"/>
        <v>0</v>
      </c>
      <c r="I301" s="75"/>
      <c r="J301" s="75"/>
      <c r="K301" s="75"/>
      <c r="L301" s="204"/>
      <c r="M301" s="204"/>
      <c r="N301" s="204"/>
      <c r="O301" s="204"/>
      <c r="P301" s="204"/>
      <c r="Q301" s="204"/>
      <c r="R301" s="204"/>
      <c r="S301" s="204"/>
      <c r="T301" s="204"/>
      <c r="U301" s="204"/>
      <c r="V301" s="204"/>
      <c r="W301" s="204"/>
      <c r="X301" s="204"/>
      <c r="Y301" s="204"/>
      <c r="Z301" s="204"/>
      <c r="AA301" s="204"/>
    </row>
    <row r="302" spans="1:27" ht="15.75" customHeight="1" x14ac:dyDescent="0.2">
      <c r="A302" s="210" t="s">
        <v>531</v>
      </c>
      <c r="B302" s="142"/>
      <c r="C302" s="138"/>
      <c r="D302" s="143"/>
      <c r="E302" s="211"/>
      <c r="F302" s="212">
        <f t="shared" si="18"/>
        <v>0</v>
      </c>
      <c r="G302" s="213" t="str">
        <f t="shared" si="19"/>
        <v/>
      </c>
      <c r="H302" s="209">
        <f t="shared" si="20"/>
        <v>0</v>
      </c>
      <c r="I302" s="75"/>
      <c r="J302" s="75"/>
      <c r="K302" s="75"/>
      <c r="L302" s="204"/>
      <c r="M302" s="204"/>
      <c r="N302" s="204"/>
      <c r="O302" s="204"/>
      <c r="P302" s="204"/>
      <c r="Q302" s="204"/>
      <c r="R302" s="204"/>
      <c r="S302" s="204"/>
      <c r="T302" s="204"/>
      <c r="U302" s="204"/>
      <c r="V302" s="204"/>
      <c r="W302" s="204"/>
      <c r="X302" s="204"/>
      <c r="Y302" s="204"/>
      <c r="Z302" s="204"/>
      <c r="AA302" s="204"/>
    </row>
    <row r="303" spans="1:27" ht="15.75" customHeight="1" x14ac:dyDescent="0.2">
      <c r="A303" s="210" t="s">
        <v>532</v>
      </c>
      <c r="B303" s="142"/>
      <c r="C303" s="138"/>
      <c r="D303" s="143"/>
      <c r="E303" s="211"/>
      <c r="F303" s="212">
        <f t="shared" si="18"/>
        <v>0</v>
      </c>
      <c r="G303" s="213" t="str">
        <f t="shared" si="19"/>
        <v/>
      </c>
      <c r="H303" s="209">
        <f t="shared" si="20"/>
        <v>0</v>
      </c>
      <c r="I303" s="75"/>
      <c r="J303" s="75"/>
      <c r="K303" s="75"/>
      <c r="L303" s="204"/>
      <c r="M303" s="204"/>
      <c r="N303" s="204"/>
      <c r="O303" s="204"/>
      <c r="P303" s="204"/>
      <c r="Q303" s="204"/>
      <c r="R303" s="204"/>
      <c r="S303" s="204"/>
      <c r="T303" s="204"/>
      <c r="U303" s="204"/>
      <c r="V303" s="204"/>
      <c r="W303" s="204"/>
      <c r="X303" s="204"/>
      <c r="Y303" s="204"/>
      <c r="Z303" s="204"/>
      <c r="AA303" s="204"/>
    </row>
    <row r="304" spans="1:27" ht="15.75" customHeight="1" x14ac:dyDescent="0.2">
      <c r="A304" s="210" t="s">
        <v>533</v>
      </c>
      <c r="B304" s="142"/>
      <c r="C304" s="138"/>
      <c r="D304" s="143"/>
      <c r="E304" s="211"/>
      <c r="F304" s="212">
        <f t="shared" si="18"/>
        <v>0</v>
      </c>
      <c r="G304" s="213" t="str">
        <f t="shared" si="19"/>
        <v/>
      </c>
      <c r="H304" s="209">
        <f t="shared" si="20"/>
        <v>0</v>
      </c>
      <c r="I304" s="75"/>
      <c r="J304" s="75"/>
      <c r="K304" s="75"/>
      <c r="L304" s="204"/>
      <c r="M304" s="204"/>
      <c r="N304" s="204"/>
      <c r="O304" s="204"/>
      <c r="P304" s="204"/>
      <c r="Q304" s="204"/>
      <c r="R304" s="204"/>
      <c r="S304" s="204"/>
      <c r="T304" s="204"/>
      <c r="U304" s="204"/>
      <c r="V304" s="204"/>
      <c r="W304" s="204"/>
      <c r="X304" s="204"/>
      <c r="Y304" s="204"/>
      <c r="Z304" s="204"/>
      <c r="AA304" s="204"/>
    </row>
    <row r="305" spans="1:27" ht="15.75" customHeight="1" x14ac:dyDescent="0.2">
      <c r="A305" s="210" t="s">
        <v>534</v>
      </c>
      <c r="B305" s="142"/>
      <c r="C305" s="138"/>
      <c r="D305" s="143"/>
      <c r="E305" s="211"/>
      <c r="F305" s="212">
        <f t="shared" si="18"/>
        <v>0</v>
      </c>
      <c r="G305" s="213" t="str">
        <f t="shared" si="19"/>
        <v/>
      </c>
      <c r="H305" s="209">
        <f t="shared" si="20"/>
        <v>0</v>
      </c>
      <c r="I305" s="75"/>
      <c r="J305" s="75"/>
      <c r="K305" s="75"/>
      <c r="L305" s="204"/>
      <c r="M305" s="204"/>
      <c r="N305" s="204"/>
      <c r="O305" s="204"/>
      <c r="P305" s="204"/>
      <c r="Q305" s="204"/>
      <c r="R305" s="204"/>
      <c r="S305" s="204"/>
      <c r="T305" s="204"/>
      <c r="U305" s="204"/>
      <c r="V305" s="204"/>
      <c r="W305" s="204"/>
      <c r="X305" s="204"/>
      <c r="Y305" s="204"/>
      <c r="Z305" s="204"/>
      <c r="AA305" s="204"/>
    </row>
    <row r="306" spans="1:27" ht="15.75" customHeight="1" x14ac:dyDescent="0.2">
      <c r="A306" s="210" t="s">
        <v>535</v>
      </c>
      <c r="B306" s="142"/>
      <c r="C306" s="138"/>
      <c r="D306" s="143"/>
      <c r="E306" s="211"/>
      <c r="F306" s="212">
        <f t="shared" si="18"/>
        <v>0</v>
      </c>
      <c r="G306" s="213" t="str">
        <f t="shared" si="19"/>
        <v/>
      </c>
      <c r="H306" s="209">
        <f t="shared" si="20"/>
        <v>0</v>
      </c>
      <c r="I306" s="75"/>
      <c r="J306" s="75"/>
      <c r="K306" s="75"/>
      <c r="L306" s="204"/>
      <c r="M306" s="204"/>
      <c r="N306" s="204"/>
      <c r="O306" s="204"/>
      <c r="P306" s="204"/>
      <c r="Q306" s="204"/>
      <c r="R306" s="204"/>
      <c r="S306" s="204"/>
      <c r="T306" s="204"/>
      <c r="U306" s="204"/>
      <c r="V306" s="204"/>
      <c r="W306" s="204"/>
      <c r="X306" s="204"/>
      <c r="Y306" s="204"/>
      <c r="Z306" s="204"/>
      <c r="AA306" s="204"/>
    </row>
    <row r="307" spans="1:27" ht="15.75" customHeight="1" x14ac:dyDescent="0.2">
      <c r="A307" s="210" t="s">
        <v>536</v>
      </c>
      <c r="B307" s="142"/>
      <c r="C307" s="138"/>
      <c r="D307" s="143"/>
      <c r="E307" s="211"/>
      <c r="F307" s="212">
        <f t="shared" si="18"/>
        <v>0</v>
      </c>
      <c r="G307" s="213" t="str">
        <f t="shared" si="19"/>
        <v/>
      </c>
      <c r="H307" s="209">
        <f t="shared" si="20"/>
        <v>0</v>
      </c>
      <c r="I307" s="75"/>
      <c r="J307" s="75"/>
      <c r="K307" s="75"/>
      <c r="L307" s="204"/>
      <c r="M307" s="204"/>
      <c r="N307" s="204"/>
      <c r="O307" s="204"/>
      <c r="P307" s="204"/>
      <c r="Q307" s="204"/>
      <c r="R307" s="204"/>
      <c r="S307" s="204"/>
      <c r="T307" s="204"/>
      <c r="U307" s="204"/>
      <c r="V307" s="204"/>
      <c r="W307" s="204"/>
      <c r="X307" s="204"/>
      <c r="Y307" s="204"/>
      <c r="Z307" s="204"/>
      <c r="AA307" s="204"/>
    </row>
    <row r="308" spans="1:27" ht="15.75" customHeight="1" x14ac:dyDescent="0.2">
      <c r="A308" s="210" t="s">
        <v>537</v>
      </c>
      <c r="B308" s="142"/>
      <c r="C308" s="138"/>
      <c r="D308" s="143"/>
      <c r="E308" s="211"/>
      <c r="F308" s="212">
        <f t="shared" si="18"/>
        <v>0</v>
      </c>
      <c r="G308" s="213" t="str">
        <f t="shared" si="19"/>
        <v/>
      </c>
      <c r="H308" s="209">
        <f t="shared" si="20"/>
        <v>0</v>
      </c>
      <c r="I308" s="75"/>
      <c r="J308" s="75"/>
      <c r="K308" s="75"/>
      <c r="L308" s="204"/>
      <c r="M308" s="204"/>
      <c r="N308" s="204"/>
      <c r="O308" s="204"/>
      <c r="P308" s="204"/>
      <c r="Q308" s="204"/>
      <c r="R308" s="204"/>
      <c r="S308" s="204"/>
      <c r="T308" s="204"/>
      <c r="U308" s="204"/>
      <c r="V308" s="204"/>
      <c r="W308" s="204"/>
      <c r="X308" s="204"/>
      <c r="Y308" s="204"/>
      <c r="Z308" s="204"/>
      <c r="AA308" s="204"/>
    </row>
    <row r="309" spans="1:27" ht="15.75" customHeight="1" x14ac:dyDescent="0.2">
      <c r="A309" s="210" t="s">
        <v>538</v>
      </c>
      <c r="B309" s="142"/>
      <c r="C309" s="138"/>
      <c r="D309" s="143"/>
      <c r="E309" s="211"/>
      <c r="F309" s="212">
        <f t="shared" si="18"/>
        <v>0</v>
      </c>
      <c r="G309" s="213" t="str">
        <f t="shared" si="19"/>
        <v/>
      </c>
      <c r="H309" s="209">
        <f t="shared" si="20"/>
        <v>0</v>
      </c>
      <c r="I309" s="75"/>
      <c r="J309" s="75"/>
      <c r="K309" s="75"/>
      <c r="L309" s="204"/>
      <c r="M309" s="204"/>
      <c r="N309" s="204"/>
      <c r="O309" s="204"/>
      <c r="P309" s="204"/>
      <c r="Q309" s="204"/>
      <c r="R309" s="204"/>
      <c r="S309" s="204"/>
      <c r="T309" s="204"/>
      <c r="U309" s="204"/>
      <c r="V309" s="204"/>
      <c r="W309" s="204"/>
      <c r="X309" s="204"/>
      <c r="Y309" s="204"/>
      <c r="Z309" s="204"/>
      <c r="AA309" s="204"/>
    </row>
    <row r="310" spans="1:27" ht="15.75" customHeight="1" x14ac:dyDescent="0.2">
      <c r="A310" s="210" t="s">
        <v>539</v>
      </c>
      <c r="B310" s="142"/>
      <c r="C310" s="138"/>
      <c r="D310" s="143"/>
      <c r="E310" s="211"/>
      <c r="F310" s="212">
        <f t="shared" si="18"/>
        <v>0</v>
      </c>
      <c r="G310" s="213" t="str">
        <f t="shared" si="19"/>
        <v/>
      </c>
      <c r="H310" s="209">
        <f t="shared" si="20"/>
        <v>0</v>
      </c>
      <c r="I310" s="75"/>
      <c r="J310" s="75"/>
      <c r="K310" s="75"/>
      <c r="L310" s="204"/>
      <c r="M310" s="204"/>
      <c r="N310" s="204"/>
      <c r="O310" s="204"/>
      <c r="P310" s="204"/>
      <c r="Q310" s="204"/>
      <c r="R310" s="204"/>
      <c r="S310" s="204"/>
      <c r="T310" s="204"/>
      <c r="U310" s="204"/>
      <c r="V310" s="204"/>
      <c r="W310" s="204"/>
      <c r="X310" s="204"/>
      <c r="Y310" s="204"/>
      <c r="Z310" s="204"/>
      <c r="AA310" s="204"/>
    </row>
    <row r="311" spans="1:27" ht="15.75" customHeight="1" x14ac:dyDescent="0.2">
      <c r="A311" s="210" t="s">
        <v>540</v>
      </c>
      <c r="B311" s="142"/>
      <c r="C311" s="138"/>
      <c r="D311" s="143"/>
      <c r="E311" s="211"/>
      <c r="F311" s="212">
        <f t="shared" si="18"/>
        <v>0</v>
      </c>
      <c r="G311" s="213" t="str">
        <f t="shared" si="19"/>
        <v/>
      </c>
      <c r="H311" s="209">
        <f t="shared" si="20"/>
        <v>0</v>
      </c>
      <c r="I311" s="75"/>
      <c r="J311" s="75"/>
      <c r="K311" s="75"/>
      <c r="L311" s="204"/>
      <c r="M311" s="204"/>
      <c r="N311" s="204"/>
      <c r="O311" s="204"/>
      <c r="P311" s="204"/>
      <c r="Q311" s="204"/>
      <c r="R311" s="204"/>
      <c r="S311" s="204"/>
      <c r="T311" s="204"/>
      <c r="U311" s="204"/>
      <c r="V311" s="204"/>
      <c r="W311" s="204"/>
      <c r="X311" s="204"/>
      <c r="Y311" s="204"/>
      <c r="Z311" s="204"/>
      <c r="AA311" s="204"/>
    </row>
    <row r="312" spans="1:27" ht="15.75" customHeight="1" thickBot="1" x14ac:dyDescent="0.25">
      <c r="A312" s="210" t="s">
        <v>557</v>
      </c>
      <c r="B312" s="144"/>
      <c r="C312" s="145"/>
      <c r="D312" s="146"/>
      <c r="E312" s="211"/>
      <c r="F312" s="219">
        <f t="shared" si="18"/>
        <v>0</v>
      </c>
      <c r="G312" s="220" t="str">
        <f t="shared" si="19"/>
        <v/>
      </c>
      <c r="H312" s="209">
        <f t="shared" si="20"/>
        <v>0</v>
      </c>
      <c r="I312" s="75"/>
      <c r="J312" s="75"/>
      <c r="K312" s="75"/>
      <c r="L312" s="204"/>
      <c r="M312" s="204"/>
      <c r="N312" s="204"/>
      <c r="O312" s="204"/>
      <c r="P312" s="204"/>
      <c r="Q312" s="204"/>
      <c r="R312" s="204"/>
      <c r="S312" s="204"/>
      <c r="T312" s="204"/>
      <c r="U312" s="204"/>
      <c r="V312" s="204"/>
      <c r="W312" s="204"/>
      <c r="X312" s="204"/>
      <c r="Y312" s="204"/>
      <c r="Z312" s="204"/>
      <c r="AA312" s="204"/>
    </row>
    <row r="313" spans="1:27" ht="15.75" customHeight="1" x14ac:dyDescent="0.2">
      <c r="A313" s="221" t="s">
        <v>971</v>
      </c>
      <c r="B313" s="221"/>
      <c r="C313" s="221"/>
      <c r="D313" s="221"/>
      <c r="E313" s="222"/>
      <c r="F313" s="221"/>
      <c r="G313" s="221"/>
      <c r="H313" s="223">
        <f>SUM(H7:H312)</f>
        <v>0</v>
      </c>
      <c r="I313" s="224"/>
      <c r="J313" s="224"/>
      <c r="K313" s="224"/>
      <c r="L313" s="204"/>
      <c r="M313" s="204"/>
      <c r="N313" s="204"/>
      <c r="O313" s="204"/>
      <c r="P313" s="204"/>
      <c r="Q313" s="204"/>
      <c r="R313" s="204"/>
      <c r="S313" s="204"/>
      <c r="T313" s="204"/>
      <c r="U313" s="204"/>
      <c r="V313" s="204"/>
      <c r="W313" s="204"/>
      <c r="X313" s="204"/>
      <c r="Y313" s="204"/>
      <c r="Z313" s="204"/>
      <c r="AA313" s="204"/>
    </row>
    <row r="314" spans="1:27" ht="15.75" customHeight="1" x14ac:dyDescent="0.2">
      <c r="A314" s="225"/>
      <c r="B314" s="225"/>
      <c r="C314" s="225"/>
      <c r="D314" s="225"/>
      <c r="E314" s="225"/>
      <c r="F314" s="225"/>
      <c r="G314" s="225"/>
      <c r="H314" s="204"/>
      <c r="I314" s="224"/>
      <c r="J314" s="224"/>
      <c r="K314" s="224"/>
      <c r="L314" s="204"/>
      <c r="M314" s="204"/>
      <c r="N314" s="204"/>
      <c r="O314" s="204"/>
      <c r="P314" s="204"/>
      <c r="Q314" s="204"/>
      <c r="R314" s="204"/>
      <c r="S314" s="204"/>
      <c r="T314" s="204"/>
      <c r="U314" s="204"/>
      <c r="V314" s="204"/>
      <c r="W314" s="204"/>
      <c r="X314" s="204"/>
      <c r="Y314" s="204"/>
      <c r="Z314" s="204"/>
      <c r="AA314" s="204"/>
    </row>
    <row r="315" spans="1:27" ht="15.75" customHeight="1" x14ac:dyDescent="0.2">
      <c r="A315" s="225"/>
      <c r="B315" s="225"/>
      <c r="C315" s="225"/>
      <c r="D315" s="225"/>
      <c r="E315" s="225"/>
      <c r="F315" s="225"/>
      <c r="G315" s="225"/>
      <c r="H315" s="204"/>
      <c r="I315" s="224"/>
      <c r="J315" s="224"/>
      <c r="K315" s="224"/>
      <c r="L315" s="204"/>
      <c r="M315" s="204"/>
      <c r="N315" s="204"/>
      <c r="O315" s="204"/>
      <c r="P315" s="204"/>
      <c r="Q315" s="204"/>
      <c r="R315" s="204"/>
      <c r="S315" s="204"/>
      <c r="T315" s="204"/>
      <c r="U315" s="204"/>
      <c r="V315" s="204"/>
      <c r="W315" s="204"/>
      <c r="X315" s="204"/>
      <c r="Y315" s="204"/>
      <c r="Z315" s="204"/>
      <c r="AA315" s="204"/>
    </row>
    <row r="316" spans="1:27" ht="15.75" customHeight="1" x14ac:dyDescent="0.2">
      <c r="A316" s="225"/>
      <c r="B316" s="225"/>
      <c r="C316" s="225"/>
      <c r="D316" s="225"/>
      <c r="E316" s="225"/>
      <c r="F316" s="225"/>
      <c r="G316" s="225"/>
      <c r="H316" s="204"/>
      <c r="I316" s="224"/>
      <c r="J316" s="224"/>
      <c r="K316" s="224"/>
      <c r="L316" s="204"/>
      <c r="M316" s="204"/>
      <c r="N316" s="204"/>
      <c r="O316" s="204"/>
      <c r="P316" s="204"/>
      <c r="Q316" s="204"/>
      <c r="R316" s="204"/>
      <c r="S316" s="204"/>
      <c r="T316" s="204"/>
      <c r="U316" s="204"/>
      <c r="V316" s="204"/>
      <c r="W316" s="204"/>
      <c r="X316" s="204"/>
      <c r="Y316" s="204"/>
      <c r="Z316" s="204"/>
      <c r="AA316" s="204"/>
    </row>
    <row r="317" spans="1:27" ht="15.75" customHeight="1" x14ac:dyDescent="0.2">
      <c r="A317" s="225"/>
      <c r="B317" s="225"/>
      <c r="C317" s="225"/>
      <c r="D317" s="225"/>
      <c r="E317" s="225"/>
      <c r="F317" s="225"/>
      <c r="G317" s="225"/>
      <c r="H317" s="204"/>
      <c r="I317" s="224"/>
      <c r="J317" s="224"/>
      <c r="K317" s="224"/>
      <c r="L317" s="204"/>
      <c r="M317" s="204"/>
      <c r="N317" s="204"/>
      <c r="O317" s="204"/>
      <c r="P317" s="204"/>
      <c r="Q317" s="204"/>
      <c r="R317" s="204"/>
      <c r="S317" s="204"/>
      <c r="T317" s="204"/>
      <c r="U317" s="204"/>
      <c r="V317" s="204"/>
      <c r="W317" s="204"/>
      <c r="X317" s="204"/>
      <c r="Y317" s="204"/>
      <c r="Z317" s="204"/>
      <c r="AA317" s="204"/>
    </row>
    <row r="318" spans="1:27" ht="15.75" customHeight="1" x14ac:dyDescent="0.2">
      <c r="A318" s="225"/>
      <c r="B318" s="225"/>
      <c r="C318" s="225"/>
      <c r="D318" s="225"/>
      <c r="E318" s="225"/>
      <c r="F318" s="225"/>
      <c r="G318" s="225"/>
      <c r="H318" s="204"/>
      <c r="I318" s="224"/>
      <c r="J318" s="224"/>
      <c r="K318" s="224"/>
      <c r="L318" s="204"/>
      <c r="M318" s="204"/>
      <c r="N318" s="204"/>
      <c r="O318" s="204"/>
      <c r="P318" s="204"/>
      <c r="Q318" s="204"/>
      <c r="R318" s="204"/>
      <c r="S318" s="204"/>
      <c r="T318" s="204"/>
      <c r="U318" s="204"/>
      <c r="V318" s="204"/>
      <c r="W318" s="204"/>
      <c r="X318" s="204"/>
      <c r="Y318" s="204"/>
      <c r="Z318" s="204"/>
      <c r="AA318" s="204"/>
    </row>
    <row r="319" spans="1:27" ht="15.75" customHeight="1" x14ac:dyDescent="0.2">
      <c r="A319" s="225"/>
      <c r="B319" s="225"/>
      <c r="C319" s="225"/>
      <c r="D319" s="225"/>
      <c r="E319" s="225"/>
      <c r="F319" s="225"/>
      <c r="G319" s="225"/>
      <c r="H319" s="204"/>
      <c r="I319" s="224"/>
      <c r="J319" s="224"/>
      <c r="K319" s="224"/>
      <c r="L319" s="204"/>
      <c r="M319" s="204"/>
      <c r="N319" s="204"/>
      <c r="O319" s="204"/>
      <c r="P319" s="204"/>
      <c r="Q319" s="204"/>
      <c r="R319" s="204"/>
      <c r="S319" s="204"/>
      <c r="T319" s="204"/>
      <c r="U319" s="204"/>
      <c r="V319" s="204"/>
      <c r="W319" s="204"/>
      <c r="X319" s="204"/>
      <c r="Y319" s="204"/>
      <c r="Z319" s="204"/>
      <c r="AA319" s="204"/>
    </row>
    <row r="320" spans="1:27" ht="15.75" customHeight="1" x14ac:dyDescent="0.2">
      <c r="A320" s="225"/>
      <c r="B320" s="225"/>
      <c r="C320" s="225"/>
      <c r="D320" s="225"/>
      <c r="E320" s="225"/>
      <c r="F320" s="225"/>
      <c r="G320" s="225"/>
      <c r="H320" s="204"/>
      <c r="I320" s="224"/>
      <c r="J320" s="224"/>
      <c r="K320" s="224"/>
      <c r="L320" s="204"/>
      <c r="M320" s="204"/>
      <c r="N320" s="204"/>
      <c r="O320" s="204"/>
      <c r="P320" s="204"/>
      <c r="Q320" s="204"/>
      <c r="R320" s="204"/>
      <c r="S320" s="204"/>
      <c r="T320" s="204"/>
      <c r="U320" s="204"/>
      <c r="V320" s="204"/>
      <c r="W320" s="204"/>
      <c r="X320" s="204"/>
      <c r="Y320" s="204"/>
      <c r="Z320" s="204"/>
      <c r="AA320" s="204"/>
    </row>
    <row r="321" spans="1:27" ht="15.75" customHeight="1" x14ac:dyDescent="0.2">
      <c r="A321" s="225"/>
      <c r="B321" s="225"/>
      <c r="C321" s="225"/>
      <c r="D321" s="225"/>
      <c r="E321" s="225"/>
      <c r="F321" s="225"/>
      <c r="G321" s="225"/>
      <c r="H321" s="204"/>
      <c r="I321" s="224"/>
      <c r="J321" s="224"/>
      <c r="K321" s="224"/>
      <c r="L321" s="204"/>
      <c r="M321" s="204"/>
      <c r="N321" s="204"/>
      <c r="O321" s="204"/>
      <c r="P321" s="204"/>
      <c r="Q321" s="204"/>
      <c r="R321" s="204"/>
      <c r="S321" s="204"/>
      <c r="T321" s="204"/>
      <c r="U321" s="204"/>
      <c r="V321" s="204"/>
      <c r="W321" s="204"/>
      <c r="X321" s="204"/>
      <c r="Y321" s="204"/>
      <c r="Z321" s="204"/>
      <c r="AA321" s="204"/>
    </row>
    <row r="322" spans="1:27" ht="15.75" customHeight="1" x14ac:dyDescent="0.2">
      <c r="A322" s="225"/>
      <c r="B322" s="225"/>
      <c r="C322" s="225"/>
      <c r="D322" s="225"/>
      <c r="E322" s="225"/>
      <c r="F322" s="225"/>
      <c r="G322" s="225"/>
      <c r="H322" s="204"/>
      <c r="I322" s="224"/>
      <c r="J322" s="224"/>
      <c r="K322" s="224"/>
      <c r="L322" s="204"/>
      <c r="M322" s="204"/>
      <c r="N322" s="204"/>
      <c r="O322" s="204"/>
      <c r="P322" s="204"/>
      <c r="Q322" s="204"/>
      <c r="R322" s="204"/>
      <c r="S322" s="204"/>
      <c r="T322" s="204"/>
      <c r="U322" s="204"/>
      <c r="V322" s="204"/>
      <c r="W322" s="204"/>
      <c r="X322" s="204"/>
      <c r="Y322" s="204"/>
      <c r="Z322" s="204"/>
      <c r="AA322" s="204"/>
    </row>
    <row r="323" spans="1:27" ht="15.75" customHeight="1" x14ac:dyDescent="0.2">
      <c r="A323" s="225"/>
      <c r="B323" s="225"/>
      <c r="C323" s="225"/>
      <c r="D323" s="225"/>
      <c r="E323" s="225"/>
      <c r="F323" s="225"/>
      <c r="G323" s="225"/>
      <c r="H323" s="204"/>
      <c r="I323" s="224"/>
      <c r="J323" s="224"/>
      <c r="K323" s="224"/>
      <c r="L323" s="204"/>
      <c r="M323" s="204"/>
      <c r="N323" s="204"/>
      <c r="O323" s="204"/>
      <c r="P323" s="204"/>
      <c r="Q323" s="204"/>
      <c r="R323" s="204"/>
      <c r="S323" s="204"/>
      <c r="T323" s="204"/>
      <c r="U323" s="204"/>
      <c r="V323" s="204"/>
      <c r="W323" s="204"/>
      <c r="X323" s="204"/>
      <c r="Y323" s="204"/>
      <c r="Z323" s="204"/>
      <c r="AA323" s="204"/>
    </row>
    <row r="324" spans="1:27" ht="15.75" customHeight="1" x14ac:dyDescent="0.2">
      <c r="A324" s="225"/>
      <c r="B324" s="225"/>
      <c r="C324" s="225"/>
      <c r="D324" s="225"/>
      <c r="E324" s="225"/>
      <c r="F324" s="225"/>
      <c r="G324" s="225"/>
      <c r="H324" s="204"/>
      <c r="I324" s="224"/>
      <c r="J324" s="224"/>
      <c r="K324" s="224"/>
      <c r="L324" s="204"/>
      <c r="M324" s="204"/>
      <c r="N324" s="204"/>
      <c r="O324" s="204"/>
      <c r="P324" s="204"/>
      <c r="Q324" s="204"/>
      <c r="R324" s="204"/>
      <c r="S324" s="204"/>
      <c r="T324" s="204"/>
      <c r="U324" s="204"/>
      <c r="V324" s="204"/>
      <c r="W324" s="204"/>
      <c r="X324" s="204"/>
      <c r="Y324" s="204"/>
      <c r="Z324" s="204"/>
      <c r="AA324" s="204"/>
    </row>
    <row r="325" spans="1:27" ht="15.75" customHeight="1" x14ac:dyDescent="0.2">
      <c r="A325" s="225"/>
      <c r="B325" s="225"/>
      <c r="C325" s="225"/>
      <c r="D325" s="225"/>
      <c r="E325" s="225"/>
      <c r="F325" s="225"/>
      <c r="G325" s="225"/>
      <c r="H325" s="204"/>
      <c r="I325" s="224"/>
      <c r="J325" s="224"/>
      <c r="K325" s="224"/>
      <c r="L325" s="204"/>
      <c r="M325" s="204"/>
      <c r="N325" s="204"/>
      <c r="O325" s="204"/>
      <c r="P325" s="204"/>
      <c r="Q325" s="204"/>
      <c r="R325" s="204"/>
      <c r="S325" s="204"/>
      <c r="T325" s="204"/>
      <c r="U325" s="204"/>
      <c r="V325" s="204"/>
      <c r="W325" s="204"/>
      <c r="X325" s="204"/>
      <c r="Y325" s="204"/>
      <c r="Z325" s="204"/>
      <c r="AA325" s="204"/>
    </row>
    <row r="326" spans="1:27" ht="15.75" customHeight="1" x14ac:dyDescent="0.2">
      <c r="A326" s="225"/>
      <c r="B326" s="225"/>
      <c r="C326" s="225"/>
      <c r="D326" s="225"/>
      <c r="E326" s="225"/>
      <c r="F326" s="225"/>
      <c r="G326" s="225"/>
      <c r="H326" s="204"/>
      <c r="I326" s="224"/>
      <c r="J326" s="224"/>
      <c r="K326" s="224"/>
      <c r="L326" s="204"/>
      <c r="M326" s="204"/>
      <c r="N326" s="204"/>
      <c r="O326" s="204"/>
      <c r="P326" s="204"/>
      <c r="Q326" s="204"/>
      <c r="R326" s="204"/>
      <c r="S326" s="204"/>
      <c r="T326" s="204"/>
      <c r="U326" s="204"/>
      <c r="V326" s="204"/>
      <c r="W326" s="204"/>
      <c r="X326" s="204"/>
      <c r="Y326" s="204"/>
      <c r="Z326" s="204"/>
      <c r="AA326" s="204"/>
    </row>
    <row r="327" spans="1:27" ht="15.75" customHeight="1" x14ac:dyDescent="0.2">
      <c r="A327" s="225"/>
      <c r="B327" s="225"/>
      <c r="C327" s="225"/>
      <c r="D327" s="225"/>
      <c r="E327" s="225"/>
      <c r="F327" s="225"/>
      <c r="G327" s="225"/>
      <c r="H327" s="204"/>
      <c r="I327" s="224"/>
      <c r="J327" s="224"/>
      <c r="K327" s="224"/>
      <c r="L327" s="204"/>
      <c r="M327" s="204"/>
      <c r="N327" s="204"/>
      <c r="O327" s="204"/>
      <c r="P327" s="204"/>
      <c r="Q327" s="204"/>
      <c r="R327" s="204"/>
      <c r="S327" s="204"/>
      <c r="T327" s="204"/>
      <c r="U327" s="204"/>
      <c r="V327" s="204"/>
      <c r="W327" s="204"/>
      <c r="X327" s="204"/>
      <c r="Y327" s="204"/>
      <c r="Z327" s="204"/>
      <c r="AA327" s="204"/>
    </row>
    <row r="328" spans="1:27" ht="15.75" customHeight="1" x14ac:dyDescent="0.2">
      <c r="A328" s="225"/>
      <c r="B328" s="225"/>
      <c r="C328" s="225"/>
      <c r="D328" s="225"/>
      <c r="E328" s="225"/>
      <c r="F328" s="225"/>
      <c r="G328" s="225"/>
      <c r="H328" s="204"/>
      <c r="I328" s="224"/>
      <c r="J328" s="224"/>
      <c r="K328" s="224"/>
      <c r="L328" s="204"/>
      <c r="M328" s="204"/>
      <c r="N328" s="204"/>
      <c r="O328" s="204"/>
      <c r="P328" s="204"/>
      <c r="Q328" s="204"/>
      <c r="R328" s="204"/>
      <c r="S328" s="204"/>
      <c r="T328" s="204"/>
      <c r="U328" s="204"/>
      <c r="V328" s="204"/>
      <c r="W328" s="204"/>
      <c r="X328" s="204"/>
      <c r="Y328" s="204"/>
      <c r="Z328" s="204"/>
      <c r="AA328" s="204"/>
    </row>
    <row r="329" spans="1:27" ht="15.75" customHeight="1" x14ac:dyDescent="0.2">
      <c r="A329" s="225"/>
      <c r="B329" s="225"/>
      <c r="C329" s="225"/>
      <c r="D329" s="225"/>
      <c r="E329" s="225"/>
      <c r="F329" s="225"/>
      <c r="G329" s="225"/>
      <c r="H329" s="204"/>
      <c r="I329" s="224"/>
      <c r="J329" s="224"/>
      <c r="K329" s="224"/>
      <c r="L329" s="204"/>
      <c r="M329" s="204"/>
      <c r="N329" s="204"/>
      <c r="O329" s="204"/>
      <c r="P329" s="204"/>
      <c r="Q329" s="204"/>
      <c r="R329" s="204"/>
      <c r="S329" s="204"/>
      <c r="T329" s="204"/>
      <c r="U329" s="204"/>
      <c r="V329" s="204"/>
      <c r="W329" s="204"/>
      <c r="X329" s="204"/>
      <c r="Y329" s="204"/>
      <c r="Z329" s="204"/>
      <c r="AA329" s="204"/>
    </row>
    <row r="330" spans="1:27" ht="15.75" customHeight="1" x14ac:dyDescent="0.2">
      <c r="A330" s="225"/>
      <c r="B330" s="225"/>
      <c r="C330" s="225"/>
      <c r="D330" s="225"/>
      <c r="E330" s="225"/>
      <c r="F330" s="225"/>
      <c r="G330" s="225"/>
      <c r="H330" s="204"/>
      <c r="I330" s="224"/>
      <c r="J330" s="224"/>
      <c r="K330" s="224"/>
      <c r="L330" s="204"/>
      <c r="M330" s="204"/>
      <c r="N330" s="204"/>
      <c r="O330" s="204"/>
      <c r="P330" s="204"/>
      <c r="Q330" s="204"/>
      <c r="R330" s="204"/>
      <c r="S330" s="204"/>
      <c r="T330" s="204"/>
      <c r="U330" s="204"/>
      <c r="V330" s="204"/>
      <c r="W330" s="204"/>
      <c r="X330" s="204"/>
      <c r="Y330" s="204"/>
      <c r="Z330" s="204"/>
      <c r="AA330" s="204"/>
    </row>
    <row r="331" spans="1:27" ht="15.75" customHeight="1" x14ac:dyDescent="0.2">
      <c r="A331" s="225"/>
      <c r="B331" s="225"/>
      <c r="C331" s="225"/>
      <c r="D331" s="225"/>
      <c r="E331" s="225"/>
      <c r="F331" s="225"/>
      <c r="G331" s="225"/>
      <c r="H331" s="204"/>
      <c r="I331" s="224"/>
      <c r="J331" s="224"/>
      <c r="K331" s="224"/>
      <c r="L331" s="204"/>
      <c r="M331" s="204"/>
      <c r="N331" s="204"/>
      <c r="O331" s="204"/>
      <c r="P331" s="204"/>
      <c r="Q331" s="204"/>
      <c r="R331" s="204"/>
      <c r="S331" s="204"/>
      <c r="T331" s="204"/>
      <c r="U331" s="204"/>
      <c r="V331" s="204"/>
      <c r="W331" s="204"/>
      <c r="X331" s="204"/>
      <c r="Y331" s="204"/>
      <c r="Z331" s="204"/>
      <c r="AA331" s="204"/>
    </row>
    <row r="332" spans="1:27" ht="15.75" customHeight="1" x14ac:dyDescent="0.2">
      <c r="A332" s="225"/>
      <c r="B332" s="225"/>
      <c r="C332" s="225"/>
      <c r="D332" s="225"/>
      <c r="E332" s="225"/>
      <c r="F332" s="225"/>
      <c r="G332" s="225"/>
      <c r="H332" s="204"/>
      <c r="I332" s="224"/>
      <c r="J332" s="224"/>
      <c r="K332" s="224"/>
      <c r="L332" s="204"/>
      <c r="M332" s="204"/>
      <c r="N332" s="204"/>
      <c r="O332" s="204"/>
      <c r="P332" s="204"/>
      <c r="Q332" s="204"/>
      <c r="R332" s="204"/>
      <c r="S332" s="204"/>
      <c r="T332" s="204"/>
      <c r="U332" s="204"/>
      <c r="V332" s="204"/>
      <c r="W332" s="204"/>
      <c r="X332" s="204"/>
      <c r="Y332" s="204"/>
      <c r="Z332" s="204"/>
      <c r="AA332" s="204"/>
    </row>
    <row r="333" spans="1:27" ht="15.75" customHeight="1" x14ac:dyDescent="0.2">
      <c r="A333" s="225"/>
      <c r="B333" s="225"/>
      <c r="C333" s="225"/>
      <c r="D333" s="225"/>
      <c r="E333" s="225"/>
      <c r="F333" s="225"/>
      <c r="G333" s="225"/>
      <c r="H333" s="204"/>
      <c r="I333" s="224"/>
      <c r="J333" s="224"/>
      <c r="K333" s="224"/>
      <c r="L333" s="204"/>
      <c r="M333" s="204"/>
      <c r="N333" s="204"/>
      <c r="O333" s="204"/>
      <c r="P333" s="204"/>
      <c r="Q333" s="204"/>
      <c r="R333" s="204"/>
      <c r="S333" s="204"/>
      <c r="T333" s="204"/>
      <c r="U333" s="204"/>
      <c r="V333" s="204"/>
      <c r="W333" s="204"/>
      <c r="X333" s="204"/>
      <c r="Y333" s="204"/>
      <c r="Z333" s="204"/>
      <c r="AA333" s="204"/>
    </row>
    <row r="334" spans="1:27" ht="15.75" customHeight="1" x14ac:dyDescent="0.2">
      <c r="A334" s="225"/>
      <c r="B334" s="225"/>
      <c r="C334" s="225"/>
      <c r="D334" s="225"/>
      <c r="E334" s="225"/>
      <c r="F334" s="225"/>
      <c r="G334" s="225"/>
      <c r="H334" s="204"/>
      <c r="I334" s="224"/>
      <c r="J334" s="224"/>
      <c r="K334" s="224"/>
      <c r="L334" s="204"/>
      <c r="M334" s="204"/>
      <c r="N334" s="204"/>
      <c r="O334" s="204"/>
      <c r="P334" s="204"/>
      <c r="Q334" s="204"/>
      <c r="R334" s="204"/>
      <c r="S334" s="204"/>
      <c r="T334" s="204"/>
      <c r="U334" s="204"/>
      <c r="V334" s="204"/>
      <c r="W334" s="204"/>
      <c r="X334" s="204"/>
      <c r="Y334" s="204"/>
      <c r="Z334" s="204"/>
      <c r="AA334" s="204"/>
    </row>
    <row r="335" spans="1:27" ht="15.75" customHeight="1" x14ac:dyDescent="0.2">
      <c r="A335" s="225"/>
      <c r="B335" s="225"/>
      <c r="C335" s="225"/>
      <c r="D335" s="225"/>
      <c r="E335" s="225"/>
      <c r="F335" s="225"/>
      <c r="G335" s="225"/>
      <c r="H335" s="204"/>
      <c r="I335" s="224"/>
      <c r="J335" s="224"/>
      <c r="K335" s="224"/>
      <c r="L335" s="204"/>
      <c r="M335" s="204"/>
      <c r="N335" s="204"/>
      <c r="O335" s="204"/>
      <c r="P335" s="204"/>
      <c r="Q335" s="204"/>
      <c r="R335" s="204"/>
      <c r="S335" s="204"/>
      <c r="T335" s="204"/>
      <c r="U335" s="204"/>
      <c r="V335" s="204"/>
      <c r="W335" s="204"/>
      <c r="X335" s="204"/>
      <c r="Y335" s="204"/>
      <c r="Z335" s="204"/>
      <c r="AA335" s="204"/>
    </row>
    <row r="336" spans="1:27" ht="15.75" customHeight="1" x14ac:dyDescent="0.2">
      <c r="A336" s="225"/>
      <c r="B336" s="225"/>
      <c r="C336" s="225"/>
      <c r="D336" s="225"/>
      <c r="E336" s="225"/>
      <c r="F336" s="225"/>
      <c r="G336" s="225"/>
      <c r="H336" s="204"/>
      <c r="I336" s="224"/>
      <c r="J336" s="224"/>
      <c r="K336" s="224"/>
      <c r="L336" s="204"/>
      <c r="M336" s="204"/>
      <c r="N336" s="204"/>
      <c r="O336" s="204"/>
      <c r="P336" s="204"/>
      <c r="Q336" s="204"/>
      <c r="R336" s="204"/>
      <c r="S336" s="204"/>
      <c r="T336" s="204"/>
      <c r="U336" s="204"/>
      <c r="V336" s="204"/>
      <c r="W336" s="204"/>
      <c r="X336" s="204"/>
      <c r="Y336" s="204"/>
      <c r="Z336" s="204"/>
      <c r="AA336" s="204"/>
    </row>
    <row r="337" spans="1:27" ht="15.75" customHeight="1" x14ac:dyDescent="0.2">
      <c r="A337" s="225"/>
      <c r="B337" s="225"/>
      <c r="C337" s="225"/>
      <c r="D337" s="225"/>
      <c r="E337" s="225"/>
      <c r="F337" s="225"/>
      <c r="G337" s="225"/>
      <c r="H337" s="204"/>
      <c r="I337" s="224"/>
      <c r="J337" s="224"/>
      <c r="K337" s="224"/>
      <c r="L337" s="204"/>
      <c r="M337" s="204"/>
      <c r="N337" s="204"/>
      <c r="O337" s="204"/>
      <c r="P337" s="204"/>
      <c r="Q337" s="204"/>
      <c r="R337" s="204"/>
      <c r="S337" s="204"/>
      <c r="T337" s="204"/>
      <c r="U337" s="204"/>
      <c r="V337" s="204"/>
      <c r="W337" s="204"/>
      <c r="X337" s="204"/>
      <c r="Y337" s="204"/>
      <c r="Z337" s="204"/>
      <c r="AA337" s="204"/>
    </row>
    <row r="338" spans="1:27" ht="15.75" customHeight="1" x14ac:dyDescent="0.2">
      <c r="A338" s="225"/>
      <c r="B338" s="225"/>
      <c r="C338" s="225"/>
      <c r="D338" s="225"/>
      <c r="E338" s="225"/>
      <c r="F338" s="225"/>
      <c r="G338" s="225"/>
      <c r="H338" s="204"/>
      <c r="I338" s="224"/>
      <c r="J338" s="224"/>
      <c r="K338" s="224"/>
      <c r="L338" s="204"/>
      <c r="M338" s="204"/>
      <c r="N338" s="204"/>
      <c r="O338" s="204"/>
      <c r="P338" s="204"/>
      <c r="Q338" s="204"/>
      <c r="R338" s="204"/>
      <c r="S338" s="204"/>
      <c r="T338" s="204"/>
      <c r="U338" s="204"/>
      <c r="V338" s="204"/>
      <c r="W338" s="204"/>
      <c r="X338" s="204"/>
      <c r="Y338" s="204"/>
      <c r="Z338" s="204"/>
      <c r="AA338" s="204"/>
    </row>
    <row r="339" spans="1:27" ht="15.75" customHeight="1" x14ac:dyDescent="0.2">
      <c r="A339" s="225"/>
      <c r="B339" s="225"/>
      <c r="C339" s="225"/>
      <c r="D339" s="225"/>
      <c r="E339" s="225"/>
      <c r="F339" s="225"/>
      <c r="G339" s="225"/>
      <c r="H339" s="204"/>
      <c r="I339" s="224"/>
      <c r="J339" s="224"/>
      <c r="K339" s="224"/>
      <c r="L339" s="204"/>
      <c r="M339" s="204"/>
      <c r="N339" s="204"/>
      <c r="O339" s="204"/>
      <c r="P339" s="204"/>
      <c r="Q339" s="204"/>
      <c r="R339" s="204"/>
      <c r="S339" s="204"/>
      <c r="T339" s="204"/>
      <c r="U339" s="204"/>
      <c r="V339" s="204"/>
      <c r="W339" s="204"/>
      <c r="X339" s="204"/>
      <c r="Y339" s="204"/>
      <c r="Z339" s="204"/>
      <c r="AA339" s="204"/>
    </row>
    <row r="340" spans="1:27" ht="15.75" customHeight="1" x14ac:dyDescent="0.2">
      <c r="A340" s="225"/>
      <c r="B340" s="225"/>
      <c r="C340" s="225"/>
      <c r="D340" s="225"/>
      <c r="E340" s="225"/>
      <c r="F340" s="225"/>
      <c r="G340" s="225"/>
      <c r="H340" s="204"/>
      <c r="I340" s="224"/>
      <c r="J340" s="224"/>
      <c r="K340" s="224"/>
      <c r="L340" s="204"/>
      <c r="M340" s="204"/>
      <c r="N340" s="204"/>
      <c r="O340" s="204"/>
      <c r="P340" s="204"/>
      <c r="Q340" s="204"/>
      <c r="R340" s="204"/>
      <c r="S340" s="204"/>
      <c r="T340" s="204"/>
      <c r="U340" s="204"/>
      <c r="V340" s="204"/>
      <c r="W340" s="204"/>
      <c r="X340" s="204"/>
      <c r="Y340" s="204"/>
      <c r="Z340" s="204"/>
      <c r="AA340" s="204"/>
    </row>
    <row r="341" spans="1:27" ht="15.75" customHeight="1" x14ac:dyDescent="0.2">
      <c r="A341" s="225"/>
      <c r="B341" s="225"/>
      <c r="C341" s="225"/>
      <c r="D341" s="225"/>
      <c r="E341" s="225"/>
      <c r="F341" s="225"/>
      <c r="G341" s="225"/>
      <c r="H341" s="204"/>
      <c r="I341" s="224"/>
      <c r="J341" s="224"/>
      <c r="K341" s="224"/>
      <c r="L341" s="204"/>
      <c r="M341" s="204"/>
      <c r="N341" s="204"/>
      <c r="O341" s="204"/>
      <c r="P341" s="204"/>
      <c r="Q341" s="204"/>
      <c r="R341" s="204"/>
      <c r="S341" s="204"/>
      <c r="T341" s="204"/>
      <c r="U341" s="204"/>
      <c r="V341" s="204"/>
      <c r="W341" s="204"/>
      <c r="X341" s="204"/>
      <c r="Y341" s="204"/>
      <c r="Z341" s="204"/>
      <c r="AA341" s="204"/>
    </row>
    <row r="342" spans="1:27" ht="15.75" customHeight="1" x14ac:dyDescent="0.2">
      <c r="A342" s="225"/>
      <c r="B342" s="225"/>
      <c r="C342" s="225"/>
      <c r="D342" s="225"/>
      <c r="E342" s="225"/>
      <c r="F342" s="225"/>
      <c r="G342" s="225"/>
      <c r="H342" s="204"/>
      <c r="I342" s="224"/>
      <c r="J342" s="224"/>
      <c r="K342" s="224"/>
      <c r="L342" s="204"/>
      <c r="M342" s="204"/>
      <c r="N342" s="204"/>
      <c r="O342" s="204"/>
      <c r="P342" s="204"/>
      <c r="Q342" s="204"/>
      <c r="R342" s="204"/>
      <c r="S342" s="204"/>
      <c r="T342" s="204"/>
      <c r="U342" s="204"/>
      <c r="V342" s="204"/>
      <c r="W342" s="204"/>
      <c r="X342" s="204"/>
      <c r="Y342" s="204"/>
      <c r="Z342" s="204"/>
      <c r="AA342" s="204"/>
    </row>
    <row r="343" spans="1:27" ht="15.75" customHeight="1" x14ac:dyDescent="0.2">
      <c r="A343" s="225"/>
      <c r="B343" s="225"/>
      <c r="C343" s="225"/>
      <c r="D343" s="225"/>
      <c r="E343" s="225"/>
      <c r="F343" s="225"/>
      <c r="G343" s="225"/>
      <c r="H343" s="204"/>
      <c r="I343" s="224"/>
      <c r="J343" s="224"/>
      <c r="K343" s="224"/>
      <c r="L343" s="204"/>
      <c r="M343" s="204"/>
      <c r="N343" s="204"/>
      <c r="O343" s="204"/>
      <c r="P343" s="204"/>
      <c r="Q343" s="204"/>
      <c r="R343" s="204"/>
      <c r="S343" s="204"/>
      <c r="T343" s="204"/>
      <c r="U343" s="204"/>
      <c r="V343" s="204"/>
      <c r="W343" s="204"/>
      <c r="X343" s="204"/>
      <c r="Y343" s="204"/>
      <c r="Z343" s="204"/>
      <c r="AA343" s="204"/>
    </row>
    <row r="344" spans="1:27" ht="15.75" customHeight="1" x14ac:dyDescent="0.2">
      <c r="A344" s="225"/>
      <c r="B344" s="225"/>
      <c r="C344" s="225"/>
      <c r="D344" s="225"/>
      <c r="E344" s="225"/>
      <c r="F344" s="225"/>
      <c r="G344" s="225"/>
      <c r="H344" s="204"/>
      <c r="I344" s="224"/>
      <c r="J344" s="224"/>
      <c r="K344" s="224"/>
      <c r="L344" s="204"/>
      <c r="M344" s="204"/>
      <c r="N344" s="204"/>
      <c r="O344" s="204"/>
      <c r="P344" s="204"/>
      <c r="Q344" s="204"/>
      <c r="R344" s="204"/>
      <c r="S344" s="204"/>
      <c r="T344" s="204"/>
      <c r="U344" s="204"/>
      <c r="V344" s="204"/>
      <c r="W344" s="204"/>
      <c r="X344" s="204"/>
      <c r="Y344" s="204"/>
      <c r="Z344" s="204"/>
      <c r="AA344" s="204"/>
    </row>
    <row r="345" spans="1:27" ht="15.75" customHeight="1" x14ac:dyDescent="0.2">
      <c r="A345" s="225"/>
      <c r="B345" s="225"/>
      <c r="C345" s="225"/>
      <c r="D345" s="225"/>
      <c r="E345" s="225"/>
      <c r="F345" s="225"/>
      <c r="G345" s="225"/>
      <c r="H345" s="204"/>
      <c r="I345" s="224"/>
      <c r="J345" s="224"/>
      <c r="K345" s="224"/>
      <c r="L345" s="204"/>
      <c r="M345" s="204"/>
      <c r="N345" s="204"/>
      <c r="O345" s="204"/>
      <c r="P345" s="204"/>
      <c r="Q345" s="204"/>
      <c r="R345" s="204"/>
      <c r="S345" s="204"/>
      <c r="T345" s="204"/>
      <c r="U345" s="204"/>
      <c r="V345" s="204"/>
      <c r="W345" s="204"/>
      <c r="X345" s="204"/>
      <c r="Y345" s="204"/>
      <c r="Z345" s="204"/>
      <c r="AA345" s="204"/>
    </row>
    <row r="346" spans="1:27" ht="15.75" customHeight="1" x14ac:dyDescent="0.2">
      <c r="A346" s="225"/>
      <c r="B346" s="225"/>
      <c r="C346" s="225"/>
      <c r="D346" s="225"/>
      <c r="E346" s="225"/>
      <c r="F346" s="225"/>
      <c r="G346" s="225"/>
      <c r="H346" s="204"/>
      <c r="I346" s="224"/>
      <c r="J346" s="224"/>
      <c r="K346" s="224"/>
      <c r="L346" s="204"/>
      <c r="M346" s="204"/>
      <c r="N346" s="204"/>
      <c r="O346" s="204"/>
      <c r="P346" s="204"/>
      <c r="Q346" s="204"/>
      <c r="R346" s="204"/>
      <c r="S346" s="204"/>
      <c r="T346" s="204"/>
      <c r="U346" s="204"/>
      <c r="V346" s="204"/>
      <c r="W346" s="204"/>
      <c r="X346" s="204"/>
      <c r="Y346" s="204"/>
      <c r="Z346" s="204"/>
      <c r="AA346" s="204"/>
    </row>
    <row r="347" spans="1:27" ht="15.75" customHeight="1" x14ac:dyDescent="0.2">
      <c r="A347" s="225"/>
      <c r="B347" s="225"/>
      <c r="C347" s="225"/>
      <c r="D347" s="225"/>
      <c r="E347" s="225"/>
      <c r="F347" s="225"/>
      <c r="G347" s="225"/>
      <c r="H347" s="204"/>
      <c r="I347" s="224"/>
      <c r="J347" s="224"/>
      <c r="K347" s="224"/>
      <c r="L347" s="204"/>
      <c r="M347" s="204"/>
      <c r="N347" s="204"/>
      <c r="O347" s="204"/>
      <c r="P347" s="204"/>
      <c r="Q347" s="204"/>
      <c r="R347" s="204"/>
      <c r="S347" s="204"/>
      <c r="T347" s="204"/>
      <c r="U347" s="204"/>
      <c r="V347" s="204"/>
      <c r="W347" s="204"/>
      <c r="X347" s="204"/>
      <c r="Y347" s="204"/>
      <c r="Z347" s="204"/>
      <c r="AA347" s="204"/>
    </row>
    <row r="348" spans="1:27" ht="15.75" customHeight="1" x14ac:dyDescent="0.2">
      <c r="A348" s="225"/>
      <c r="B348" s="225"/>
      <c r="C348" s="225"/>
      <c r="D348" s="225"/>
      <c r="E348" s="225"/>
      <c r="F348" s="225"/>
      <c r="G348" s="225"/>
      <c r="H348" s="204"/>
      <c r="I348" s="224"/>
      <c r="J348" s="224"/>
      <c r="K348" s="224"/>
      <c r="L348" s="204"/>
      <c r="M348" s="204"/>
      <c r="N348" s="204"/>
      <c r="O348" s="204"/>
      <c r="P348" s="204"/>
      <c r="Q348" s="204"/>
      <c r="R348" s="204"/>
      <c r="S348" s="204"/>
      <c r="T348" s="204"/>
      <c r="U348" s="204"/>
      <c r="V348" s="204"/>
      <c r="W348" s="204"/>
      <c r="X348" s="204"/>
      <c r="Y348" s="204"/>
      <c r="Z348" s="204"/>
      <c r="AA348" s="204"/>
    </row>
    <row r="349" spans="1:27" ht="15.75" customHeight="1" x14ac:dyDescent="0.2">
      <c r="A349" s="225"/>
      <c r="B349" s="225"/>
      <c r="C349" s="225"/>
      <c r="D349" s="225"/>
      <c r="E349" s="225"/>
      <c r="F349" s="225"/>
      <c r="G349" s="225"/>
      <c r="H349" s="204"/>
      <c r="I349" s="224"/>
      <c r="J349" s="224"/>
      <c r="K349" s="224"/>
      <c r="L349" s="204"/>
      <c r="M349" s="204"/>
      <c r="N349" s="204"/>
      <c r="O349" s="204"/>
      <c r="P349" s="204"/>
      <c r="Q349" s="204"/>
      <c r="R349" s="204"/>
      <c r="S349" s="204"/>
      <c r="T349" s="204"/>
      <c r="U349" s="204"/>
      <c r="V349" s="204"/>
      <c r="W349" s="204"/>
      <c r="X349" s="204"/>
      <c r="Y349" s="204"/>
      <c r="Z349" s="204"/>
      <c r="AA349" s="204"/>
    </row>
    <row r="350" spans="1:27" ht="15.75" customHeight="1" x14ac:dyDescent="0.2">
      <c r="A350" s="225"/>
      <c r="B350" s="225"/>
      <c r="C350" s="225"/>
      <c r="D350" s="225"/>
      <c r="E350" s="225"/>
      <c r="F350" s="225"/>
      <c r="G350" s="225"/>
      <c r="H350" s="204"/>
      <c r="I350" s="224"/>
      <c r="J350" s="224"/>
      <c r="K350" s="224"/>
      <c r="L350" s="204"/>
      <c r="M350" s="204"/>
      <c r="N350" s="204"/>
      <c r="O350" s="204"/>
      <c r="P350" s="204"/>
      <c r="Q350" s="204"/>
      <c r="R350" s="204"/>
      <c r="S350" s="204"/>
      <c r="T350" s="204"/>
      <c r="U350" s="204"/>
      <c r="V350" s="204"/>
      <c r="W350" s="204"/>
      <c r="X350" s="204"/>
      <c r="Y350" s="204"/>
      <c r="Z350" s="204"/>
      <c r="AA350" s="204"/>
    </row>
    <row r="351" spans="1:27" ht="15.75" customHeight="1" x14ac:dyDescent="0.2">
      <c r="A351" s="225"/>
      <c r="B351" s="225"/>
      <c r="C351" s="225"/>
      <c r="D351" s="225"/>
      <c r="E351" s="225"/>
      <c r="F351" s="225"/>
      <c r="G351" s="225"/>
      <c r="H351" s="204"/>
      <c r="I351" s="224"/>
      <c r="J351" s="224"/>
      <c r="K351" s="224"/>
      <c r="L351" s="204"/>
      <c r="M351" s="204"/>
      <c r="N351" s="204"/>
      <c r="O351" s="204"/>
      <c r="P351" s="204"/>
      <c r="Q351" s="204"/>
      <c r="R351" s="204"/>
      <c r="S351" s="204"/>
      <c r="T351" s="204"/>
      <c r="U351" s="204"/>
      <c r="V351" s="204"/>
      <c r="W351" s="204"/>
      <c r="X351" s="204"/>
      <c r="Y351" s="204"/>
      <c r="Z351" s="204"/>
      <c r="AA351" s="204"/>
    </row>
    <row r="352" spans="1:27" ht="15.75" customHeight="1" x14ac:dyDescent="0.2">
      <c r="A352" s="225"/>
      <c r="B352" s="225"/>
      <c r="C352" s="225"/>
      <c r="D352" s="225"/>
      <c r="E352" s="225"/>
      <c r="F352" s="225"/>
      <c r="G352" s="225"/>
      <c r="H352" s="204"/>
      <c r="I352" s="224"/>
      <c r="J352" s="224"/>
      <c r="K352" s="224"/>
      <c r="L352" s="204"/>
      <c r="M352" s="204"/>
      <c r="N352" s="204"/>
      <c r="O352" s="204"/>
      <c r="P352" s="204"/>
      <c r="Q352" s="204"/>
      <c r="R352" s="204"/>
      <c r="S352" s="204"/>
      <c r="T352" s="204"/>
      <c r="U352" s="204"/>
      <c r="V352" s="204"/>
      <c r="W352" s="204"/>
      <c r="X352" s="204"/>
      <c r="Y352" s="204"/>
      <c r="Z352" s="204"/>
      <c r="AA352" s="204"/>
    </row>
    <row r="353" spans="1:27" ht="15.75" customHeight="1" x14ac:dyDescent="0.2">
      <c r="A353" s="225"/>
      <c r="B353" s="225"/>
      <c r="C353" s="225"/>
      <c r="D353" s="225"/>
      <c r="E353" s="225"/>
      <c r="F353" s="225"/>
      <c r="G353" s="225"/>
      <c r="H353" s="204"/>
      <c r="I353" s="224"/>
      <c r="J353" s="224"/>
      <c r="K353" s="224"/>
      <c r="L353" s="204"/>
      <c r="M353" s="204"/>
      <c r="N353" s="204"/>
      <c r="O353" s="204"/>
      <c r="P353" s="204"/>
      <c r="Q353" s="204"/>
      <c r="R353" s="204"/>
      <c r="S353" s="204"/>
      <c r="T353" s="204"/>
      <c r="U353" s="204"/>
      <c r="V353" s="204"/>
      <c r="W353" s="204"/>
      <c r="X353" s="204"/>
      <c r="Y353" s="204"/>
      <c r="Z353" s="204"/>
      <c r="AA353" s="204"/>
    </row>
    <row r="354" spans="1:27" ht="15.75" customHeight="1" x14ac:dyDescent="0.2">
      <c r="A354" s="225"/>
      <c r="B354" s="225"/>
      <c r="C354" s="225"/>
      <c r="D354" s="225"/>
      <c r="E354" s="225"/>
      <c r="F354" s="225"/>
      <c r="G354" s="225"/>
      <c r="H354" s="204"/>
      <c r="I354" s="224"/>
      <c r="J354" s="224"/>
      <c r="K354" s="224"/>
      <c r="L354" s="204"/>
      <c r="M354" s="204"/>
      <c r="N354" s="204"/>
      <c r="O354" s="204"/>
      <c r="P354" s="204"/>
      <c r="Q354" s="204"/>
      <c r="R354" s="204"/>
      <c r="S354" s="204"/>
      <c r="T354" s="204"/>
      <c r="U354" s="204"/>
      <c r="V354" s="204"/>
      <c r="W354" s="204"/>
      <c r="X354" s="204"/>
      <c r="Y354" s="204"/>
      <c r="Z354" s="204"/>
      <c r="AA354" s="204"/>
    </row>
    <row r="355" spans="1:27" ht="15.75" customHeight="1" x14ac:dyDescent="0.2">
      <c r="A355" s="225"/>
      <c r="B355" s="225"/>
      <c r="C355" s="225"/>
      <c r="D355" s="225"/>
      <c r="E355" s="225"/>
      <c r="F355" s="225"/>
      <c r="G355" s="225"/>
      <c r="H355" s="204"/>
      <c r="I355" s="224"/>
      <c r="J355" s="224"/>
      <c r="K355" s="224"/>
      <c r="L355" s="204"/>
      <c r="M355" s="204"/>
      <c r="N355" s="204"/>
      <c r="O355" s="204"/>
      <c r="P355" s="204"/>
      <c r="Q355" s="204"/>
      <c r="R355" s="204"/>
      <c r="S355" s="204"/>
      <c r="T355" s="204"/>
      <c r="U355" s="204"/>
      <c r="V355" s="204"/>
      <c r="W355" s="204"/>
      <c r="X355" s="204"/>
      <c r="Y355" s="204"/>
      <c r="Z355" s="204"/>
      <c r="AA355" s="204"/>
    </row>
    <row r="356" spans="1:27" ht="15.75" customHeight="1" x14ac:dyDescent="0.2">
      <c r="A356" s="225"/>
      <c r="B356" s="225"/>
      <c r="C356" s="225"/>
      <c r="D356" s="225"/>
      <c r="E356" s="225"/>
      <c r="F356" s="225"/>
      <c r="G356" s="225"/>
      <c r="H356" s="204"/>
      <c r="I356" s="224"/>
      <c r="J356" s="224"/>
      <c r="K356" s="224"/>
      <c r="L356" s="204"/>
      <c r="M356" s="204"/>
      <c r="N356" s="204"/>
      <c r="O356" s="204"/>
      <c r="P356" s="204"/>
      <c r="Q356" s="204"/>
      <c r="R356" s="204"/>
      <c r="S356" s="204"/>
      <c r="T356" s="204"/>
      <c r="U356" s="204"/>
      <c r="V356" s="204"/>
      <c r="W356" s="204"/>
      <c r="X356" s="204"/>
      <c r="Y356" s="204"/>
      <c r="Z356" s="204"/>
      <c r="AA356" s="204"/>
    </row>
    <row r="357" spans="1:27" ht="15.75" customHeight="1" x14ac:dyDescent="0.2">
      <c r="A357" s="225"/>
      <c r="B357" s="225"/>
      <c r="C357" s="225"/>
      <c r="D357" s="225"/>
      <c r="E357" s="225"/>
      <c r="F357" s="225"/>
      <c r="G357" s="225"/>
      <c r="H357" s="204"/>
      <c r="I357" s="224"/>
      <c r="J357" s="224"/>
      <c r="K357" s="224"/>
      <c r="L357" s="204"/>
      <c r="M357" s="204"/>
      <c r="N357" s="204"/>
      <c r="O357" s="204"/>
      <c r="P357" s="204"/>
      <c r="Q357" s="204"/>
      <c r="R357" s="204"/>
      <c r="S357" s="204"/>
      <c r="T357" s="204"/>
      <c r="U357" s="204"/>
      <c r="V357" s="204"/>
      <c r="W357" s="204"/>
      <c r="X357" s="204"/>
      <c r="Y357" s="204"/>
      <c r="Z357" s="204"/>
      <c r="AA357" s="204"/>
    </row>
    <row r="358" spans="1:27" ht="15.75" customHeight="1" x14ac:dyDescent="0.2">
      <c r="A358" s="225"/>
      <c r="B358" s="225"/>
      <c r="C358" s="225"/>
      <c r="D358" s="225"/>
      <c r="E358" s="225"/>
      <c r="F358" s="225"/>
      <c r="G358" s="225"/>
      <c r="H358" s="204"/>
      <c r="I358" s="224"/>
      <c r="J358" s="224"/>
      <c r="K358" s="224"/>
      <c r="L358" s="204"/>
      <c r="M358" s="204"/>
      <c r="N358" s="204"/>
      <c r="O358" s="204"/>
      <c r="P358" s="204"/>
      <c r="Q358" s="204"/>
      <c r="R358" s="204"/>
      <c r="S358" s="204"/>
      <c r="T358" s="204"/>
      <c r="U358" s="204"/>
      <c r="V358" s="204"/>
      <c r="W358" s="204"/>
      <c r="X358" s="204"/>
      <c r="Y358" s="204"/>
      <c r="Z358" s="204"/>
      <c r="AA358" s="204"/>
    </row>
    <row r="359" spans="1:27" ht="15.75" customHeight="1" x14ac:dyDescent="0.2">
      <c r="A359" s="225"/>
      <c r="B359" s="225"/>
      <c r="C359" s="225"/>
      <c r="D359" s="225"/>
      <c r="E359" s="225"/>
      <c r="F359" s="225"/>
      <c r="G359" s="225"/>
      <c r="H359" s="204"/>
      <c r="I359" s="224"/>
      <c r="J359" s="224"/>
      <c r="K359" s="224"/>
      <c r="L359" s="204"/>
      <c r="M359" s="204"/>
      <c r="N359" s="204"/>
      <c r="O359" s="204"/>
      <c r="P359" s="204"/>
      <c r="Q359" s="204"/>
      <c r="R359" s="204"/>
      <c r="S359" s="204"/>
      <c r="T359" s="204"/>
      <c r="U359" s="204"/>
      <c r="V359" s="204"/>
      <c r="W359" s="204"/>
      <c r="X359" s="204"/>
      <c r="Y359" s="204"/>
      <c r="Z359" s="204"/>
      <c r="AA359" s="204"/>
    </row>
    <row r="360" spans="1:27" ht="15.75" customHeight="1" x14ac:dyDescent="0.2">
      <c r="A360" s="225"/>
      <c r="B360" s="225"/>
      <c r="C360" s="225"/>
      <c r="D360" s="225"/>
      <c r="E360" s="225"/>
      <c r="F360" s="225"/>
      <c r="G360" s="225"/>
      <c r="H360" s="204"/>
      <c r="I360" s="224"/>
      <c r="J360" s="224"/>
      <c r="K360" s="224"/>
      <c r="L360" s="204"/>
      <c r="M360" s="204"/>
      <c r="N360" s="204"/>
      <c r="O360" s="204"/>
      <c r="P360" s="204"/>
      <c r="Q360" s="204"/>
      <c r="R360" s="204"/>
      <c r="S360" s="204"/>
      <c r="T360" s="204"/>
      <c r="U360" s="204"/>
      <c r="V360" s="204"/>
      <c r="W360" s="204"/>
      <c r="X360" s="204"/>
      <c r="Y360" s="204"/>
      <c r="Z360" s="204"/>
      <c r="AA360" s="204"/>
    </row>
    <row r="361" spans="1:27" ht="15.75" customHeight="1" x14ac:dyDescent="0.2">
      <c r="A361" s="225"/>
      <c r="B361" s="225"/>
      <c r="C361" s="225"/>
      <c r="D361" s="225"/>
      <c r="E361" s="225"/>
      <c r="F361" s="225"/>
      <c r="G361" s="225"/>
      <c r="H361" s="204"/>
      <c r="I361" s="224"/>
      <c r="J361" s="224"/>
      <c r="K361" s="224"/>
      <c r="L361" s="204"/>
      <c r="M361" s="204"/>
      <c r="N361" s="204"/>
      <c r="O361" s="204"/>
      <c r="P361" s="204"/>
      <c r="Q361" s="204"/>
      <c r="R361" s="204"/>
      <c r="S361" s="204"/>
      <c r="T361" s="204"/>
      <c r="U361" s="204"/>
      <c r="V361" s="204"/>
      <c r="W361" s="204"/>
      <c r="X361" s="204"/>
      <c r="Y361" s="204"/>
      <c r="Z361" s="204"/>
      <c r="AA361" s="204"/>
    </row>
    <row r="362" spans="1:27" ht="15.75" customHeight="1" x14ac:dyDescent="0.2">
      <c r="A362" s="225"/>
      <c r="B362" s="225"/>
      <c r="C362" s="225"/>
      <c r="D362" s="225"/>
      <c r="E362" s="225"/>
      <c r="F362" s="225"/>
      <c r="G362" s="225"/>
      <c r="H362" s="204"/>
      <c r="I362" s="224"/>
      <c r="J362" s="224"/>
      <c r="K362" s="224"/>
      <c r="L362" s="204"/>
      <c r="M362" s="204"/>
      <c r="N362" s="204"/>
      <c r="O362" s="204"/>
      <c r="P362" s="204"/>
      <c r="Q362" s="204"/>
      <c r="R362" s="204"/>
      <c r="S362" s="204"/>
      <c r="T362" s="204"/>
      <c r="U362" s="204"/>
      <c r="V362" s="204"/>
      <c r="W362" s="204"/>
      <c r="X362" s="204"/>
      <c r="Y362" s="204"/>
      <c r="Z362" s="204"/>
      <c r="AA362" s="204"/>
    </row>
    <row r="363" spans="1:27" ht="15.75" customHeight="1" x14ac:dyDescent="0.2">
      <c r="A363" s="225"/>
      <c r="B363" s="225"/>
      <c r="C363" s="225"/>
      <c r="D363" s="225"/>
      <c r="E363" s="225"/>
      <c r="F363" s="225"/>
      <c r="G363" s="225"/>
      <c r="H363" s="204"/>
      <c r="I363" s="224"/>
      <c r="J363" s="224"/>
      <c r="K363" s="224"/>
      <c r="L363" s="204"/>
      <c r="M363" s="204"/>
      <c r="N363" s="204"/>
      <c r="O363" s="204"/>
      <c r="P363" s="204"/>
      <c r="Q363" s="204"/>
      <c r="R363" s="204"/>
      <c r="S363" s="204"/>
      <c r="T363" s="204"/>
      <c r="U363" s="204"/>
      <c r="V363" s="204"/>
      <c r="W363" s="204"/>
      <c r="X363" s="204"/>
      <c r="Y363" s="204"/>
      <c r="Z363" s="204"/>
      <c r="AA363" s="204"/>
    </row>
    <row r="364" spans="1:27" ht="15.75" customHeight="1" x14ac:dyDescent="0.2">
      <c r="A364" s="225"/>
      <c r="B364" s="225"/>
      <c r="C364" s="225"/>
      <c r="D364" s="225"/>
      <c r="E364" s="225"/>
      <c r="F364" s="225"/>
      <c r="G364" s="225"/>
      <c r="H364" s="204"/>
      <c r="I364" s="224"/>
      <c r="J364" s="224"/>
      <c r="K364" s="224"/>
      <c r="L364" s="204"/>
      <c r="M364" s="204"/>
      <c r="N364" s="204"/>
      <c r="O364" s="204"/>
      <c r="P364" s="204"/>
      <c r="Q364" s="204"/>
      <c r="R364" s="204"/>
      <c r="S364" s="204"/>
      <c r="T364" s="204"/>
      <c r="U364" s="204"/>
      <c r="V364" s="204"/>
      <c r="W364" s="204"/>
      <c r="X364" s="204"/>
      <c r="Y364" s="204"/>
      <c r="Z364" s="204"/>
      <c r="AA364" s="204"/>
    </row>
    <row r="365" spans="1:27" ht="15.75" customHeight="1" x14ac:dyDescent="0.2">
      <c r="A365" s="225"/>
      <c r="B365" s="225"/>
      <c r="C365" s="225"/>
      <c r="D365" s="225"/>
      <c r="E365" s="225"/>
      <c r="F365" s="225"/>
      <c r="G365" s="225"/>
      <c r="H365" s="204"/>
      <c r="I365" s="224"/>
      <c r="J365" s="224"/>
      <c r="K365" s="224"/>
      <c r="L365" s="204"/>
      <c r="M365" s="204"/>
      <c r="N365" s="204"/>
      <c r="O365" s="204"/>
      <c r="P365" s="204"/>
      <c r="Q365" s="204"/>
      <c r="R365" s="204"/>
      <c r="S365" s="204"/>
      <c r="T365" s="204"/>
      <c r="U365" s="204"/>
      <c r="V365" s="204"/>
      <c r="W365" s="204"/>
      <c r="X365" s="204"/>
      <c r="Y365" s="204"/>
      <c r="Z365" s="204"/>
      <c r="AA365" s="204"/>
    </row>
    <row r="366" spans="1:27" ht="15.75" customHeight="1" x14ac:dyDescent="0.2">
      <c r="A366" s="225"/>
      <c r="B366" s="225"/>
      <c r="C366" s="225"/>
      <c r="D366" s="225"/>
      <c r="E366" s="225"/>
      <c r="F366" s="225"/>
      <c r="G366" s="225"/>
      <c r="H366" s="204"/>
      <c r="I366" s="224"/>
      <c r="J366" s="224"/>
      <c r="K366" s="224"/>
      <c r="L366" s="204"/>
      <c r="M366" s="204"/>
      <c r="N366" s="204"/>
      <c r="O366" s="204"/>
      <c r="P366" s="204"/>
      <c r="Q366" s="204"/>
      <c r="R366" s="204"/>
      <c r="S366" s="204"/>
      <c r="T366" s="204"/>
      <c r="U366" s="204"/>
      <c r="V366" s="204"/>
      <c r="W366" s="204"/>
      <c r="X366" s="204"/>
      <c r="Y366" s="204"/>
      <c r="Z366" s="204"/>
      <c r="AA366" s="204"/>
    </row>
    <row r="367" spans="1:27" ht="15.75" customHeight="1" x14ac:dyDescent="0.2">
      <c r="A367" s="225"/>
      <c r="B367" s="225"/>
      <c r="C367" s="225"/>
      <c r="D367" s="225"/>
      <c r="E367" s="225"/>
      <c r="F367" s="225"/>
      <c r="G367" s="225"/>
      <c r="H367" s="204"/>
      <c r="I367" s="224"/>
      <c r="J367" s="224"/>
      <c r="K367" s="224"/>
      <c r="L367" s="204"/>
      <c r="M367" s="204"/>
      <c r="N367" s="204"/>
      <c r="O367" s="204"/>
      <c r="P367" s="204"/>
      <c r="Q367" s="204"/>
      <c r="R367" s="204"/>
      <c r="S367" s="204"/>
      <c r="T367" s="204"/>
      <c r="U367" s="204"/>
      <c r="V367" s="204"/>
      <c r="W367" s="204"/>
      <c r="X367" s="204"/>
      <c r="Y367" s="204"/>
      <c r="Z367" s="204"/>
      <c r="AA367" s="204"/>
    </row>
    <row r="368" spans="1:27" ht="15.75" customHeight="1" x14ac:dyDescent="0.2">
      <c r="A368" s="225"/>
      <c r="B368" s="225"/>
      <c r="C368" s="225"/>
      <c r="D368" s="225"/>
      <c r="E368" s="225"/>
      <c r="F368" s="225"/>
      <c r="G368" s="225"/>
      <c r="H368" s="204"/>
      <c r="I368" s="224"/>
      <c r="J368" s="224"/>
      <c r="K368" s="224"/>
      <c r="L368" s="204"/>
      <c r="M368" s="204"/>
      <c r="N368" s="204"/>
      <c r="O368" s="204"/>
      <c r="P368" s="204"/>
      <c r="Q368" s="204"/>
      <c r="R368" s="204"/>
      <c r="S368" s="204"/>
      <c r="T368" s="204"/>
      <c r="U368" s="204"/>
      <c r="V368" s="204"/>
      <c r="W368" s="204"/>
      <c r="X368" s="204"/>
      <c r="Y368" s="204"/>
      <c r="Z368" s="204"/>
      <c r="AA368" s="204"/>
    </row>
    <row r="369" spans="1:27" ht="15.75" customHeight="1" x14ac:dyDescent="0.2">
      <c r="A369" s="225"/>
      <c r="B369" s="225"/>
      <c r="C369" s="225"/>
      <c r="D369" s="225"/>
      <c r="E369" s="225"/>
      <c r="F369" s="225"/>
      <c r="G369" s="225"/>
      <c r="H369" s="204"/>
      <c r="I369" s="224"/>
      <c r="J369" s="224"/>
      <c r="K369" s="224"/>
      <c r="L369" s="204"/>
      <c r="M369" s="204"/>
      <c r="N369" s="204"/>
      <c r="O369" s="204"/>
      <c r="P369" s="204"/>
      <c r="Q369" s="204"/>
      <c r="R369" s="204"/>
      <c r="S369" s="204"/>
      <c r="T369" s="204"/>
      <c r="U369" s="204"/>
      <c r="V369" s="204"/>
      <c r="W369" s="204"/>
      <c r="X369" s="204"/>
      <c r="Y369" s="204"/>
      <c r="Z369" s="204"/>
      <c r="AA369" s="204"/>
    </row>
    <row r="370" spans="1:27" ht="15.75" customHeight="1" x14ac:dyDescent="0.2">
      <c r="A370" s="225"/>
      <c r="B370" s="225"/>
      <c r="C370" s="225"/>
      <c r="D370" s="225"/>
      <c r="E370" s="225"/>
      <c r="F370" s="225"/>
      <c r="G370" s="225"/>
      <c r="H370" s="204"/>
      <c r="I370" s="224"/>
      <c r="J370" s="224"/>
      <c r="K370" s="224"/>
      <c r="L370" s="204"/>
      <c r="M370" s="204"/>
      <c r="N370" s="204"/>
      <c r="O370" s="204"/>
      <c r="P370" s="204"/>
      <c r="Q370" s="204"/>
      <c r="R370" s="204"/>
      <c r="S370" s="204"/>
      <c r="T370" s="204"/>
      <c r="U370" s="204"/>
      <c r="V370" s="204"/>
      <c r="W370" s="204"/>
      <c r="X370" s="204"/>
      <c r="Y370" s="204"/>
      <c r="Z370" s="204"/>
      <c r="AA370" s="204"/>
    </row>
    <row r="371" spans="1:27" ht="15.75" customHeight="1" x14ac:dyDescent="0.2">
      <c r="A371" s="225"/>
      <c r="B371" s="225"/>
      <c r="C371" s="225"/>
      <c r="D371" s="225"/>
      <c r="E371" s="225"/>
      <c r="F371" s="225"/>
      <c r="G371" s="225"/>
      <c r="H371" s="204"/>
      <c r="I371" s="224"/>
      <c r="J371" s="224"/>
      <c r="K371" s="224"/>
      <c r="L371" s="204"/>
      <c r="M371" s="204"/>
      <c r="N371" s="204"/>
      <c r="O371" s="204"/>
      <c r="P371" s="204"/>
      <c r="Q371" s="204"/>
      <c r="R371" s="204"/>
      <c r="S371" s="204"/>
      <c r="T371" s="204"/>
      <c r="U371" s="204"/>
      <c r="V371" s="204"/>
      <c r="W371" s="204"/>
      <c r="X371" s="204"/>
      <c r="Y371" s="204"/>
      <c r="Z371" s="204"/>
      <c r="AA371" s="204"/>
    </row>
    <row r="372" spans="1:27" ht="15.75" customHeight="1" x14ac:dyDescent="0.2">
      <c r="A372" s="225"/>
      <c r="B372" s="225"/>
      <c r="C372" s="225"/>
      <c r="D372" s="225"/>
      <c r="E372" s="225"/>
      <c r="F372" s="225"/>
      <c r="G372" s="225"/>
      <c r="H372" s="204"/>
      <c r="I372" s="224"/>
      <c r="J372" s="224"/>
      <c r="K372" s="224"/>
      <c r="L372" s="204"/>
      <c r="M372" s="204"/>
      <c r="N372" s="204"/>
      <c r="O372" s="204"/>
      <c r="P372" s="204"/>
      <c r="Q372" s="204"/>
      <c r="R372" s="204"/>
      <c r="S372" s="204"/>
      <c r="T372" s="204"/>
      <c r="U372" s="204"/>
      <c r="V372" s="204"/>
      <c r="W372" s="204"/>
      <c r="X372" s="204"/>
      <c r="Y372" s="204"/>
      <c r="Z372" s="204"/>
      <c r="AA372" s="204"/>
    </row>
    <row r="373" spans="1:27" ht="15.75" customHeight="1" x14ac:dyDescent="0.2">
      <c r="A373" s="225"/>
      <c r="B373" s="225"/>
      <c r="C373" s="225"/>
      <c r="D373" s="225"/>
      <c r="E373" s="225"/>
      <c r="F373" s="225"/>
      <c r="G373" s="225"/>
      <c r="H373" s="204"/>
      <c r="I373" s="224"/>
      <c r="J373" s="224"/>
      <c r="K373" s="224"/>
      <c r="L373" s="204"/>
      <c r="M373" s="204"/>
      <c r="N373" s="204"/>
      <c r="O373" s="204"/>
      <c r="P373" s="204"/>
      <c r="Q373" s="204"/>
      <c r="R373" s="204"/>
      <c r="S373" s="204"/>
      <c r="T373" s="204"/>
      <c r="U373" s="204"/>
      <c r="V373" s="204"/>
      <c r="W373" s="204"/>
      <c r="X373" s="204"/>
      <c r="Y373" s="204"/>
      <c r="Z373" s="204"/>
      <c r="AA373" s="204"/>
    </row>
    <row r="374" spans="1:27" ht="15.75" customHeight="1" x14ac:dyDescent="0.2">
      <c r="A374" s="225"/>
      <c r="B374" s="225"/>
      <c r="C374" s="225"/>
      <c r="D374" s="225"/>
      <c r="E374" s="225"/>
      <c r="F374" s="225"/>
      <c r="G374" s="225"/>
      <c r="H374" s="204"/>
      <c r="I374" s="224"/>
      <c r="J374" s="224"/>
      <c r="K374" s="224"/>
      <c r="L374" s="204"/>
      <c r="M374" s="204"/>
      <c r="N374" s="204"/>
      <c r="O374" s="204"/>
      <c r="P374" s="204"/>
      <c r="Q374" s="204"/>
      <c r="R374" s="204"/>
      <c r="S374" s="204"/>
      <c r="T374" s="204"/>
      <c r="U374" s="204"/>
      <c r="V374" s="204"/>
      <c r="W374" s="204"/>
      <c r="X374" s="204"/>
      <c r="Y374" s="204"/>
      <c r="Z374" s="204"/>
      <c r="AA374" s="204"/>
    </row>
    <row r="375" spans="1:27" ht="15.75" customHeight="1" x14ac:dyDescent="0.2">
      <c r="A375" s="225"/>
      <c r="B375" s="225"/>
      <c r="C375" s="225"/>
      <c r="D375" s="225"/>
      <c r="E375" s="225"/>
      <c r="F375" s="225"/>
      <c r="G375" s="225"/>
      <c r="H375" s="204"/>
      <c r="I375" s="224"/>
      <c r="J375" s="224"/>
      <c r="K375" s="224"/>
      <c r="L375" s="204"/>
      <c r="M375" s="204"/>
      <c r="N375" s="204"/>
      <c r="O375" s="204"/>
      <c r="P375" s="204"/>
      <c r="Q375" s="204"/>
      <c r="R375" s="204"/>
      <c r="S375" s="204"/>
      <c r="T375" s="204"/>
      <c r="U375" s="204"/>
      <c r="V375" s="204"/>
      <c r="W375" s="204"/>
      <c r="X375" s="204"/>
      <c r="Y375" s="204"/>
      <c r="Z375" s="204"/>
      <c r="AA375" s="204"/>
    </row>
    <row r="376" spans="1:27" ht="15.75" customHeight="1" x14ac:dyDescent="0.2">
      <c r="A376" s="225"/>
      <c r="B376" s="225"/>
      <c r="C376" s="225"/>
      <c r="D376" s="225"/>
      <c r="E376" s="225"/>
      <c r="F376" s="225"/>
      <c r="G376" s="225"/>
      <c r="H376" s="204"/>
      <c r="I376" s="224"/>
      <c r="J376" s="224"/>
      <c r="K376" s="224"/>
      <c r="L376" s="204"/>
      <c r="M376" s="204"/>
      <c r="N376" s="204"/>
      <c r="O376" s="204"/>
      <c r="P376" s="204"/>
      <c r="Q376" s="204"/>
      <c r="R376" s="204"/>
      <c r="S376" s="204"/>
      <c r="T376" s="204"/>
      <c r="U376" s="204"/>
      <c r="V376" s="204"/>
      <c r="W376" s="204"/>
      <c r="X376" s="204"/>
      <c r="Y376" s="204"/>
      <c r="Z376" s="204"/>
      <c r="AA376" s="204"/>
    </row>
    <row r="377" spans="1:27" ht="15.75" customHeight="1" x14ac:dyDescent="0.2">
      <c r="A377" s="225"/>
      <c r="B377" s="225"/>
      <c r="C377" s="225"/>
      <c r="D377" s="225"/>
      <c r="E377" s="225"/>
      <c r="F377" s="225"/>
      <c r="G377" s="225"/>
      <c r="H377" s="204"/>
      <c r="I377" s="224"/>
      <c r="J377" s="224"/>
      <c r="K377" s="224"/>
      <c r="L377" s="204"/>
      <c r="M377" s="204"/>
      <c r="N377" s="204"/>
      <c r="O377" s="204"/>
      <c r="P377" s="204"/>
      <c r="Q377" s="204"/>
      <c r="R377" s="204"/>
      <c r="S377" s="204"/>
      <c r="T377" s="204"/>
      <c r="U377" s="204"/>
      <c r="V377" s="204"/>
      <c r="W377" s="204"/>
      <c r="X377" s="204"/>
      <c r="Y377" s="204"/>
      <c r="Z377" s="204"/>
      <c r="AA377" s="204"/>
    </row>
    <row r="378" spans="1:27" ht="15.75" customHeight="1" x14ac:dyDescent="0.2">
      <c r="A378" s="225"/>
      <c r="B378" s="225"/>
      <c r="C378" s="225"/>
      <c r="D378" s="225"/>
      <c r="E378" s="225"/>
      <c r="F378" s="225"/>
      <c r="G378" s="225"/>
      <c r="H378" s="204"/>
      <c r="I378" s="224"/>
      <c r="J378" s="224"/>
      <c r="K378" s="224"/>
      <c r="L378" s="204"/>
      <c r="M378" s="204"/>
      <c r="N378" s="204"/>
      <c r="O378" s="204"/>
      <c r="P378" s="204"/>
      <c r="Q378" s="204"/>
      <c r="R378" s="204"/>
      <c r="S378" s="204"/>
      <c r="T378" s="204"/>
      <c r="U378" s="204"/>
      <c r="V378" s="204"/>
      <c r="W378" s="204"/>
      <c r="X378" s="204"/>
      <c r="Y378" s="204"/>
      <c r="Z378" s="204"/>
      <c r="AA378" s="204"/>
    </row>
    <row r="379" spans="1:27" ht="15.75" customHeight="1" x14ac:dyDescent="0.2">
      <c r="A379" s="225"/>
      <c r="B379" s="225"/>
      <c r="C379" s="225"/>
      <c r="D379" s="225"/>
      <c r="E379" s="225"/>
      <c r="F379" s="225"/>
      <c r="G379" s="225"/>
      <c r="H379" s="204"/>
      <c r="I379" s="224"/>
      <c r="J379" s="224"/>
      <c r="K379" s="224"/>
      <c r="L379" s="204"/>
      <c r="M379" s="204"/>
      <c r="N379" s="204"/>
      <c r="O379" s="204"/>
      <c r="P379" s="204"/>
      <c r="Q379" s="204"/>
      <c r="R379" s="204"/>
      <c r="S379" s="204"/>
      <c r="T379" s="204"/>
      <c r="U379" s="204"/>
      <c r="V379" s="204"/>
      <c r="W379" s="204"/>
      <c r="X379" s="204"/>
      <c r="Y379" s="204"/>
      <c r="Z379" s="204"/>
      <c r="AA379" s="204"/>
    </row>
    <row r="380" spans="1:27" ht="15.75" customHeight="1" x14ac:dyDescent="0.2">
      <c r="A380" s="225"/>
      <c r="B380" s="225"/>
      <c r="C380" s="225"/>
      <c r="D380" s="225"/>
      <c r="E380" s="225"/>
      <c r="F380" s="225"/>
      <c r="G380" s="225"/>
      <c r="H380" s="204"/>
      <c r="I380" s="224"/>
      <c r="J380" s="224"/>
      <c r="K380" s="224"/>
      <c r="L380" s="204"/>
      <c r="M380" s="204"/>
      <c r="N380" s="204"/>
      <c r="O380" s="204"/>
      <c r="P380" s="204"/>
      <c r="Q380" s="204"/>
      <c r="R380" s="204"/>
      <c r="S380" s="204"/>
      <c r="T380" s="204"/>
      <c r="U380" s="204"/>
      <c r="V380" s="204"/>
      <c r="W380" s="204"/>
      <c r="X380" s="204"/>
      <c r="Y380" s="204"/>
      <c r="Z380" s="204"/>
      <c r="AA380" s="204"/>
    </row>
    <row r="381" spans="1:27" ht="15.75" customHeight="1" x14ac:dyDescent="0.2">
      <c r="A381" s="225"/>
      <c r="B381" s="225"/>
      <c r="C381" s="225"/>
      <c r="D381" s="225"/>
      <c r="E381" s="225"/>
      <c r="F381" s="225"/>
      <c r="G381" s="225"/>
      <c r="H381" s="204"/>
      <c r="I381" s="224"/>
      <c r="J381" s="224"/>
      <c r="K381" s="224"/>
      <c r="L381" s="204"/>
      <c r="M381" s="204"/>
      <c r="N381" s="204"/>
      <c r="O381" s="204"/>
      <c r="P381" s="204"/>
      <c r="Q381" s="204"/>
      <c r="R381" s="204"/>
      <c r="S381" s="204"/>
      <c r="T381" s="204"/>
      <c r="U381" s="204"/>
      <c r="V381" s="204"/>
      <c r="W381" s="204"/>
      <c r="X381" s="204"/>
      <c r="Y381" s="204"/>
      <c r="Z381" s="204"/>
      <c r="AA381" s="204"/>
    </row>
    <row r="382" spans="1:27" ht="15.75" customHeight="1" x14ac:dyDescent="0.2">
      <c r="A382" s="225"/>
      <c r="B382" s="225"/>
      <c r="C382" s="225"/>
      <c r="D382" s="225"/>
      <c r="E382" s="225"/>
      <c r="F382" s="225"/>
      <c r="G382" s="225"/>
      <c r="H382" s="204"/>
      <c r="I382" s="224"/>
      <c r="J382" s="224"/>
      <c r="K382" s="224"/>
      <c r="L382" s="204"/>
      <c r="M382" s="204"/>
      <c r="N382" s="204"/>
      <c r="O382" s="204"/>
      <c r="P382" s="204"/>
      <c r="Q382" s="204"/>
      <c r="R382" s="204"/>
      <c r="S382" s="204"/>
      <c r="T382" s="204"/>
      <c r="U382" s="204"/>
      <c r="V382" s="204"/>
      <c r="W382" s="204"/>
      <c r="X382" s="204"/>
      <c r="Y382" s="204"/>
      <c r="Z382" s="204"/>
      <c r="AA382" s="204"/>
    </row>
    <row r="383" spans="1:27" ht="15.75" customHeight="1" x14ac:dyDescent="0.2">
      <c r="A383" s="225"/>
      <c r="B383" s="225"/>
      <c r="C383" s="225"/>
      <c r="D383" s="225"/>
      <c r="E383" s="225"/>
      <c r="F383" s="225"/>
      <c r="G383" s="225"/>
      <c r="H383" s="204"/>
      <c r="I383" s="224"/>
      <c r="J383" s="224"/>
      <c r="K383" s="224"/>
      <c r="L383" s="204"/>
      <c r="M383" s="204"/>
      <c r="N383" s="204"/>
      <c r="O383" s="204"/>
      <c r="P383" s="204"/>
      <c r="Q383" s="204"/>
      <c r="R383" s="204"/>
      <c r="S383" s="204"/>
      <c r="T383" s="204"/>
      <c r="U383" s="204"/>
      <c r="V383" s="204"/>
      <c r="W383" s="204"/>
      <c r="X383" s="204"/>
      <c r="Y383" s="204"/>
      <c r="Z383" s="204"/>
      <c r="AA383" s="204"/>
    </row>
    <row r="384" spans="1:27" ht="15.75" customHeight="1" x14ac:dyDescent="0.2">
      <c r="A384" s="225"/>
      <c r="B384" s="225"/>
      <c r="C384" s="225"/>
      <c r="D384" s="225"/>
      <c r="E384" s="225"/>
      <c r="F384" s="225"/>
      <c r="G384" s="225"/>
      <c r="H384" s="204"/>
      <c r="I384" s="224"/>
      <c r="J384" s="224"/>
      <c r="K384" s="224"/>
      <c r="L384" s="204"/>
      <c r="M384" s="204"/>
      <c r="N384" s="204"/>
      <c r="O384" s="204"/>
      <c r="P384" s="204"/>
      <c r="Q384" s="204"/>
      <c r="R384" s="204"/>
      <c r="S384" s="204"/>
      <c r="T384" s="204"/>
      <c r="U384" s="204"/>
      <c r="V384" s="204"/>
      <c r="W384" s="204"/>
      <c r="X384" s="204"/>
      <c r="Y384" s="204"/>
      <c r="Z384" s="204"/>
      <c r="AA384" s="204"/>
    </row>
    <row r="385" spans="1:27" ht="15.75" customHeight="1" x14ac:dyDescent="0.2">
      <c r="A385" s="225"/>
      <c r="B385" s="225"/>
      <c r="C385" s="225"/>
      <c r="D385" s="225"/>
      <c r="E385" s="225"/>
      <c r="F385" s="225"/>
      <c r="G385" s="225"/>
      <c r="H385" s="204"/>
      <c r="I385" s="224"/>
      <c r="J385" s="224"/>
      <c r="K385" s="224"/>
      <c r="L385" s="204"/>
      <c r="M385" s="204"/>
      <c r="N385" s="204"/>
      <c r="O385" s="204"/>
      <c r="P385" s="204"/>
      <c r="Q385" s="204"/>
      <c r="R385" s="204"/>
      <c r="S385" s="204"/>
      <c r="T385" s="204"/>
      <c r="U385" s="204"/>
      <c r="V385" s="204"/>
      <c r="W385" s="204"/>
      <c r="X385" s="204"/>
      <c r="Y385" s="204"/>
      <c r="Z385" s="204"/>
      <c r="AA385" s="204"/>
    </row>
    <row r="386" spans="1:27" ht="15.75" customHeight="1" x14ac:dyDescent="0.2">
      <c r="A386" s="225"/>
      <c r="B386" s="225"/>
      <c r="C386" s="225"/>
      <c r="D386" s="225"/>
      <c r="E386" s="225"/>
      <c r="F386" s="225"/>
      <c r="G386" s="225"/>
      <c r="H386" s="204"/>
      <c r="I386" s="224"/>
      <c r="J386" s="224"/>
      <c r="K386" s="224"/>
      <c r="L386" s="204"/>
      <c r="M386" s="204"/>
      <c r="N386" s="204"/>
      <c r="O386" s="204"/>
      <c r="P386" s="204"/>
      <c r="Q386" s="204"/>
      <c r="R386" s="204"/>
      <c r="S386" s="204"/>
      <c r="T386" s="204"/>
      <c r="U386" s="204"/>
      <c r="V386" s="204"/>
      <c r="W386" s="204"/>
      <c r="X386" s="204"/>
      <c r="Y386" s="204"/>
      <c r="Z386" s="204"/>
      <c r="AA386" s="204"/>
    </row>
    <row r="387" spans="1:27" ht="15.75" customHeight="1" x14ac:dyDescent="0.2">
      <c r="A387" s="225"/>
      <c r="B387" s="225"/>
      <c r="C387" s="225"/>
      <c r="D387" s="225"/>
      <c r="E387" s="225"/>
      <c r="F387" s="225"/>
      <c r="G387" s="225"/>
      <c r="H387" s="204"/>
      <c r="I387" s="224"/>
      <c r="J387" s="224"/>
      <c r="K387" s="224"/>
      <c r="L387" s="204"/>
      <c r="M387" s="204"/>
      <c r="N387" s="204"/>
      <c r="O387" s="204"/>
      <c r="P387" s="204"/>
      <c r="Q387" s="204"/>
      <c r="R387" s="204"/>
      <c r="S387" s="204"/>
      <c r="T387" s="204"/>
      <c r="U387" s="204"/>
      <c r="V387" s="204"/>
      <c r="W387" s="204"/>
      <c r="X387" s="204"/>
      <c r="Y387" s="204"/>
      <c r="Z387" s="204"/>
      <c r="AA387" s="204"/>
    </row>
    <row r="388" spans="1:27" ht="15.75" customHeight="1" x14ac:dyDescent="0.2">
      <c r="A388" s="225"/>
      <c r="B388" s="225"/>
      <c r="C388" s="225"/>
      <c r="D388" s="225"/>
      <c r="E388" s="225"/>
      <c r="F388" s="225"/>
      <c r="G388" s="225"/>
      <c r="H388" s="204"/>
      <c r="I388" s="224"/>
      <c r="J388" s="224"/>
      <c r="K388" s="224"/>
      <c r="L388" s="204"/>
      <c r="M388" s="204"/>
      <c r="N388" s="204"/>
      <c r="O388" s="204"/>
      <c r="P388" s="204"/>
      <c r="Q388" s="204"/>
      <c r="R388" s="204"/>
      <c r="S388" s="204"/>
      <c r="T388" s="204"/>
      <c r="U388" s="204"/>
      <c r="V388" s="204"/>
      <c r="W388" s="204"/>
      <c r="X388" s="204"/>
      <c r="Y388" s="204"/>
      <c r="Z388" s="204"/>
      <c r="AA388" s="204"/>
    </row>
    <row r="389" spans="1:27" ht="15.75" customHeight="1" x14ac:dyDescent="0.2">
      <c r="A389" s="225"/>
      <c r="B389" s="225"/>
      <c r="C389" s="225"/>
      <c r="D389" s="225"/>
      <c r="E389" s="225"/>
      <c r="F389" s="225"/>
      <c r="G389" s="225"/>
      <c r="H389" s="204"/>
      <c r="I389" s="224"/>
      <c r="J389" s="224"/>
      <c r="K389" s="224"/>
      <c r="L389" s="204"/>
      <c r="M389" s="204"/>
      <c r="N389" s="204"/>
      <c r="O389" s="204"/>
      <c r="P389" s="204"/>
      <c r="Q389" s="204"/>
      <c r="R389" s="204"/>
      <c r="S389" s="204"/>
      <c r="T389" s="204"/>
      <c r="U389" s="204"/>
      <c r="V389" s="204"/>
      <c r="W389" s="204"/>
      <c r="X389" s="204"/>
      <c r="Y389" s="204"/>
      <c r="Z389" s="204"/>
      <c r="AA389" s="204"/>
    </row>
    <row r="390" spans="1:27" ht="15.75" customHeight="1" x14ac:dyDescent="0.2">
      <c r="A390" s="225"/>
      <c r="B390" s="225"/>
      <c r="C390" s="225"/>
      <c r="D390" s="225"/>
      <c r="E390" s="225"/>
      <c r="F390" s="225"/>
      <c r="G390" s="225"/>
      <c r="H390" s="204"/>
      <c r="I390" s="224"/>
      <c r="J390" s="224"/>
      <c r="K390" s="224"/>
      <c r="L390" s="204"/>
      <c r="M390" s="204"/>
      <c r="N390" s="204"/>
      <c r="O390" s="204"/>
      <c r="P390" s="204"/>
      <c r="Q390" s="204"/>
      <c r="R390" s="204"/>
      <c r="S390" s="204"/>
      <c r="T390" s="204"/>
      <c r="U390" s="204"/>
      <c r="V390" s="204"/>
      <c r="W390" s="204"/>
      <c r="X390" s="204"/>
      <c r="Y390" s="204"/>
      <c r="Z390" s="204"/>
      <c r="AA390" s="204"/>
    </row>
    <row r="391" spans="1:27" ht="15.75" customHeight="1" x14ac:dyDescent="0.2">
      <c r="A391" s="225"/>
      <c r="B391" s="225"/>
      <c r="C391" s="225"/>
      <c r="D391" s="225"/>
      <c r="E391" s="225"/>
      <c r="F391" s="225"/>
      <c r="G391" s="225"/>
      <c r="H391" s="204"/>
      <c r="I391" s="224"/>
      <c r="J391" s="224"/>
      <c r="K391" s="224"/>
      <c r="L391" s="204"/>
      <c r="M391" s="204"/>
      <c r="N391" s="204"/>
      <c r="O391" s="204"/>
      <c r="P391" s="204"/>
      <c r="Q391" s="204"/>
      <c r="R391" s="204"/>
      <c r="S391" s="204"/>
      <c r="T391" s="204"/>
      <c r="U391" s="204"/>
      <c r="V391" s="204"/>
      <c r="W391" s="204"/>
      <c r="X391" s="204"/>
      <c r="Y391" s="204"/>
      <c r="Z391" s="204"/>
      <c r="AA391" s="204"/>
    </row>
    <row r="392" spans="1:27" ht="15.75" customHeight="1" x14ac:dyDescent="0.2">
      <c r="A392" s="225"/>
      <c r="B392" s="225"/>
      <c r="C392" s="225"/>
      <c r="D392" s="225"/>
      <c r="E392" s="225"/>
      <c r="F392" s="225"/>
      <c r="G392" s="225"/>
      <c r="H392" s="204"/>
      <c r="I392" s="224"/>
      <c r="J392" s="224"/>
      <c r="K392" s="224"/>
      <c r="L392" s="204"/>
      <c r="M392" s="204"/>
      <c r="N392" s="204"/>
      <c r="O392" s="204"/>
      <c r="P392" s="204"/>
      <c r="Q392" s="204"/>
      <c r="R392" s="204"/>
      <c r="S392" s="204"/>
      <c r="T392" s="204"/>
      <c r="U392" s="204"/>
      <c r="V392" s="204"/>
      <c r="W392" s="204"/>
      <c r="X392" s="204"/>
      <c r="Y392" s="204"/>
      <c r="Z392" s="204"/>
      <c r="AA392" s="204"/>
    </row>
    <row r="393" spans="1:27" ht="15.75" customHeight="1" x14ac:dyDescent="0.2">
      <c r="A393" s="225"/>
      <c r="B393" s="225"/>
      <c r="C393" s="225"/>
      <c r="D393" s="225"/>
      <c r="E393" s="225"/>
      <c r="F393" s="225"/>
      <c r="G393" s="225"/>
      <c r="H393" s="204"/>
      <c r="I393" s="224"/>
      <c r="J393" s="224"/>
      <c r="K393" s="224"/>
      <c r="L393" s="204"/>
      <c r="M393" s="204"/>
      <c r="N393" s="204"/>
      <c r="O393" s="204"/>
      <c r="P393" s="204"/>
      <c r="Q393" s="204"/>
      <c r="R393" s="204"/>
      <c r="S393" s="204"/>
      <c r="T393" s="204"/>
      <c r="U393" s="204"/>
      <c r="V393" s="204"/>
      <c r="W393" s="204"/>
      <c r="X393" s="204"/>
      <c r="Y393" s="204"/>
      <c r="Z393" s="204"/>
      <c r="AA393" s="204"/>
    </row>
    <row r="394" spans="1:27" ht="15.75" customHeight="1" x14ac:dyDescent="0.2">
      <c r="A394" s="225"/>
      <c r="B394" s="225"/>
      <c r="C394" s="225"/>
      <c r="D394" s="225"/>
      <c r="E394" s="225"/>
      <c r="F394" s="225"/>
      <c r="G394" s="225"/>
      <c r="H394" s="204"/>
      <c r="I394" s="224"/>
      <c r="J394" s="224"/>
      <c r="K394" s="224"/>
      <c r="L394" s="204"/>
      <c r="M394" s="204"/>
      <c r="N394" s="204"/>
      <c r="O394" s="204"/>
      <c r="P394" s="204"/>
      <c r="Q394" s="204"/>
      <c r="R394" s="204"/>
      <c r="S394" s="204"/>
      <c r="T394" s="204"/>
      <c r="U394" s="204"/>
      <c r="V394" s="204"/>
      <c r="W394" s="204"/>
      <c r="X394" s="204"/>
      <c r="Y394" s="204"/>
      <c r="Z394" s="204"/>
      <c r="AA394" s="204"/>
    </row>
    <row r="395" spans="1:27" ht="15.75" customHeight="1" x14ac:dyDescent="0.2">
      <c r="A395" s="225"/>
      <c r="B395" s="225"/>
      <c r="C395" s="225"/>
      <c r="D395" s="225"/>
      <c r="E395" s="225"/>
      <c r="F395" s="225"/>
      <c r="G395" s="225"/>
      <c r="H395" s="204"/>
      <c r="I395" s="224"/>
      <c r="J395" s="224"/>
      <c r="K395" s="224"/>
      <c r="L395" s="204"/>
      <c r="M395" s="204"/>
      <c r="N395" s="204"/>
      <c r="O395" s="204"/>
      <c r="P395" s="204"/>
      <c r="Q395" s="204"/>
      <c r="R395" s="204"/>
      <c r="S395" s="204"/>
      <c r="T395" s="204"/>
      <c r="U395" s="204"/>
      <c r="V395" s="204"/>
      <c r="W395" s="204"/>
      <c r="X395" s="204"/>
      <c r="Y395" s="204"/>
      <c r="Z395" s="204"/>
      <c r="AA395" s="204"/>
    </row>
    <row r="396" spans="1:27" ht="15.75" customHeight="1" x14ac:dyDescent="0.2">
      <c r="A396" s="225"/>
      <c r="B396" s="225"/>
      <c r="C396" s="225"/>
      <c r="D396" s="225"/>
      <c r="E396" s="225"/>
      <c r="F396" s="225"/>
      <c r="G396" s="225"/>
      <c r="H396" s="204"/>
      <c r="I396" s="224"/>
      <c r="J396" s="224"/>
      <c r="K396" s="224"/>
      <c r="L396" s="204"/>
      <c r="M396" s="204"/>
      <c r="N396" s="204"/>
      <c r="O396" s="204"/>
      <c r="P396" s="204"/>
      <c r="Q396" s="204"/>
      <c r="R396" s="204"/>
      <c r="S396" s="204"/>
      <c r="T396" s="204"/>
      <c r="U396" s="204"/>
      <c r="V396" s="204"/>
      <c r="W396" s="204"/>
      <c r="X396" s="204"/>
      <c r="Y396" s="204"/>
      <c r="Z396" s="204"/>
      <c r="AA396" s="204"/>
    </row>
    <row r="397" spans="1:27" ht="15.75" customHeight="1" x14ac:dyDescent="0.2">
      <c r="A397" s="225"/>
      <c r="B397" s="225"/>
      <c r="C397" s="225"/>
      <c r="D397" s="225"/>
      <c r="E397" s="225"/>
      <c r="F397" s="225"/>
      <c r="G397" s="225"/>
      <c r="H397" s="204"/>
      <c r="I397" s="224"/>
      <c r="J397" s="224"/>
      <c r="K397" s="224"/>
      <c r="L397" s="204"/>
      <c r="M397" s="204"/>
      <c r="N397" s="204"/>
      <c r="O397" s="204"/>
      <c r="P397" s="204"/>
      <c r="Q397" s="204"/>
      <c r="R397" s="204"/>
      <c r="S397" s="204"/>
      <c r="T397" s="204"/>
      <c r="U397" s="204"/>
      <c r="V397" s="204"/>
      <c r="W397" s="204"/>
      <c r="X397" s="204"/>
      <c r="Y397" s="204"/>
      <c r="Z397" s="204"/>
      <c r="AA397" s="204"/>
    </row>
    <row r="398" spans="1:27" ht="15.75" customHeight="1" x14ac:dyDescent="0.2">
      <c r="A398" s="225"/>
      <c r="B398" s="225"/>
      <c r="C398" s="225"/>
      <c r="D398" s="225"/>
      <c r="E398" s="225"/>
      <c r="F398" s="225"/>
      <c r="G398" s="225"/>
      <c r="H398" s="204"/>
      <c r="I398" s="224"/>
      <c r="J398" s="224"/>
      <c r="K398" s="224"/>
      <c r="L398" s="204"/>
      <c r="M398" s="204"/>
      <c r="N398" s="204"/>
      <c r="O398" s="204"/>
      <c r="P398" s="204"/>
      <c r="Q398" s="204"/>
      <c r="R398" s="204"/>
      <c r="S398" s="204"/>
      <c r="T398" s="204"/>
      <c r="U398" s="204"/>
      <c r="V398" s="204"/>
      <c r="W398" s="204"/>
      <c r="X398" s="204"/>
      <c r="Y398" s="204"/>
      <c r="Z398" s="204"/>
      <c r="AA398" s="204"/>
    </row>
    <row r="399" spans="1:27" ht="15.75" customHeight="1" x14ac:dyDescent="0.2">
      <c r="A399" s="225"/>
      <c r="B399" s="225"/>
      <c r="C399" s="225"/>
      <c r="D399" s="225"/>
      <c r="E399" s="225"/>
      <c r="F399" s="225"/>
      <c r="G399" s="225"/>
      <c r="H399" s="204"/>
      <c r="I399" s="224"/>
      <c r="J399" s="224"/>
      <c r="K399" s="224"/>
      <c r="L399" s="204"/>
      <c r="M399" s="204"/>
      <c r="N399" s="204"/>
      <c r="O399" s="204"/>
      <c r="P399" s="204"/>
      <c r="Q399" s="204"/>
      <c r="R399" s="204"/>
      <c r="S399" s="204"/>
      <c r="T399" s="204"/>
      <c r="U399" s="204"/>
      <c r="V399" s="204"/>
      <c r="W399" s="204"/>
      <c r="X399" s="204"/>
      <c r="Y399" s="204"/>
      <c r="Z399" s="204"/>
      <c r="AA399" s="204"/>
    </row>
    <row r="400" spans="1:27" ht="15.75" customHeight="1" x14ac:dyDescent="0.2">
      <c r="A400" s="225"/>
      <c r="B400" s="225"/>
      <c r="C400" s="225"/>
      <c r="D400" s="225"/>
      <c r="E400" s="225"/>
      <c r="F400" s="225"/>
      <c r="G400" s="225"/>
      <c r="H400" s="204"/>
      <c r="I400" s="224"/>
      <c r="J400" s="224"/>
      <c r="K400" s="224"/>
      <c r="L400" s="204"/>
      <c r="M400" s="204"/>
      <c r="N400" s="204"/>
      <c r="O400" s="204"/>
      <c r="P400" s="204"/>
      <c r="Q400" s="204"/>
      <c r="R400" s="204"/>
      <c r="S400" s="204"/>
      <c r="T400" s="204"/>
      <c r="U400" s="204"/>
      <c r="V400" s="204"/>
      <c r="W400" s="204"/>
      <c r="X400" s="204"/>
      <c r="Y400" s="204"/>
      <c r="Z400" s="204"/>
      <c r="AA400" s="204"/>
    </row>
    <row r="401" spans="1:27" ht="15.75" customHeight="1" x14ac:dyDescent="0.2">
      <c r="A401" s="225"/>
      <c r="B401" s="225"/>
      <c r="C401" s="225"/>
      <c r="D401" s="225"/>
      <c r="E401" s="225"/>
      <c r="F401" s="225"/>
      <c r="G401" s="225"/>
      <c r="H401" s="204"/>
      <c r="I401" s="224"/>
      <c r="J401" s="224"/>
      <c r="K401" s="224"/>
      <c r="L401" s="204"/>
      <c r="M401" s="204"/>
      <c r="N401" s="204"/>
      <c r="O401" s="204"/>
      <c r="P401" s="204"/>
      <c r="Q401" s="204"/>
      <c r="R401" s="204"/>
      <c r="S401" s="204"/>
      <c r="T401" s="204"/>
      <c r="U401" s="204"/>
      <c r="V401" s="204"/>
      <c r="W401" s="204"/>
      <c r="X401" s="204"/>
      <c r="Y401" s="204"/>
      <c r="Z401" s="204"/>
      <c r="AA401" s="204"/>
    </row>
    <row r="402" spans="1:27" ht="15.75" customHeight="1" x14ac:dyDescent="0.2">
      <c r="A402" s="225"/>
      <c r="B402" s="225"/>
      <c r="C402" s="225"/>
      <c r="D402" s="225"/>
      <c r="E402" s="225"/>
      <c r="F402" s="225"/>
      <c r="G402" s="225"/>
      <c r="H402" s="204"/>
      <c r="I402" s="224"/>
      <c r="J402" s="224"/>
      <c r="K402" s="224"/>
      <c r="L402" s="204"/>
      <c r="M402" s="204"/>
      <c r="N402" s="204"/>
      <c r="O402" s="204"/>
      <c r="P402" s="204"/>
      <c r="Q402" s="204"/>
      <c r="R402" s="204"/>
      <c r="S402" s="204"/>
      <c r="T402" s="204"/>
      <c r="U402" s="204"/>
      <c r="V402" s="204"/>
      <c r="W402" s="204"/>
      <c r="X402" s="204"/>
      <c r="Y402" s="204"/>
      <c r="Z402" s="204"/>
      <c r="AA402" s="204"/>
    </row>
    <row r="403" spans="1:27" ht="15.75" customHeight="1" x14ac:dyDescent="0.2">
      <c r="A403" s="225"/>
      <c r="B403" s="225"/>
      <c r="C403" s="225"/>
      <c r="D403" s="225"/>
      <c r="E403" s="225"/>
      <c r="F403" s="225"/>
      <c r="G403" s="225"/>
      <c r="H403" s="204"/>
      <c r="I403" s="224"/>
      <c r="J403" s="224"/>
      <c r="K403" s="224"/>
      <c r="L403" s="204"/>
      <c r="M403" s="204"/>
      <c r="N403" s="204"/>
      <c r="O403" s="204"/>
      <c r="P403" s="204"/>
      <c r="Q403" s="204"/>
      <c r="R403" s="204"/>
      <c r="S403" s="204"/>
      <c r="T403" s="204"/>
      <c r="U403" s="204"/>
      <c r="V403" s="204"/>
      <c r="W403" s="204"/>
      <c r="X403" s="204"/>
      <c r="Y403" s="204"/>
      <c r="Z403" s="204"/>
      <c r="AA403" s="204"/>
    </row>
    <row r="404" spans="1:27" ht="15.75" customHeight="1" x14ac:dyDescent="0.2">
      <c r="A404" s="225"/>
      <c r="B404" s="225"/>
      <c r="C404" s="225"/>
      <c r="D404" s="225"/>
      <c r="E404" s="225"/>
      <c r="F404" s="225"/>
      <c r="G404" s="225"/>
      <c r="H404" s="204"/>
      <c r="I404" s="224"/>
      <c r="J404" s="224"/>
      <c r="K404" s="224"/>
      <c r="L404" s="204"/>
      <c r="M404" s="204"/>
      <c r="N404" s="204"/>
      <c r="O404" s="204"/>
      <c r="P404" s="204"/>
      <c r="Q404" s="204"/>
      <c r="R404" s="204"/>
      <c r="S404" s="204"/>
      <c r="T404" s="204"/>
      <c r="U404" s="204"/>
      <c r="V404" s="204"/>
      <c r="W404" s="204"/>
      <c r="X404" s="204"/>
      <c r="Y404" s="204"/>
      <c r="Z404" s="204"/>
      <c r="AA404" s="204"/>
    </row>
    <row r="405" spans="1:27" ht="15.75" customHeight="1" x14ac:dyDescent="0.2">
      <c r="A405" s="225"/>
      <c r="B405" s="225"/>
      <c r="C405" s="225"/>
      <c r="D405" s="225"/>
      <c r="E405" s="225"/>
      <c r="F405" s="225"/>
      <c r="G405" s="225"/>
      <c r="H405" s="204"/>
      <c r="I405" s="224"/>
      <c r="J405" s="224"/>
      <c r="K405" s="224"/>
      <c r="L405" s="204"/>
      <c r="M405" s="204"/>
      <c r="N405" s="204"/>
      <c r="O405" s="204"/>
      <c r="P405" s="204"/>
      <c r="Q405" s="204"/>
      <c r="R405" s="204"/>
      <c r="S405" s="204"/>
      <c r="T405" s="204"/>
      <c r="U405" s="204"/>
      <c r="V405" s="204"/>
      <c r="W405" s="204"/>
      <c r="X405" s="204"/>
      <c r="Y405" s="204"/>
      <c r="Z405" s="204"/>
      <c r="AA405" s="204"/>
    </row>
    <row r="406" spans="1:27" ht="15.75" customHeight="1" x14ac:dyDescent="0.2">
      <c r="A406" s="225"/>
      <c r="B406" s="225"/>
      <c r="C406" s="225"/>
      <c r="D406" s="225"/>
      <c r="E406" s="225"/>
      <c r="F406" s="225"/>
      <c r="G406" s="225"/>
      <c r="H406" s="204"/>
      <c r="I406" s="224"/>
      <c r="J406" s="224"/>
      <c r="K406" s="224"/>
      <c r="L406" s="204"/>
      <c r="M406" s="204"/>
      <c r="N406" s="204"/>
      <c r="O406" s="204"/>
      <c r="P406" s="204"/>
      <c r="Q406" s="204"/>
      <c r="R406" s="204"/>
      <c r="S406" s="204"/>
      <c r="T406" s="204"/>
      <c r="U406" s="204"/>
      <c r="V406" s="204"/>
      <c r="W406" s="204"/>
      <c r="X406" s="204"/>
      <c r="Y406" s="204"/>
      <c r="Z406" s="204"/>
      <c r="AA406" s="204"/>
    </row>
    <row r="407" spans="1:27" ht="15.75" customHeight="1" x14ac:dyDescent="0.2">
      <c r="A407" s="225"/>
      <c r="B407" s="225"/>
      <c r="C407" s="225"/>
      <c r="D407" s="225"/>
      <c r="E407" s="225"/>
      <c r="F407" s="225"/>
      <c r="G407" s="225"/>
      <c r="H407" s="204"/>
      <c r="I407" s="224"/>
      <c r="J407" s="224"/>
      <c r="K407" s="224"/>
      <c r="L407" s="204"/>
      <c r="M407" s="204"/>
      <c r="N407" s="204"/>
      <c r="O407" s="204"/>
      <c r="P407" s="204"/>
      <c r="Q407" s="204"/>
      <c r="R407" s="204"/>
      <c r="S407" s="204"/>
      <c r="T407" s="204"/>
      <c r="U407" s="204"/>
      <c r="V407" s="204"/>
      <c r="W407" s="204"/>
      <c r="X407" s="204"/>
      <c r="Y407" s="204"/>
      <c r="Z407" s="204"/>
      <c r="AA407" s="204"/>
    </row>
    <row r="408" spans="1:27" ht="15.75" customHeight="1" x14ac:dyDescent="0.2">
      <c r="A408" s="225"/>
      <c r="B408" s="225"/>
      <c r="C408" s="225"/>
      <c r="D408" s="225"/>
      <c r="E408" s="225"/>
      <c r="F408" s="225"/>
      <c r="G408" s="225"/>
      <c r="H408" s="204"/>
      <c r="I408" s="224"/>
      <c r="J408" s="224"/>
      <c r="K408" s="224"/>
      <c r="L408" s="204"/>
      <c r="M408" s="204"/>
      <c r="N408" s="204"/>
      <c r="O408" s="204"/>
      <c r="P408" s="204"/>
      <c r="Q408" s="204"/>
      <c r="R408" s="204"/>
      <c r="S408" s="204"/>
      <c r="T408" s="204"/>
      <c r="U408" s="204"/>
      <c r="V408" s="204"/>
      <c r="W408" s="204"/>
      <c r="X408" s="204"/>
      <c r="Y408" s="204"/>
      <c r="Z408" s="204"/>
      <c r="AA408" s="204"/>
    </row>
    <row r="409" spans="1:27" ht="15.75" customHeight="1" x14ac:dyDescent="0.2">
      <c r="A409" s="225"/>
      <c r="B409" s="225"/>
      <c r="C409" s="225"/>
      <c r="D409" s="225"/>
      <c r="E409" s="225"/>
      <c r="F409" s="225"/>
      <c r="G409" s="225"/>
      <c r="H409" s="204"/>
      <c r="I409" s="224"/>
      <c r="J409" s="224"/>
      <c r="K409" s="224"/>
      <c r="L409" s="204"/>
      <c r="M409" s="204"/>
      <c r="N409" s="204"/>
      <c r="O409" s="204"/>
      <c r="P409" s="204"/>
      <c r="Q409" s="204"/>
      <c r="R409" s="204"/>
      <c r="S409" s="204"/>
      <c r="T409" s="204"/>
      <c r="U409" s="204"/>
      <c r="V409" s="204"/>
      <c r="W409" s="204"/>
      <c r="X409" s="204"/>
      <c r="Y409" s="204"/>
      <c r="Z409" s="204"/>
      <c r="AA409" s="204"/>
    </row>
    <row r="410" spans="1:27" ht="15.75" customHeight="1" x14ac:dyDescent="0.2">
      <c r="A410" s="225"/>
      <c r="B410" s="225"/>
      <c r="C410" s="225"/>
      <c r="D410" s="225"/>
      <c r="E410" s="225"/>
      <c r="F410" s="225"/>
      <c r="G410" s="225"/>
      <c r="H410" s="204"/>
      <c r="I410" s="224"/>
      <c r="J410" s="224"/>
      <c r="K410" s="224"/>
      <c r="L410" s="204"/>
      <c r="M410" s="204"/>
      <c r="N410" s="204"/>
      <c r="O410" s="204"/>
      <c r="P410" s="204"/>
      <c r="Q410" s="204"/>
      <c r="R410" s="204"/>
      <c r="S410" s="204"/>
      <c r="T410" s="204"/>
      <c r="U410" s="204"/>
      <c r="V410" s="204"/>
      <c r="W410" s="204"/>
      <c r="X410" s="204"/>
      <c r="Y410" s="204"/>
      <c r="Z410" s="204"/>
      <c r="AA410" s="204"/>
    </row>
    <row r="411" spans="1:27" ht="15.75" customHeight="1" x14ac:dyDescent="0.2">
      <c r="A411" s="225"/>
      <c r="B411" s="225"/>
      <c r="C411" s="225"/>
      <c r="D411" s="225"/>
      <c r="E411" s="225"/>
      <c r="F411" s="225"/>
      <c r="G411" s="225"/>
      <c r="H411" s="204"/>
      <c r="I411" s="224"/>
      <c r="J411" s="224"/>
      <c r="K411" s="224"/>
      <c r="L411" s="204"/>
      <c r="M411" s="204"/>
      <c r="N411" s="204"/>
      <c r="O411" s="204"/>
      <c r="P411" s="204"/>
      <c r="Q411" s="204"/>
      <c r="R411" s="204"/>
      <c r="S411" s="204"/>
      <c r="T411" s="204"/>
      <c r="U411" s="204"/>
      <c r="V411" s="204"/>
      <c r="W411" s="204"/>
      <c r="X411" s="204"/>
      <c r="Y411" s="204"/>
      <c r="Z411" s="204"/>
      <c r="AA411" s="204"/>
    </row>
    <row r="412" spans="1:27" ht="15.75" customHeight="1" x14ac:dyDescent="0.2">
      <c r="A412" s="225"/>
      <c r="B412" s="225"/>
      <c r="C412" s="225"/>
      <c r="D412" s="225"/>
      <c r="E412" s="225"/>
      <c r="F412" s="225"/>
      <c r="G412" s="225"/>
      <c r="H412" s="204"/>
      <c r="I412" s="224"/>
      <c r="J412" s="224"/>
      <c r="K412" s="224"/>
      <c r="L412" s="204"/>
      <c r="M412" s="204"/>
      <c r="N412" s="204"/>
      <c r="O412" s="204"/>
      <c r="P412" s="204"/>
      <c r="Q412" s="204"/>
      <c r="R412" s="204"/>
      <c r="S412" s="204"/>
      <c r="T412" s="204"/>
      <c r="U412" s="204"/>
      <c r="V412" s="204"/>
      <c r="W412" s="204"/>
      <c r="X412" s="204"/>
      <c r="Y412" s="204"/>
      <c r="Z412" s="204"/>
      <c r="AA412" s="204"/>
    </row>
    <row r="413" spans="1:27" ht="15.75" customHeight="1" x14ac:dyDescent="0.2">
      <c r="A413" s="225"/>
      <c r="B413" s="225"/>
      <c r="C413" s="225"/>
      <c r="D413" s="225"/>
      <c r="E413" s="225"/>
      <c r="F413" s="225"/>
      <c r="G413" s="225"/>
      <c r="H413" s="204"/>
      <c r="I413" s="224"/>
      <c r="J413" s="224"/>
      <c r="K413" s="224"/>
      <c r="L413" s="204"/>
      <c r="M413" s="204"/>
      <c r="N413" s="204"/>
      <c r="O413" s="204"/>
      <c r="P413" s="204"/>
      <c r="Q413" s="204"/>
      <c r="R413" s="204"/>
      <c r="S413" s="204"/>
      <c r="T413" s="204"/>
      <c r="U413" s="204"/>
      <c r="V413" s="204"/>
      <c r="W413" s="204"/>
      <c r="X413" s="204"/>
      <c r="Y413" s="204"/>
      <c r="Z413" s="204"/>
      <c r="AA413" s="204"/>
    </row>
    <row r="414" spans="1:27" ht="15.75" customHeight="1" x14ac:dyDescent="0.2">
      <c r="A414" s="225"/>
      <c r="B414" s="225"/>
      <c r="C414" s="225"/>
      <c r="D414" s="225"/>
      <c r="E414" s="225"/>
      <c r="F414" s="225"/>
      <c r="G414" s="225"/>
      <c r="H414" s="204"/>
      <c r="I414" s="224"/>
      <c r="J414" s="224"/>
      <c r="K414" s="224"/>
      <c r="L414" s="204"/>
      <c r="M414" s="204"/>
      <c r="N414" s="204"/>
      <c r="O414" s="204"/>
      <c r="P414" s="204"/>
      <c r="Q414" s="204"/>
      <c r="R414" s="204"/>
      <c r="S414" s="204"/>
      <c r="T414" s="204"/>
      <c r="U414" s="204"/>
      <c r="V414" s="204"/>
      <c r="W414" s="204"/>
      <c r="X414" s="204"/>
      <c r="Y414" s="204"/>
      <c r="Z414" s="204"/>
      <c r="AA414" s="204"/>
    </row>
    <row r="415" spans="1:27" ht="15.75" customHeight="1" x14ac:dyDescent="0.2">
      <c r="A415" s="225"/>
      <c r="B415" s="225"/>
      <c r="C415" s="225"/>
      <c r="D415" s="225"/>
      <c r="E415" s="225"/>
      <c r="F415" s="225"/>
      <c r="G415" s="225"/>
      <c r="H415" s="204"/>
      <c r="I415" s="224"/>
      <c r="J415" s="224"/>
      <c r="K415" s="224"/>
      <c r="L415" s="204"/>
      <c r="M415" s="204"/>
      <c r="N415" s="204"/>
      <c r="O415" s="204"/>
      <c r="P415" s="204"/>
      <c r="Q415" s="204"/>
      <c r="R415" s="204"/>
      <c r="S415" s="204"/>
      <c r="T415" s="204"/>
      <c r="U415" s="204"/>
      <c r="V415" s="204"/>
      <c r="W415" s="204"/>
      <c r="X415" s="204"/>
      <c r="Y415" s="204"/>
      <c r="Z415" s="204"/>
      <c r="AA415" s="204"/>
    </row>
    <row r="416" spans="1:27" ht="15.75" customHeight="1" x14ac:dyDescent="0.2">
      <c r="A416" s="225"/>
      <c r="B416" s="225"/>
      <c r="C416" s="225"/>
      <c r="D416" s="225"/>
      <c r="E416" s="225"/>
      <c r="F416" s="225"/>
      <c r="G416" s="225"/>
      <c r="H416" s="204"/>
      <c r="I416" s="224"/>
      <c r="J416" s="224"/>
      <c r="K416" s="224"/>
      <c r="L416" s="204"/>
      <c r="M416" s="204"/>
      <c r="N416" s="204"/>
      <c r="O416" s="204"/>
      <c r="P416" s="204"/>
      <c r="Q416" s="204"/>
      <c r="R416" s="204"/>
      <c r="S416" s="204"/>
      <c r="T416" s="204"/>
      <c r="U416" s="204"/>
      <c r="V416" s="204"/>
      <c r="W416" s="204"/>
      <c r="X416" s="204"/>
      <c r="Y416" s="204"/>
      <c r="Z416" s="204"/>
      <c r="AA416" s="204"/>
    </row>
    <row r="417" spans="1:27" ht="15.75" customHeight="1" x14ac:dyDescent="0.2">
      <c r="A417" s="225"/>
      <c r="B417" s="225"/>
      <c r="C417" s="225"/>
      <c r="D417" s="225"/>
      <c r="E417" s="225"/>
      <c r="F417" s="225"/>
      <c r="G417" s="225"/>
      <c r="H417" s="204"/>
      <c r="I417" s="224"/>
      <c r="J417" s="224"/>
      <c r="K417" s="224"/>
      <c r="L417" s="204"/>
      <c r="M417" s="204"/>
      <c r="N417" s="204"/>
      <c r="O417" s="204"/>
      <c r="P417" s="204"/>
      <c r="Q417" s="204"/>
      <c r="R417" s="204"/>
      <c r="S417" s="204"/>
      <c r="T417" s="204"/>
      <c r="U417" s="204"/>
      <c r="V417" s="204"/>
      <c r="W417" s="204"/>
      <c r="X417" s="204"/>
      <c r="Y417" s="204"/>
      <c r="Z417" s="204"/>
      <c r="AA417" s="204"/>
    </row>
    <row r="418" spans="1:27" ht="15.75" customHeight="1" x14ac:dyDescent="0.2">
      <c r="A418" s="225"/>
      <c r="B418" s="225"/>
      <c r="C418" s="225"/>
      <c r="D418" s="225"/>
      <c r="E418" s="225"/>
      <c r="F418" s="225"/>
      <c r="G418" s="225"/>
      <c r="H418" s="204"/>
      <c r="I418" s="224"/>
      <c r="J418" s="224"/>
      <c r="K418" s="224"/>
      <c r="L418" s="204"/>
      <c r="M418" s="204"/>
      <c r="N418" s="204"/>
      <c r="O418" s="204"/>
      <c r="P418" s="204"/>
      <c r="Q418" s="204"/>
      <c r="R418" s="204"/>
      <c r="S418" s="204"/>
      <c r="T418" s="204"/>
      <c r="U418" s="204"/>
      <c r="V418" s="204"/>
      <c r="W418" s="204"/>
      <c r="X418" s="204"/>
      <c r="Y418" s="204"/>
      <c r="Z418" s="204"/>
      <c r="AA418" s="204"/>
    </row>
    <row r="419" spans="1:27" ht="15.75" customHeight="1" x14ac:dyDescent="0.2">
      <c r="A419" s="225"/>
      <c r="B419" s="225"/>
      <c r="C419" s="225"/>
      <c r="D419" s="225"/>
      <c r="E419" s="225"/>
      <c r="F419" s="225"/>
      <c r="G419" s="225"/>
      <c r="H419" s="204"/>
      <c r="I419" s="224"/>
      <c r="J419" s="224"/>
      <c r="K419" s="224"/>
      <c r="L419" s="204"/>
      <c r="M419" s="204"/>
      <c r="N419" s="204"/>
      <c r="O419" s="204"/>
      <c r="P419" s="204"/>
      <c r="Q419" s="204"/>
      <c r="R419" s="204"/>
      <c r="S419" s="204"/>
      <c r="T419" s="204"/>
      <c r="U419" s="204"/>
      <c r="V419" s="204"/>
      <c r="W419" s="204"/>
      <c r="X419" s="204"/>
      <c r="Y419" s="204"/>
      <c r="Z419" s="204"/>
      <c r="AA419" s="204"/>
    </row>
    <row r="420" spans="1:27" ht="15.75" customHeight="1" x14ac:dyDescent="0.2">
      <c r="A420" s="225"/>
      <c r="B420" s="225"/>
      <c r="C420" s="225"/>
      <c r="D420" s="225"/>
      <c r="E420" s="225"/>
      <c r="F420" s="225"/>
      <c r="G420" s="225"/>
      <c r="H420" s="204"/>
      <c r="I420" s="224"/>
      <c r="J420" s="224"/>
      <c r="K420" s="224"/>
      <c r="L420" s="204"/>
      <c r="M420" s="204"/>
      <c r="N420" s="204"/>
      <c r="O420" s="204"/>
      <c r="P420" s="204"/>
      <c r="Q420" s="204"/>
      <c r="R420" s="204"/>
      <c r="S420" s="204"/>
      <c r="T420" s="204"/>
      <c r="U420" s="204"/>
      <c r="V420" s="204"/>
      <c r="W420" s="204"/>
      <c r="X420" s="204"/>
      <c r="Y420" s="204"/>
      <c r="Z420" s="204"/>
      <c r="AA420" s="204"/>
    </row>
    <row r="421" spans="1:27" ht="15.75" customHeight="1" x14ac:dyDescent="0.2">
      <c r="A421" s="225"/>
      <c r="B421" s="225"/>
      <c r="C421" s="225"/>
      <c r="D421" s="225"/>
      <c r="E421" s="225"/>
      <c r="F421" s="225"/>
      <c r="G421" s="225"/>
      <c r="H421" s="204"/>
      <c r="I421" s="224"/>
      <c r="J421" s="224"/>
      <c r="K421" s="224"/>
      <c r="L421" s="204"/>
      <c r="M421" s="204"/>
      <c r="N421" s="204"/>
      <c r="O421" s="204"/>
      <c r="P421" s="204"/>
      <c r="Q421" s="204"/>
      <c r="R421" s="204"/>
      <c r="S421" s="204"/>
      <c r="T421" s="204"/>
      <c r="U421" s="204"/>
      <c r="V421" s="204"/>
      <c r="W421" s="204"/>
      <c r="X421" s="204"/>
      <c r="Y421" s="204"/>
      <c r="Z421" s="204"/>
      <c r="AA421" s="204"/>
    </row>
    <row r="422" spans="1:27" ht="15.75" customHeight="1" x14ac:dyDescent="0.2">
      <c r="A422" s="225"/>
      <c r="B422" s="225"/>
      <c r="C422" s="225"/>
      <c r="D422" s="225"/>
      <c r="E422" s="225"/>
      <c r="F422" s="225"/>
      <c r="G422" s="225"/>
      <c r="H422" s="204"/>
      <c r="I422" s="224"/>
      <c r="J422" s="224"/>
      <c r="K422" s="224"/>
      <c r="L422" s="204"/>
      <c r="M422" s="204"/>
      <c r="N422" s="204"/>
      <c r="O422" s="204"/>
      <c r="P422" s="204"/>
      <c r="Q422" s="204"/>
      <c r="R422" s="204"/>
      <c r="S422" s="204"/>
      <c r="T422" s="204"/>
      <c r="U422" s="204"/>
      <c r="V422" s="204"/>
      <c r="W422" s="204"/>
      <c r="X422" s="204"/>
      <c r="Y422" s="204"/>
      <c r="Z422" s="204"/>
      <c r="AA422" s="204"/>
    </row>
    <row r="423" spans="1:27" ht="15.75" customHeight="1" x14ac:dyDescent="0.2">
      <c r="A423" s="225"/>
      <c r="B423" s="225"/>
      <c r="C423" s="225"/>
      <c r="D423" s="225"/>
      <c r="E423" s="225"/>
      <c r="F423" s="225"/>
      <c r="G423" s="225"/>
      <c r="H423" s="204"/>
      <c r="I423" s="224"/>
      <c r="J423" s="224"/>
      <c r="K423" s="224"/>
      <c r="L423" s="204"/>
      <c r="M423" s="204"/>
      <c r="N423" s="204"/>
      <c r="O423" s="204"/>
      <c r="P423" s="204"/>
      <c r="Q423" s="204"/>
      <c r="R423" s="204"/>
      <c r="S423" s="204"/>
      <c r="T423" s="204"/>
      <c r="U423" s="204"/>
      <c r="V423" s="204"/>
      <c r="W423" s="204"/>
      <c r="X423" s="204"/>
      <c r="Y423" s="204"/>
      <c r="Z423" s="204"/>
      <c r="AA423" s="204"/>
    </row>
    <row r="424" spans="1:27" ht="15.75" customHeight="1" x14ac:dyDescent="0.2">
      <c r="A424" s="225"/>
      <c r="B424" s="225"/>
      <c r="C424" s="225"/>
      <c r="D424" s="225"/>
      <c r="E424" s="225"/>
      <c r="F424" s="225"/>
      <c r="G424" s="225"/>
      <c r="H424" s="204"/>
      <c r="I424" s="224"/>
      <c r="J424" s="224"/>
      <c r="K424" s="224"/>
      <c r="L424" s="204"/>
      <c r="M424" s="204"/>
      <c r="N424" s="204"/>
      <c r="O424" s="204"/>
      <c r="P424" s="204"/>
      <c r="Q424" s="204"/>
      <c r="R424" s="204"/>
      <c r="S424" s="204"/>
      <c r="T424" s="204"/>
      <c r="U424" s="204"/>
      <c r="V424" s="204"/>
      <c r="W424" s="204"/>
      <c r="X424" s="204"/>
      <c r="Y424" s="204"/>
      <c r="Z424" s="204"/>
      <c r="AA424" s="204"/>
    </row>
    <row r="425" spans="1:27" ht="15.75" customHeight="1" x14ac:dyDescent="0.2">
      <c r="A425" s="225"/>
      <c r="B425" s="225"/>
      <c r="C425" s="225"/>
      <c r="D425" s="225"/>
      <c r="E425" s="225"/>
      <c r="F425" s="225"/>
      <c r="G425" s="225"/>
      <c r="H425" s="204"/>
      <c r="I425" s="224"/>
      <c r="J425" s="224"/>
      <c r="K425" s="224"/>
      <c r="L425" s="204"/>
      <c r="M425" s="204"/>
      <c r="N425" s="204"/>
      <c r="O425" s="204"/>
      <c r="P425" s="204"/>
      <c r="Q425" s="204"/>
      <c r="R425" s="204"/>
      <c r="S425" s="204"/>
      <c r="T425" s="204"/>
      <c r="U425" s="204"/>
      <c r="V425" s="204"/>
      <c r="W425" s="204"/>
      <c r="X425" s="204"/>
      <c r="Y425" s="204"/>
      <c r="Z425" s="204"/>
      <c r="AA425" s="204"/>
    </row>
    <row r="426" spans="1:27" ht="15.75" customHeight="1" x14ac:dyDescent="0.2">
      <c r="A426" s="225"/>
      <c r="B426" s="225"/>
      <c r="C426" s="225"/>
      <c r="D426" s="225"/>
      <c r="E426" s="225"/>
      <c r="F426" s="225"/>
      <c r="G426" s="225"/>
      <c r="H426" s="204"/>
      <c r="I426" s="224"/>
      <c r="J426" s="224"/>
      <c r="K426" s="224"/>
      <c r="L426" s="204"/>
      <c r="M426" s="204"/>
      <c r="N426" s="204"/>
      <c r="O426" s="204"/>
      <c r="P426" s="204"/>
      <c r="Q426" s="204"/>
      <c r="R426" s="204"/>
      <c r="S426" s="204"/>
      <c r="T426" s="204"/>
      <c r="U426" s="204"/>
      <c r="V426" s="204"/>
      <c r="W426" s="204"/>
      <c r="X426" s="204"/>
      <c r="Y426" s="204"/>
      <c r="Z426" s="204"/>
      <c r="AA426" s="204"/>
    </row>
    <row r="427" spans="1:27" ht="15.75" customHeight="1" x14ac:dyDescent="0.2">
      <c r="A427" s="225"/>
      <c r="B427" s="225"/>
      <c r="C427" s="225"/>
      <c r="D427" s="225"/>
      <c r="E427" s="225"/>
      <c r="F427" s="225"/>
      <c r="G427" s="225"/>
      <c r="H427" s="204"/>
      <c r="I427" s="224"/>
      <c r="J427" s="224"/>
      <c r="K427" s="224"/>
      <c r="L427" s="204"/>
      <c r="M427" s="204"/>
      <c r="N427" s="204"/>
      <c r="O427" s="204"/>
      <c r="P427" s="204"/>
      <c r="Q427" s="204"/>
      <c r="R427" s="204"/>
      <c r="S427" s="204"/>
      <c r="T427" s="204"/>
      <c r="U427" s="204"/>
      <c r="V427" s="204"/>
      <c r="W427" s="204"/>
      <c r="X427" s="204"/>
      <c r="Y427" s="204"/>
      <c r="Z427" s="204"/>
      <c r="AA427" s="204"/>
    </row>
    <row r="428" spans="1:27" ht="15.75" customHeight="1" x14ac:dyDescent="0.2">
      <c r="A428" s="225"/>
      <c r="B428" s="225"/>
      <c r="C428" s="225"/>
      <c r="D428" s="225"/>
      <c r="E428" s="225"/>
      <c r="F428" s="225"/>
      <c r="G428" s="225"/>
      <c r="H428" s="204"/>
      <c r="I428" s="224"/>
      <c r="J428" s="224"/>
      <c r="K428" s="224"/>
      <c r="L428" s="204"/>
      <c r="M428" s="204"/>
      <c r="N428" s="204"/>
      <c r="O428" s="204"/>
      <c r="P428" s="204"/>
      <c r="Q428" s="204"/>
      <c r="R428" s="204"/>
      <c r="S428" s="204"/>
      <c r="T428" s="204"/>
      <c r="U428" s="204"/>
      <c r="V428" s="204"/>
      <c r="W428" s="204"/>
      <c r="X428" s="204"/>
      <c r="Y428" s="204"/>
      <c r="Z428" s="204"/>
      <c r="AA428" s="204"/>
    </row>
    <row r="429" spans="1:27" ht="15.75" customHeight="1" x14ac:dyDescent="0.2">
      <c r="A429" s="225"/>
      <c r="B429" s="225"/>
      <c r="C429" s="225"/>
      <c r="D429" s="225"/>
      <c r="E429" s="225"/>
      <c r="F429" s="225"/>
      <c r="G429" s="225"/>
      <c r="H429" s="204"/>
      <c r="I429" s="224"/>
      <c r="J429" s="224"/>
      <c r="K429" s="224"/>
      <c r="L429" s="204"/>
      <c r="M429" s="204"/>
      <c r="N429" s="204"/>
      <c r="O429" s="204"/>
      <c r="P429" s="204"/>
      <c r="Q429" s="204"/>
      <c r="R429" s="204"/>
      <c r="S429" s="204"/>
      <c r="T429" s="204"/>
      <c r="U429" s="204"/>
      <c r="V429" s="204"/>
      <c r="W429" s="204"/>
      <c r="X429" s="204"/>
      <c r="Y429" s="204"/>
      <c r="Z429" s="204"/>
      <c r="AA429" s="204"/>
    </row>
    <row r="430" spans="1:27" ht="15.75" customHeight="1" x14ac:dyDescent="0.2">
      <c r="A430" s="225"/>
      <c r="B430" s="225"/>
      <c r="C430" s="225"/>
      <c r="D430" s="225"/>
      <c r="E430" s="225"/>
      <c r="F430" s="225"/>
      <c r="G430" s="225"/>
      <c r="H430" s="204"/>
      <c r="I430" s="224"/>
      <c r="J430" s="224"/>
      <c r="K430" s="224"/>
      <c r="L430" s="204"/>
      <c r="M430" s="204"/>
      <c r="N430" s="204"/>
      <c r="O430" s="204"/>
      <c r="P430" s="204"/>
      <c r="Q430" s="204"/>
      <c r="R430" s="204"/>
      <c r="S430" s="204"/>
      <c r="T430" s="204"/>
      <c r="U430" s="204"/>
      <c r="V430" s="204"/>
      <c r="W430" s="204"/>
      <c r="X430" s="204"/>
      <c r="Y430" s="204"/>
      <c r="Z430" s="204"/>
      <c r="AA430" s="204"/>
    </row>
    <row r="431" spans="1:27" ht="15.75" customHeight="1" x14ac:dyDescent="0.2">
      <c r="A431" s="225"/>
      <c r="B431" s="225"/>
      <c r="C431" s="225"/>
      <c r="D431" s="225"/>
      <c r="E431" s="225"/>
      <c r="F431" s="225"/>
      <c r="G431" s="225"/>
      <c r="H431" s="204"/>
      <c r="I431" s="224"/>
      <c r="J431" s="224"/>
      <c r="K431" s="224"/>
      <c r="L431" s="204"/>
      <c r="M431" s="204"/>
      <c r="N431" s="204"/>
      <c r="O431" s="204"/>
      <c r="P431" s="204"/>
      <c r="Q431" s="204"/>
      <c r="R431" s="204"/>
      <c r="S431" s="204"/>
      <c r="T431" s="204"/>
      <c r="U431" s="204"/>
      <c r="V431" s="204"/>
      <c r="W431" s="204"/>
      <c r="X431" s="204"/>
      <c r="Y431" s="204"/>
      <c r="Z431" s="204"/>
      <c r="AA431" s="204"/>
    </row>
    <row r="432" spans="1:27" ht="15.75" customHeight="1" x14ac:dyDescent="0.2">
      <c r="A432" s="225"/>
      <c r="B432" s="225"/>
      <c r="C432" s="225"/>
      <c r="D432" s="225"/>
      <c r="E432" s="225"/>
      <c r="F432" s="225"/>
      <c r="G432" s="225"/>
      <c r="H432" s="204"/>
      <c r="I432" s="224"/>
      <c r="J432" s="224"/>
      <c r="K432" s="224"/>
      <c r="L432" s="204"/>
      <c r="M432" s="204"/>
      <c r="N432" s="204"/>
      <c r="O432" s="204"/>
      <c r="P432" s="204"/>
      <c r="Q432" s="204"/>
      <c r="R432" s="204"/>
      <c r="S432" s="204"/>
      <c r="T432" s="204"/>
      <c r="U432" s="204"/>
      <c r="V432" s="204"/>
      <c r="W432" s="204"/>
      <c r="X432" s="204"/>
      <c r="Y432" s="204"/>
      <c r="Z432" s="204"/>
      <c r="AA432" s="204"/>
    </row>
    <row r="433" spans="1:27" ht="15.75" customHeight="1" x14ac:dyDescent="0.2">
      <c r="A433" s="225"/>
      <c r="B433" s="225"/>
      <c r="C433" s="225"/>
      <c r="D433" s="225"/>
      <c r="E433" s="225"/>
      <c r="F433" s="225"/>
      <c r="G433" s="225"/>
      <c r="H433" s="204"/>
      <c r="I433" s="224"/>
      <c r="J433" s="224"/>
      <c r="K433" s="224"/>
      <c r="L433" s="204"/>
      <c r="M433" s="204"/>
      <c r="N433" s="204"/>
      <c r="O433" s="204"/>
      <c r="P433" s="204"/>
      <c r="Q433" s="204"/>
      <c r="R433" s="204"/>
      <c r="S433" s="204"/>
      <c r="T433" s="204"/>
      <c r="U433" s="204"/>
      <c r="V433" s="204"/>
      <c r="W433" s="204"/>
      <c r="X433" s="204"/>
      <c r="Y433" s="204"/>
      <c r="Z433" s="204"/>
      <c r="AA433" s="204"/>
    </row>
    <row r="434" spans="1:27" ht="15.75" customHeight="1" x14ac:dyDescent="0.2">
      <c r="A434" s="225"/>
      <c r="B434" s="225"/>
      <c r="C434" s="225"/>
      <c r="D434" s="225"/>
      <c r="E434" s="225"/>
      <c r="F434" s="225"/>
      <c r="G434" s="225"/>
      <c r="H434" s="204"/>
      <c r="I434" s="224"/>
      <c r="J434" s="224"/>
      <c r="K434" s="224"/>
      <c r="L434" s="204"/>
      <c r="M434" s="204"/>
      <c r="N434" s="204"/>
      <c r="O434" s="204"/>
      <c r="P434" s="204"/>
      <c r="Q434" s="204"/>
      <c r="R434" s="204"/>
      <c r="S434" s="204"/>
      <c r="T434" s="204"/>
      <c r="U434" s="204"/>
      <c r="V434" s="204"/>
      <c r="W434" s="204"/>
      <c r="X434" s="204"/>
      <c r="Y434" s="204"/>
      <c r="Z434" s="204"/>
      <c r="AA434" s="204"/>
    </row>
    <row r="435" spans="1:27" ht="15.75" customHeight="1" x14ac:dyDescent="0.2">
      <c r="A435" s="225"/>
      <c r="B435" s="225"/>
      <c r="C435" s="225"/>
      <c r="D435" s="225"/>
      <c r="E435" s="225"/>
      <c r="F435" s="225"/>
      <c r="G435" s="225"/>
      <c r="H435" s="204"/>
      <c r="I435" s="224"/>
      <c r="J435" s="224"/>
      <c r="K435" s="224"/>
      <c r="L435" s="204"/>
      <c r="M435" s="204"/>
      <c r="N435" s="204"/>
      <c r="O435" s="204"/>
      <c r="P435" s="204"/>
      <c r="Q435" s="204"/>
      <c r="R435" s="204"/>
      <c r="S435" s="204"/>
      <c r="T435" s="204"/>
      <c r="U435" s="204"/>
      <c r="V435" s="204"/>
      <c r="W435" s="204"/>
      <c r="X435" s="204"/>
      <c r="Y435" s="204"/>
      <c r="Z435" s="204"/>
      <c r="AA435" s="204"/>
    </row>
    <row r="436" spans="1:27" ht="15.75" customHeight="1" x14ac:dyDescent="0.2">
      <c r="A436" s="225"/>
      <c r="B436" s="225"/>
      <c r="C436" s="225"/>
      <c r="D436" s="225"/>
      <c r="E436" s="225"/>
      <c r="F436" s="225"/>
      <c r="G436" s="225"/>
      <c r="H436" s="204"/>
      <c r="I436" s="224"/>
      <c r="J436" s="224"/>
      <c r="K436" s="224"/>
      <c r="L436" s="204"/>
      <c r="M436" s="204"/>
      <c r="N436" s="204"/>
      <c r="O436" s="204"/>
      <c r="P436" s="204"/>
      <c r="Q436" s="204"/>
      <c r="R436" s="204"/>
      <c r="S436" s="204"/>
      <c r="T436" s="204"/>
      <c r="U436" s="204"/>
      <c r="V436" s="204"/>
      <c r="W436" s="204"/>
      <c r="X436" s="204"/>
      <c r="Y436" s="204"/>
      <c r="Z436" s="204"/>
      <c r="AA436" s="204"/>
    </row>
    <row r="437" spans="1:27" ht="15.75" customHeight="1" x14ac:dyDescent="0.2">
      <c r="A437" s="225"/>
      <c r="B437" s="225"/>
      <c r="C437" s="225"/>
      <c r="D437" s="225"/>
      <c r="E437" s="225"/>
      <c r="F437" s="225"/>
      <c r="G437" s="225"/>
      <c r="H437" s="204"/>
      <c r="I437" s="224"/>
      <c r="J437" s="224"/>
      <c r="K437" s="224"/>
      <c r="L437" s="204"/>
      <c r="M437" s="204"/>
      <c r="N437" s="204"/>
      <c r="O437" s="204"/>
      <c r="P437" s="204"/>
      <c r="Q437" s="204"/>
      <c r="R437" s="204"/>
      <c r="S437" s="204"/>
      <c r="T437" s="204"/>
      <c r="U437" s="204"/>
      <c r="V437" s="204"/>
      <c r="W437" s="204"/>
      <c r="X437" s="204"/>
      <c r="Y437" s="204"/>
      <c r="Z437" s="204"/>
      <c r="AA437" s="204"/>
    </row>
    <row r="438" spans="1:27" ht="15.75" customHeight="1" x14ac:dyDescent="0.2">
      <c r="A438" s="225"/>
      <c r="B438" s="225"/>
      <c r="C438" s="225"/>
      <c r="D438" s="225"/>
      <c r="E438" s="225"/>
      <c r="F438" s="225"/>
      <c r="G438" s="225"/>
      <c r="H438" s="204"/>
      <c r="I438" s="224"/>
      <c r="J438" s="224"/>
      <c r="K438" s="224"/>
      <c r="L438" s="204"/>
      <c r="M438" s="204"/>
      <c r="N438" s="204"/>
      <c r="O438" s="204"/>
      <c r="P438" s="204"/>
      <c r="Q438" s="204"/>
      <c r="R438" s="204"/>
      <c r="S438" s="204"/>
      <c r="T438" s="204"/>
      <c r="U438" s="204"/>
      <c r="V438" s="204"/>
      <c r="W438" s="204"/>
      <c r="X438" s="204"/>
      <c r="Y438" s="204"/>
      <c r="Z438" s="204"/>
      <c r="AA438" s="204"/>
    </row>
    <row r="439" spans="1:27" ht="15.75" customHeight="1" x14ac:dyDescent="0.2">
      <c r="A439" s="225"/>
      <c r="B439" s="225"/>
      <c r="C439" s="225"/>
      <c r="D439" s="225"/>
      <c r="E439" s="225"/>
      <c r="F439" s="225"/>
      <c r="G439" s="225"/>
      <c r="H439" s="204"/>
      <c r="I439" s="224"/>
      <c r="J439" s="224"/>
      <c r="K439" s="224"/>
      <c r="L439" s="204"/>
      <c r="M439" s="204"/>
      <c r="N439" s="204"/>
      <c r="O439" s="204"/>
      <c r="P439" s="204"/>
      <c r="Q439" s="204"/>
      <c r="R439" s="204"/>
      <c r="S439" s="204"/>
      <c r="T439" s="204"/>
      <c r="U439" s="204"/>
      <c r="V439" s="204"/>
      <c r="W439" s="204"/>
      <c r="X439" s="204"/>
      <c r="Y439" s="204"/>
      <c r="Z439" s="204"/>
      <c r="AA439" s="204"/>
    </row>
    <row r="440" spans="1:27" ht="15.75" customHeight="1" x14ac:dyDescent="0.2">
      <c r="A440" s="225"/>
      <c r="B440" s="225"/>
      <c r="C440" s="225"/>
      <c r="D440" s="225"/>
      <c r="E440" s="225"/>
      <c r="F440" s="225"/>
      <c r="G440" s="225"/>
      <c r="H440" s="204"/>
      <c r="I440" s="224"/>
      <c r="J440" s="224"/>
      <c r="K440" s="224"/>
      <c r="L440" s="204"/>
      <c r="M440" s="204"/>
      <c r="N440" s="204"/>
      <c r="O440" s="204"/>
      <c r="P440" s="204"/>
      <c r="Q440" s="204"/>
      <c r="R440" s="204"/>
      <c r="S440" s="204"/>
      <c r="T440" s="204"/>
      <c r="U440" s="204"/>
      <c r="V440" s="204"/>
      <c r="W440" s="204"/>
      <c r="X440" s="204"/>
      <c r="Y440" s="204"/>
      <c r="Z440" s="204"/>
      <c r="AA440" s="204"/>
    </row>
    <row r="441" spans="1:27" ht="15.75" customHeight="1" x14ac:dyDescent="0.2">
      <c r="A441" s="225"/>
      <c r="B441" s="225"/>
      <c r="C441" s="225"/>
      <c r="D441" s="225"/>
      <c r="E441" s="225"/>
      <c r="F441" s="225"/>
      <c r="G441" s="225"/>
      <c r="H441" s="204"/>
      <c r="I441" s="224"/>
      <c r="J441" s="224"/>
      <c r="K441" s="224"/>
      <c r="L441" s="204"/>
      <c r="M441" s="204"/>
      <c r="N441" s="204"/>
      <c r="O441" s="204"/>
      <c r="P441" s="204"/>
      <c r="Q441" s="204"/>
      <c r="R441" s="204"/>
      <c r="S441" s="204"/>
      <c r="T441" s="204"/>
      <c r="U441" s="204"/>
      <c r="V441" s="204"/>
      <c r="W441" s="204"/>
      <c r="X441" s="204"/>
      <c r="Y441" s="204"/>
      <c r="Z441" s="204"/>
      <c r="AA441" s="204"/>
    </row>
    <row r="442" spans="1:27" ht="15.75" customHeight="1" x14ac:dyDescent="0.2">
      <c r="A442" s="225"/>
      <c r="B442" s="225"/>
      <c r="C442" s="225"/>
      <c r="D442" s="225"/>
      <c r="E442" s="225"/>
      <c r="F442" s="225"/>
      <c r="G442" s="225"/>
      <c r="H442" s="204"/>
      <c r="I442" s="224"/>
      <c r="J442" s="224"/>
      <c r="K442" s="224"/>
      <c r="L442" s="204"/>
      <c r="M442" s="204"/>
      <c r="N442" s="204"/>
      <c r="O442" s="204"/>
      <c r="P442" s="204"/>
      <c r="Q442" s="204"/>
      <c r="R442" s="204"/>
      <c r="S442" s="204"/>
      <c r="T442" s="204"/>
      <c r="U442" s="204"/>
      <c r="V442" s="204"/>
      <c r="W442" s="204"/>
      <c r="X442" s="204"/>
      <c r="Y442" s="204"/>
      <c r="Z442" s="204"/>
      <c r="AA442" s="204"/>
    </row>
    <row r="443" spans="1:27" ht="15.75" customHeight="1" x14ac:dyDescent="0.2">
      <c r="A443" s="225"/>
      <c r="B443" s="225"/>
      <c r="C443" s="225"/>
      <c r="D443" s="225"/>
      <c r="E443" s="225"/>
      <c r="F443" s="225"/>
      <c r="G443" s="225"/>
      <c r="H443" s="204"/>
      <c r="I443" s="224"/>
      <c r="J443" s="224"/>
      <c r="K443" s="224"/>
      <c r="L443" s="204"/>
      <c r="M443" s="204"/>
      <c r="N443" s="204"/>
      <c r="O443" s="204"/>
      <c r="P443" s="204"/>
      <c r="Q443" s="204"/>
      <c r="R443" s="204"/>
      <c r="S443" s="204"/>
      <c r="T443" s="204"/>
      <c r="U443" s="204"/>
      <c r="V443" s="204"/>
      <c r="W443" s="204"/>
      <c r="X443" s="204"/>
      <c r="Y443" s="204"/>
      <c r="Z443" s="204"/>
      <c r="AA443" s="204"/>
    </row>
    <row r="444" spans="1:27" ht="15.75" customHeight="1" x14ac:dyDescent="0.2">
      <c r="A444" s="225"/>
      <c r="B444" s="225"/>
      <c r="C444" s="225"/>
      <c r="D444" s="225"/>
      <c r="E444" s="225"/>
      <c r="F444" s="225"/>
      <c r="G444" s="225"/>
      <c r="H444" s="204"/>
      <c r="I444" s="224"/>
      <c r="J444" s="224"/>
      <c r="K444" s="224"/>
      <c r="L444" s="204"/>
      <c r="M444" s="204"/>
      <c r="N444" s="204"/>
      <c r="O444" s="204"/>
      <c r="P444" s="204"/>
      <c r="Q444" s="204"/>
      <c r="R444" s="204"/>
      <c r="S444" s="204"/>
      <c r="T444" s="204"/>
      <c r="U444" s="204"/>
      <c r="V444" s="204"/>
      <c r="W444" s="204"/>
      <c r="X444" s="204"/>
      <c r="Y444" s="204"/>
      <c r="Z444" s="204"/>
      <c r="AA444" s="204"/>
    </row>
    <row r="445" spans="1:27" ht="15.75" customHeight="1" x14ac:dyDescent="0.2">
      <c r="A445" s="225"/>
      <c r="B445" s="225"/>
      <c r="C445" s="225"/>
      <c r="D445" s="225"/>
      <c r="E445" s="225"/>
      <c r="F445" s="225"/>
      <c r="G445" s="225"/>
      <c r="H445" s="204"/>
      <c r="I445" s="224"/>
      <c r="J445" s="224"/>
      <c r="K445" s="224"/>
      <c r="L445" s="204"/>
      <c r="M445" s="204"/>
      <c r="N445" s="204"/>
      <c r="O445" s="204"/>
      <c r="P445" s="204"/>
      <c r="Q445" s="204"/>
      <c r="R445" s="204"/>
      <c r="S445" s="204"/>
      <c r="T445" s="204"/>
      <c r="U445" s="204"/>
      <c r="V445" s="204"/>
      <c r="W445" s="204"/>
      <c r="X445" s="204"/>
      <c r="Y445" s="204"/>
      <c r="Z445" s="204"/>
      <c r="AA445" s="204"/>
    </row>
    <row r="446" spans="1:27" ht="15.75" customHeight="1" x14ac:dyDescent="0.2">
      <c r="A446" s="225"/>
      <c r="B446" s="225"/>
      <c r="C446" s="225"/>
      <c r="D446" s="225"/>
      <c r="E446" s="225"/>
      <c r="F446" s="225"/>
      <c r="G446" s="225"/>
      <c r="H446" s="204"/>
      <c r="I446" s="224"/>
      <c r="J446" s="224"/>
      <c r="K446" s="224"/>
      <c r="L446" s="204"/>
      <c r="M446" s="204"/>
      <c r="N446" s="204"/>
      <c r="O446" s="204"/>
      <c r="P446" s="204"/>
      <c r="Q446" s="204"/>
      <c r="R446" s="204"/>
      <c r="S446" s="204"/>
      <c r="T446" s="204"/>
      <c r="U446" s="204"/>
      <c r="V446" s="204"/>
      <c r="W446" s="204"/>
      <c r="X446" s="204"/>
      <c r="Y446" s="204"/>
      <c r="Z446" s="204"/>
      <c r="AA446" s="204"/>
    </row>
    <row r="447" spans="1:27" ht="15.75" customHeight="1" x14ac:dyDescent="0.2">
      <c r="A447" s="225"/>
      <c r="B447" s="225"/>
      <c r="C447" s="225"/>
      <c r="D447" s="225"/>
      <c r="E447" s="225"/>
      <c r="F447" s="225"/>
      <c r="G447" s="225"/>
      <c r="H447" s="204"/>
      <c r="I447" s="224"/>
      <c r="J447" s="224"/>
      <c r="K447" s="224"/>
      <c r="L447" s="204"/>
      <c r="M447" s="204"/>
      <c r="N447" s="204"/>
      <c r="O447" s="204"/>
      <c r="P447" s="204"/>
      <c r="Q447" s="204"/>
      <c r="R447" s="204"/>
      <c r="S447" s="204"/>
      <c r="T447" s="204"/>
      <c r="U447" s="204"/>
      <c r="V447" s="204"/>
      <c r="W447" s="204"/>
      <c r="X447" s="204"/>
      <c r="Y447" s="204"/>
      <c r="Z447" s="204"/>
      <c r="AA447" s="204"/>
    </row>
    <row r="448" spans="1:27" ht="15.75" customHeight="1" x14ac:dyDescent="0.2">
      <c r="A448" s="225"/>
      <c r="B448" s="225"/>
      <c r="C448" s="225"/>
      <c r="D448" s="225"/>
      <c r="E448" s="225"/>
      <c r="F448" s="225"/>
      <c r="G448" s="225"/>
      <c r="H448" s="204"/>
      <c r="I448" s="224"/>
      <c r="J448" s="224"/>
      <c r="K448" s="224"/>
      <c r="L448" s="204"/>
      <c r="M448" s="204"/>
      <c r="N448" s="204"/>
      <c r="O448" s="204"/>
      <c r="P448" s="204"/>
      <c r="Q448" s="204"/>
      <c r="R448" s="204"/>
      <c r="S448" s="204"/>
      <c r="T448" s="204"/>
      <c r="U448" s="204"/>
      <c r="V448" s="204"/>
      <c r="W448" s="204"/>
      <c r="X448" s="204"/>
      <c r="Y448" s="204"/>
      <c r="Z448" s="204"/>
      <c r="AA448" s="204"/>
    </row>
    <row r="449" spans="1:27" ht="15.75" customHeight="1" x14ac:dyDescent="0.2">
      <c r="A449" s="225"/>
      <c r="B449" s="225"/>
      <c r="C449" s="225"/>
      <c r="D449" s="225"/>
      <c r="E449" s="225"/>
      <c r="F449" s="225"/>
      <c r="G449" s="225"/>
      <c r="H449" s="204"/>
      <c r="I449" s="224"/>
      <c r="J449" s="224"/>
      <c r="K449" s="224"/>
      <c r="L449" s="204"/>
      <c r="M449" s="204"/>
      <c r="N449" s="204"/>
      <c r="O449" s="204"/>
      <c r="P449" s="204"/>
      <c r="Q449" s="204"/>
      <c r="R449" s="204"/>
      <c r="S449" s="204"/>
      <c r="T449" s="204"/>
      <c r="U449" s="204"/>
      <c r="V449" s="204"/>
      <c r="W449" s="204"/>
      <c r="X449" s="204"/>
      <c r="Y449" s="204"/>
      <c r="Z449" s="204"/>
      <c r="AA449" s="204"/>
    </row>
    <row r="450" spans="1:27" ht="15.75" customHeight="1" x14ac:dyDescent="0.2">
      <c r="A450" s="225"/>
      <c r="B450" s="225"/>
      <c r="C450" s="225"/>
      <c r="D450" s="225"/>
      <c r="E450" s="225"/>
      <c r="F450" s="225"/>
      <c r="G450" s="225"/>
      <c r="H450" s="204"/>
      <c r="I450" s="224"/>
      <c r="J450" s="224"/>
      <c r="K450" s="224"/>
      <c r="L450" s="204"/>
      <c r="M450" s="204"/>
      <c r="N450" s="204"/>
      <c r="O450" s="204"/>
      <c r="P450" s="204"/>
      <c r="Q450" s="204"/>
      <c r="R450" s="204"/>
      <c r="S450" s="204"/>
      <c r="T450" s="204"/>
      <c r="U450" s="204"/>
      <c r="V450" s="204"/>
      <c r="W450" s="204"/>
      <c r="X450" s="204"/>
      <c r="Y450" s="204"/>
      <c r="Z450" s="204"/>
      <c r="AA450" s="204"/>
    </row>
    <row r="451" spans="1:27" ht="15.75" customHeight="1" x14ac:dyDescent="0.2">
      <c r="A451" s="225"/>
      <c r="B451" s="225"/>
      <c r="C451" s="225"/>
      <c r="D451" s="225"/>
      <c r="E451" s="225"/>
      <c r="F451" s="225"/>
      <c r="G451" s="225"/>
      <c r="H451" s="204"/>
      <c r="I451" s="224"/>
      <c r="J451" s="224"/>
      <c r="K451" s="224"/>
      <c r="L451" s="204"/>
      <c r="M451" s="204"/>
      <c r="N451" s="204"/>
      <c r="O451" s="204"/>
      <c r="P451" s="204"/>
      <c r="Q451" s="204"/>
      <c r="R451" s="204"/>
      <c r="S451" s="204"/>
      <c r="T451" s="204"/>
      <c r="U451" s="204"/>
      <c r="V451" s="204"/>
      <c r="W451" s="204"/>
      <c r="X451" s="204"/>
      <c r="Y451" s="204"/>
      <c r="Z451" s="204"/>
      <c r="AA451" s="204"/>
    </row>
    <row r="452" spans="1:27" ht="15.75" customHeight="1" x14ac:dyDescent="0.2">
      <c r="A452" s="225"/>
      <c r="B452" s="225"/>
      <c r="C452" s="225"/>
      <c r="D452" s="225"/>
      <c r="E452" s="225"/>
      <c r="F452" s="225"/>
      <c r="G452" s="225"/>
      <c r="H452" s="204"/>
      <c r="I452" s="224"/>
      <c r="J452" s="224"/>
      <c r="K452" s="224"/>
      <c r="L452" s="204"/>
      <c r="M452" s="204"/>
      <c r="N452" s="204"/>
      <c r="O452" s="204"/>
      <c r="P452" s="204"/>
      <c r="Q452" s="204"/>
      <c r="R452" s="204"/>
      <c r="S452" s="204"/>
      <c r="T452" s="204"/>
      <c r="U452" s="204"/>
      <c r="V452" s="204"/>
      <c r="W452" s="204"/>
      <c r="X452" s="204"/>
      <c r="Y452" s="204"/>
      <c r="Z452" s="204"/>
      <c r="AA452" s="204"/>
    </row>
    <row r="453" spans="1:27" ht="15.75" customHeight="1" x14ac:dyDescent="0.2">
      <c r="A453" s="225"/>
      <c r="B453" s="225"/>
      <c r="C453" s="225"/>
      <c r="D453" s="225"/>
      <c r="E453" s="225"/>
      <c r="F453" s="225"/>
      <c r="G453" s="225"/>
      <c r="H453" s="204"/>
      <c r="I453" s="224"/>
      <c r="J453" s="224"/>
      <c r="K453" s="224"/>
      <c r="L453" s="204"/>
      <c r="M453" s="204"/>
      <c r="N453" s="204"/>
      <c r="O453" s="204"/>
      <c r="P453" s="204"/>
      <c r="Q453" s="204"/>
      <c r="R453" s="204"/>
      <c r="S453" s="204"/>
      <c r="T453" s="204"/>
      <c r="U453" s="204"/>
      <c r="V453" s="204"/>
      <c r="W453" s="204"/>
      <c r="X453" s="204"/>
      <c r="Y453" s="204"/>
      <c r="Z453" s="204"/>
      <c r="AA453" s="204"/>
    </row>
    <row r="454" spans="1:27" ht="15.75" customHeight="1" x14ac:dyDescent="0.2">
      <c r="A454" s="225"/>
      <c r="B454" s="225"/>
      <c r="C454" s="225"/>
      <c r="D454" s="225"/>
      <c r="E454" s="225"/>
      <c r="F454" s="225"/>
      <c r="G454" s="225"/>
      <c r="H454" s="204"/>
      <c r="I454" s="224"/>
      <c r="J454" s="224"/>
      <c r="K454" s="224"/>
      <c r="L454" s="204"/>
      <c r="M454" s="204"/>
      <c r="N454" s="204"/>
      <c r="O454" s="204"/>
      <c r="P454" s="204"/>
      <c r="Q454" s="204"/>
      <c r="R454" s="204"/>
      <c r="S454" s="204"/>
      <c r="T454" s="204"/>
      <c r="U454" s="204"/>
      <c r="V454" s="204"/>
      <c r="W454" s="204"/>
      <c r="X454" s="204"/>
      <c r="Y454" s="204"/>
      <c r="Z454" s="204"/>
      <c r="AA454" s="204"/>
    </row>
    <row r="455" spans="1:27" ht="15.75" customHeight="1" x14ac:dyDescent="0.2">
      <c r="A455" s="225"/>
      <c r="B455" s="225"/>
      <c r="C455" s="225"/>
      <c r="D455" s="225"/>
      <c r="E455" s="225"/>
      <c r="F455" s="225"/>
      <c r="G455" s="225"/>
      <c r="H455" s="204"/>
      <c r="I455" s="224"/>
      <c r="J455" s="224"/>
      <c r="K455" s="224"/>
      <c r="L455" s="204"/>
      <c r="M455" s="204"/>
      <c r="N455" s="204"/>
      <c r="O455" s="204"/>
      <c r="P455" s="204"/>
      <c r="Q455" s="204"/>
      <c r="R455" s="204"/>
      <c r="S455" s="204"/>
      <c r="T455" s="204"/>
      <c r="U455" s="204"/>
      <c r="V455" s="204"/>
      <c r="W455" s="204"/>
      <c r="X455" s="204"/>
      <c r="Y455" s="204"/>
      <c r="Z455" s="204"/>
      <c r="AA455" s="204"/>
    </row>
    <row r="456" spans="1:27" ht="15.75" customHeight="1" x14ac:dyDescent="0.2">
      <c r="A456" s="225"/>
      <c r="B456" s="225"/>
      <c r="C456" s="225"/>
      <c r="D456" s="225"/>
      <c r="E456" s="225"/>
      <c r="F456" s="225"/>
      <c r="G456" s="225"/>
      <c r="H456" s="204"/>
      <c r="I456" s="224"/>
      <c r="J456" s="224"/>
      <c r="K456" s="224"/>
      <c r="L456" s="204"/>
      <c r="M456" s="204"/>
      <c r="N456" s="204"/>
      <c r="O456" s="204"/>
      <c r="P456" s="204"/>
      <c r="Q456" s="204"/>
      <c r="R456" s="204"/>
      <c r="S456" s="204"/>
      <c r="T456" s="204"/>
      <c r="U456" s="204"/>
      <c r="V456" s="204"/>
      <c r="W456" s="204"/>
      <c r="X456" s="204"/>
      <c r="Y456" s="204"/>
      <c r="Z456" s="204"/>
      <c r="AA456" s="204"/>
    </row>
    <row r="457" spans="1:27" ht="15.75" customHeight="1" x14ac:dyDescent="0.2">
      <c r="A457" s="225"/>
      <c r="B457" s="225"/>
      <c r="C457" s="225"/>
      <c r="D457" s="225"/>
      <c r="E457" s="225"/>
      <c r="F457" s="225"/>
      <c r="G457" s="225"/>
      <c r="H457" s="204"/>
      <c r="I457" s="224"/>
      <c r="J457" s="224"/>
      <c r="K457" s="224"/>
      <c r="L457" s="204"/>
      <c r="M457" s="204"/>
      <c r="N457" s="204"/>
      <c r="O457" s="204"/>
      <c r="P457" s="204"/>
      <c r="Q457" s="204"/>
      <c r="R457" s="204"/>
      <c r="S457" s="204"/>
      <c r="T457" s="204"/>
      <c r="U457" s="204"/>
      <c r="V457" s="204"/>
      <c r="W457" s="204"/>
      <c r="X457" s="204"/>
      <c r="Y457" s="204"/>
      <c r="Z457" s="204"/>
      <c r="AA457" s="204"/>
    </row>
    <row r="458" spans="1:27" ht="15.75" customHeight="1" x14ac:dyDescent="0.2">
      <c r="A458" s="225"/>
      <c r="B458" s="225"/>
      <c r="C458" s="225"/>
      <c r="D458" s="225"/>
      <c r="E458" s="225"/>
      <c r="F458" s="225"/>
      <c r="G458" s="225"/>
      <c r="H458" s="204"/>
      <c r="I458" s="224"/>
      <c r="J458" s="224"/>
      <c r="K458" s="224"/>
      <c r="L458" s="204"/>
      <c r="M458" s="204"/>
      <c r="N458" s="204"/>
      <c r="O458" s="204"/>
      <c r="P458" s="204"/>
      <c r="Q458" s="204"/>
      <c r="R458" s="204"/>
      <c r="S458" s="204"/>
      <c r="T458" s="204"/>
      <c r="U458" s="204"/>
      <c r="V458" s="204"/>
      <c r="W458" s="204"/>
      <c r="X458" s="204"/>
      <c r="Y458" s="204"/>
      <c r="Z458" s="204"/>
      <c r="AA458" s="204"/>
    </row>
    <row r="459" spans="1:27" ht="15.75" customHeight="1" x14ac:dyDescent="0.2">
      <c r="A459" s="225"/>
      <c r="B459" s="225"/>
      <c r="C459" s="225"/>
      <c r="D459" s="225"/>
      <c r="E459" s="225"/>
      <c r="F459" s="225"/>
      <c r="G459" s="225"/>
      <c r="H459" s="204"/>
      <c r="I459" s="224"/>
      <c r="J459" s="224"/>
      <c r="K459" s="224"/>
      <c r="L459" s="204"/>
      <c r="M459" s="204"/>
      <c r="N459" s="204"/>
      <c r="O459" s="204"/>
      <c r="P459" s="204"/>
      <c r="Q459" s="204"/>
      <c r="R459" s="204"/>
      <c r="S459" s="204"/>
      <c r="T459" s="204"/>
      <c r="U459" s="204"/>
      <c r="V459" s="204"/>
      <c r="W459" s="204"/>
      <c r="X459" s="204"/>
      <c r="Y459" s="204"/>
      <c r="Z459" s="204"/>
      <c r="AA459" s="204"/>
    </row>
    <row r="460" spans="1:27" ht="15.75" customHeight="1" x14ac:dyDescent="0.2">
      <c r="A460" s="225"/>
      <c r="B460" s="225"/>
      <c r="C460" s="225"/>
      <c r="D460" s="225"/>
      <c r="E460" s="225"/>
      <c r="F460" s="225"/>
      <c r="G460" s="225"/>
      <c r="H460" s="204"/>
      <c r="I460" s="224"/>
      <c r="J460" s="224"/>
      <c r="K460" s="224"/>
      <c r="L460" s="204"/>
      <c r="M460" s="204"/>
      <c r="N460" s="204"/>
      <c r="O460" s="204"/>
      <c r="P460" s="204"/>
      <c r="Q460" s="204"/>
      <c r="R460" s="204"/>
      <c r="S460" s="204"/>
      <c r="T460" s="204"/>
      <c r="U460" s="204"/>
      <c r="V460" s="204"/>
      <c r="W460" s="204"/>
      <c r="X460" s="204"/>
      <c r="Y460" s="204"/>
      <c r="Z460" s="204"/>
      <c r="AA460" s="204"/>
    </row>
    <row r="461" spans="1:27" ht="15.75" customHeight="1" x14ac:dyDescent="0.2">
      <c r="A461" s="225"/>
      <c r="B461" s="225"/>
      <c r="C461" s="225"/>
      <c r="D461" s="225"/>
      <c r="E461" s="225"/>
      <c r="F461" s="225"/>
      <c r="G461" s="225"/>
      <c r="H461" s="204"/>
      <c r="I461" s="224"/>
      <c r="J461" s="224"/>
      <c r="K461" s="224"/>
      <c r="L461" s="204"/>
      <c r="M461" s="204"/>
      <c r="N461" s="204"/>
      <c r="O461" s="204"/>
      <c r="P461" s="204"/>
      <c r="Q461" s="204"/>
      <c r="R461" s="204"/>
      <c r="S461" s="204"/>
      <c r="T461" s="204"/>
      <c r="U461" s="204"/>
      <c r="V461" s="204"/>
      <c r="W461" s="204"/>
      <c r="X461" s="204"/>
      <c r="Y461" s="204"/>
      <c r="Z461" s="204"/>
      <c r="AA461" s="204"/>
    </row>
    <row r="462" spans="1:27" ht="15.75" customHeight="1" x14ac:dyDescent="0.2">
      <c r="A462" s="225"/>
      <c r="B462" s="225"/>
      <c r="C462" s="225"/>
      <c r="D462" s="225"/>
      <c r="E462" s="225"/>
      <c r="F462" s="225"/>
      <c r="G462" s="225"/>
      <c r="H462" s="204"/>
      <c r="I462" s="224"/>
      <c r="J462" s="224"/>
      <c r="K462" s="224"/>
      <c r="L462" s="204"/>
      <c r="M462" s="204"/>
      <c r="N462" s="204"/>
      <c r="O462" s="204"/>
      <c r="P462" s="204"/>
      <c r="Q462" s="204"/>
      <c r="R462" s="204"/>
      <c r="S462" s="204"/>
      <c r="T462" s="204"/>
      <c r="U462" s="204"/>
      <c r="V462" s="204"/>
      <c r="W462" s="204"/>
      <c r="X462" s="204"/>
      <c r="Y462" s="204"/>
      <c r="Z462" s="204"/>
      <c r="AA462" s="204"/>
    </row>
    <row r="463" spans="1:27" ht="15.75" customHeight="1" x14ac:dyDescent="0.2">
      <c r="A463" s="225"/>
      <c r="B463" s="225"/>
      <c r="C463" s="225"/>
      <c r="D463" s="225"/>
      <c r="E463" s="225"/>
      <c r="F463" s="225"/>
      <c r="G463" s="225"/>
      <c r="H463" s="204"/>
      <c r="I463" s="224"/>
      <c r="J463" s="224"/>
      <c r="K463" s="224"/>
      <c r="L463" s="204"/>
      <c r="M463" s="204"/>
      <c r="N463" s="204"/>
      <c r="O463" s="204"/>
      <c r="P463" s="204"/>
      <c r="Q463" s="204"/>
      <c r="R463" s="204"/>
      <c r="S463" s="204"/>
      <c r="T463" s="204"/>
      <c r="U463" s="204"/>
      <c r="V463" s="204"/>
      <c r="W463" s="204"/>
      <c r="X463" s="204"/>
      <c r="Y463" s="204"/>
      <c r="Z463" s="204"/>
      <c r="AA463" s="204"/>
    </row>
    <row r="464" spans="1:27" ht="15.75" customHeight="1" x14ac:dyDescent="0.2">
      <c r="A464" s="225"/>
      <c r="B464" s="225"/>
      <c r="C464" s="225"/>
      <c r="D464" s="225"/>
      <c r="E464" s="225"/>
      <c r="F464" s="225"/>
      <c r="G464" s="225"/>
      <c r="H464" s="204"/>
      <c r="I464" s="224"/>
      <c r="J464" s="224"/>
      <c r="K464" s="224"/>
      <c r="L464" s="204"/>
      <c r="M464" s="204"/>
      <c r="N464" s="204"/>
      <c r="O464" s="204"/>
      <c r="P464" s="204"/>
      <c r="Q464" s="204"/>
      <c r="R464" s="204"/>
      <c r="S464" s="204"/>
      <c r="T464" s="204"/>
      <c r="U464" s="204"/>
      <c r="V464" s="204"/>
      <c r="W464" s="204"/>
      <c r="X464" s="204"/>
      <c r="Y464" s="204"/>
      <c r="Z464" s="204"/>
      <c r="AA464" s="204"/>
    </row>
    <row r="465" spans="1:27" ht="15.75" customHeight="1" x14ac:dyDescent="0.2">
      <c r="A465" s="225"/>
      <c r="B465" s="225"/>
      <c r="C465" s="225"/>
      <c r="D465" s="225"/>
      <c r="E465" s="225"/>
      <c r="F465" s="225"/>
      <c r="G465" s="225"/>
      <c r="H465" s="204"/>
      <c r="I465" s="224"/>
      <c r="J465" s="224"/>
      <c r="K465" s="224"/>
      <c r="L465" s="204"/>
      <c r="M465" s="204"/>
      <c r="N465" s="204"/>
      <c r="O465" s="204"/>
      <c r="P465" s="204"/>
      <c r="Q465" s="204"/>
      <c r="R465" s="204"/>
      <c r="S465" s="204"/>
      <c r="T465" s="204"/>
      <c r="U465" s="204"/>
      <c r="V465" s="204"/>
      <c r="W465" s="204"/>
      <c r="X465" s="204"/>
      <c r="Y465" s="204"/>
      <c r="Z465" s="204"/>
      <c r="AA465" s="204"/>
    </row>
    <row r="466" spans="1:27" ht="15.75" customHeight="1" x14ac:dyDescent="0.2">
      <c r="A466" s="225"/>
      <c r="B466" s="225"/>
      <c r="C466" s="225"/>
      <c r="D466" s="225"/>
      <c r="E466" s="225"/>
      <c r="F466" s="225"/>
      <c r="G466" s="225"/>
      <c r="H466" s="204"/>
      <c r="I466" s="224"/>
      <c r="J466" s="224"/>
      <c r="K466" s="224"/>
      <c r="L466" s="204"/>
      <c r="M466" s="204"/>
      <c r="N466" s="204"/>
      <c r="O466" s="204"/>
      <c r="P466" s="204"/>
      <c r="Q466" s="204"/>
      <c r="R466" s="204"/>
      <c r="S466" s="204"/>
      <c r="T466" s="204"/>
      <c r="U466" s="204"/>
      <c r="V466" s="204"/>
      <c r="W466" s="204"/>
      <c r="X466" s="204"/>
      <c r="Y466" s="204"/>
      <c r="Z466" s="204"/>
      <c r="AA466" s="204"/>
    </row>
    <row r="467" spans="1:27" ht="15.75" customHeight="1" x14ac:dyDescent="0.2">
      <c r="A467" s="225"/>
      <c r="B467" s="225"/>
      <c r="C467" s="225"/>
      <c r="D467" s="225"/>
      <c r="E467" s="225"/>
      <c r="F467" s="225"/>
      <c r="G467" s="225"/>
      <c r="H467" s="204"/>
      <c r="I467" s="224"/>
      <c r="J467" s="224"/>
      <c r="K467" s="224"/>
      <c r="L467" s="204"/>
      <c r="M467" s="204"/>
      <c r="N467" s="204"/>
      <c r="O467" s="204"/>
      <c r="P467" s="204"/>
      <c r="Q467" s="204"/>
      <c r="R467" s="204"/>
      <c r="S467" s="204"/>
      <c r="T467" s="204"/>
      <c r="U467" s="204"/>
      <c r="V467" s="204"/>
      <c r="W467" s="204"/>
      <c r="X467" s="204"/>
      <c r="Y467" s="204"/>
      <c r="Z467" s="204"/>
      <c r="AA467" s="204"/>
    </row>
    <row r="468" spans="1:27" ht="15.75" customHeight="1" x14ac:dyDescent="0.2">
      <c r="A468" s="225"/>
      <c r="B468" s="225"/>
      <c r="C468" s="225"/>
      <c r="D468" s="225"/>
      <c r="E468" s="225"/>
      <c r="F468" s="225"/>
      <c r="G468" s="225"/>
      <c r="H468" s="204"/>
      <c r="I468" s="224"/>
      <c r="J468" s="224"/>
      <c r="K468" s="224"/>
      <c r="L468" s="204"/>
      <c r="M468" s="204"/>
      <c r="N468" s="204"/>
      <c r="O468" s="204"/>
      <c r="P468" s="204"/>
      <c r="Q468" s="204"/>
      <c r="R468" s="204"/>
      <c r="S468" s="204"/>
      <c r="T468" s="204"/>
      <c r="U468" s="204"/>
      <c r="V468" s="204"/>
      <c r="W468" s="204"/>
      <c r="X468" s="204"/>
      <c r="Y468" s="204"/>
      <c r="Z468" s="204"/>
      <c r="AA468" s="204"/>
    </row>
    <row r="469" spans="1:27" ht="15.75" customHeight="1" x14ac:dyDescent="0.2">
      <c r="A469" s="225"/>
      <c r="B469" s="225"/>
      <c r="C469" s="225"/>
      <c r="D469" s="225"/>
      <c r="E469" s="225"/>
      <c r="F469" s="225"/>
      <c r="G469" s="225"/>
      <c r="H469" s="204"/>
      <c r="I469" s="224"/>
      <c r="J469" s="224"/>
      <c r="K469" s="224"/>
      <c r="L469" s="204"/>
      <c r="M469" s="204"/>
      <c r="N469" s="204"/>
      <c r="O469" s="204"/>
      <c r="P469" s="204"/>
      <c r="Q469" s="204"/>
      <c r="R469" s="204"/>
      <c r="S469" s="204"/>
      <c r="T469" s="204"/>
      <c r="U469" s="204"/>
      <c r="V469" s="204"/>
      <c r="W469" s="204"/>
      <c r="X469" s="204"/>
      <c r="Y469" s="204"/>
      <c r="Z469" s="204"/>
      <c r="AA469" s="204"/>
    </row>
    <row r="470" spans="1:27" ht="15.75" customHeight="1" x14ac:dyDescent="0.2">
      <c r="A470" s="225"/>
      <c r="B470" s="225"/>
      <c r="C470" s="225"/>
      <c r="D470" s="225"/>
      <c r="E470" s="225"/>
      <c r="F470" s="225"/>
      <c r="G470" s="225"/>
      <c r="H470" s="204"/>
      <c r="I470" s="224"/>
      <c r="J470" s="224"/>
      <c r="K470" s="224"/>
      <c r="L470" s="204"/>
      <c r="M470" s="204"/>
      <c r="N470" s="204"/>
      <c r="O470" s="204"/>
      <c r="P470" s="204"/>
      <c r="Q470" s="204"/>
      <c r="R470" s="204"/>
      <c r="S470" s="204"/>
      <c r="T470" s="204"/>
      <c r="U470" s="204"/>
      <c r="V470" s="204"/>
      <c r="W470" s="204"/>
      <c r="X470" s="204"/>
      <c r="Y470" s="204"/>
      <c r="Z470" s="204"/>
      <c r="AA470" s="204"/>
    </row>
    <row r="471" spans="1:27" ht="15.75" customHeight="1" x14ac:dyDescent="0.2">
      <c r="A471" s="225"/>
      <c r="B471" s="225"/>
      <c r="C471" s="225"/>
      <c r="D471" s="225"/>
      <c r="E471" s="225"/>
      <c r="F471" s="225"/>
      <c r="G471" s="225"/>
      <c r="H471" s="204"/>
      <c r="I471" s="224"/>
      <c r="J471" s="224"/>
      <c r="K471" s="224"/>
      <c r="L471" s="204"/>
      <c r="M471" s="204"/>
      <c r="N471" s="204"/>
      <c r="O471" s="204"/>
      <c r="P471" s="204"/>
      <c r="Q471" s="204"/>
      <c r="R471" s="204"/>
      <c r="S471" s="204"/>
      <c r="T471" s="204"/>
      <c r="U471" s="204"/>
      <c r="V471" s="204"/>
      <c r="W471" s="204"/>
      <c r="X471" s="204"/>
      <c r="Y471" s="204"/>
      <c r="Z471" s="204"/>
      <c r="AA471" s="204"/>
    </row>
    <row r="472" spans="1:27" ht="15.75" customHeight="1" x14ac:dyDescent="0.2">
      <c r="A472" s="225"/>
      <c r="B472" s="225"/>
      <c r="C472" s="225"/>
      <c r="D472" s="225"/>
      <c r="E472" s="225"/>
      <c r="F472" s="225"/>
      <c r="G472" s="225"/>
      <c r="H472" s="204"/>
      <c r="I472" s="224"/>
      <c r="J472" s="224"/>
      <c r="K472" s="224"/>
      <c r="L472" s="204"/>
      <c r="M472" s="204"/>
      <c r="N472" s="204"/>
      <c r="O472" s="204"/>
      <c r="P472" s="204"/>
      <c r="Q472" s="204"/>
      <c r="R472" s="204"/>
      <c r="S472" s="204"/>
      <c r="T472" s="204"/>
      <c r="U472" s="204"/>
      <c r="V472" s="204"/>
      <c r="W472" s="204"/>
      <c r="X472" s="204"/>
      <c r="Y472" s="204"/>
      <c r="Z472" s="204"/>
      <c r="AA472" s="204"/>
    </row>
    <row r="473" spans="1:27" ht="15.75" customHeight="1" x14ac:dyDescent="0.2">
      <c r="A473" s="225"/>
      <c r="B473" s="225"/>
      <c r="C473" s="225"/>
      <c r="D473" s="225"/>
      <c r="E473" s="225"/>
      <c r="F473" s="225"/>
      <c r="G473" s="225"/>
      <c r="H473" s="204"/>
      <c r="I473" s="224"/>
      <c r="J473" s="224"/>
      <c r="K473" s="224"/>
      <c r="L473" s="204"/>
      <c r="M473" s="204"/>
      <c r="N473" s="204"/>
      <c r="O473" s="204"/>
      <c r="P473" s="204"/>
      <c r="Q473" s="204"/>
      <c r="R473" s="204"/>
      <c r="S473" s="204"/>
      <c r="T473" s="204"/>
      <c r="U473" s="204"/>
      <c r="V473" s="204"/>
      <c r="W473" s="204"/>
      <c r="X473" s="204"/>
      <c r="Y473" s="204"/>
      <c r="Z473" s="204"/>
      <c r="AA473" s="204"/>
    </row>
    <row r="474" spans="1:27" ht="15.75" customHeight="1" x14ac:dyDescent="0.2">
      <c r="A474" s="225"/>
      <c r="B474" s="225"/>
      <c r="C474" s="225"/>
      <c r="D474" s="225"/>
      <c r="E474" s="225"/>
      <c r="F474" s="225"/>
      <c r="G474" s="225"/>
      <c r="H474" s="204"/>
      <c r="I474" s="224"/>
      <c r="J474" s="224"/>
      <c r="K474" s="224"/>
      <c r="L474" s="204"/>
      <c r="M474" s="204"/>
      <c r="N474" s="204"/>
      <c r="O474" s="204"/>
      <c r="P474" s="204"/>
      <c r="Q474" s="204"/>
      <c r="R474" s="204"/>
      <c r="S474" s="204"/>
      <c r="T474" s="204"/>
      <c r="U474" s="204"/>
      <c r="V474" s="204"/>
      <c r="W474" s="204"/>
      <c r="X474" s="204"/>
      <c r="Y474" s="204"/>
      <c r="Z474" s="204"/>
      <c r="AA474" s="204"/>
    </row>
    <row r="475" spans="1:27" ht="15.75" customHeight="1" x14ac:dyDescent="0.2">
      <c r="A475" s="225"/>
      <c r="B475" s="225"/>
      <c r="C475" s="225"/>
      <c r="D475" s="225"/>
      <c r="E475" s="225"/>
      <c r="F475" s="225"/>
      <c r="G475" s="225"/>
      <c r="H475" s="204"/>
      <c r="I475" s="224"/>
      <c r="J475" s="224"/>
      <c r="K475" s="224"/>
      <c r="L475" s="204"/>
      <c r="M475" s="204"/>
      <c r="N475" s="204"/>
      <c r="O475" s="204"/>
      <c r="P475" s="204"/>
      <c r="Q475" s="204"/>
      <c r="R475" s="204"/>
      <c r="S475" s="204"/>
      <c r="T475" s="204"/>
      <c r="U475" s="204"/>
      <c r="V475" s="204"/>
      <c r="W475" s="204"/>
      <c r="X475" s="204"/>
      <c r="Y475" s="204"/>
      <c r="Z475" s="204"/>
      <c r="AA475" s="204"/>
    </row>
    <row r="476" spans="1:27" ht="15.75" customHeight="1" x14ac:dyDescent="0.2">
      <c r="A476" s="225"/>
      <c r="B476" s="225"/>
      <c r="C476" s="225"/>
      <c r="D476" s="225"/>
      <c r="E476" s="225"/>
      <c r="F476" s="225"/>
      <c r="G476" s="225"/>
      <c r="H476" s="204"/>
      <c r="I476" s="224"/>
      <c r="J476" s="224"/>
      <c r="K476" s="224"/>
      <c r="L476" s="204"/>
      <c r="M476" s="204"/>
      <c r="N476" s="204"/>
      <c r="O476" s="204"/>
      <c r="P476" s="204"/>
      <c r="Q476" s="204"/>
      <c r="R476" s="204"/>
      <c r="S476" s="204"/>
      <c r="T476" s="204"/>
      <c r="U476" s="204"/>
      <c r="V476" s="204"/>
      <c r="W476" s="204"/>
      <c r="X476" s="204"/>
      <c r="Y476" s="204"/>
      <c r="Z476" s="204"/>
      <c r="AA476" s="204"/>
    </row>
    <row r="477" spans="1:27" ht="15.75" customHeight="1" x14ac:dyDescent="0.2">
      <c r="A477" s="225"/>
      <c r="B477" s="225"/>
      <c r="C477" s="225"/>
      <c r="D477" s="225"/>
      <c r="E477" s="225"/>
      <c r="F477" s="225"/>
      <c r="G477" s="225"/>
      <c r="H477" s="204"/>
      <c r="I477" s="224"/>
      <c r="J477" s="224"/>
      <c r="K477" s="224"/>
      <c r="L477" s="204"/>
      <c r="M477" s="204"/>
      <c r="N477" s="204"/>
      <c r="O477" s="204"/>
      <c r="P477" s="204"/>
      <c r="Q477" s="204"/>
      <c r="R477" s="204"/>
      <c r="S477" s="204"/>
      <c r="T477" s="204"/>
      <c r="U477" s="204"/>
      <c r="V477" s="204"/>
      <c r="W477" s="204"/>
      <c r="X477" s="204"/>
      <c r="Y477" s="204"/>
      <c r="Z477" s="204"/>
      <c r="AA477" s="204"/>
    </row>
    <row r="478" spans="1:27" ht="15.75" customHeight="1" x14ac:dyDescent="0.2">
      <c r="A478" s="225"/>
      <c r="B478" s="225"/>
      <c r="C478" s="225"/>
      <c r="D478" s="225"/>
      <c r="E478" s="225"/>
      <c r="F478" s="225"/>
      <c r="G478" s="225"/>
      <c r="H478" s="204"/>
      <c r="I478" s="224"/>
      <c r="J478" s="224"/>
      <c r="K478" s="224"/>
      <c r="L478" s="204"/>
      <c r="M478" s="204"/>
      <c r="N478" s="204"/>
      <c r="O478" s="204"/>
      <c r="P478" s="204"/>
      <c r="Q478" s="204"/>
      <c r="R478" s="204"/>
      <c r="S478" s="204"/>
      <c r="T478" s="204"/>
      <c r="U478" s="204"/>
      <c r="V478" s="204"/>
      <c r="W478" s="204"/>
      <c r="X478" s="204"/>
      <c r="Y478" s="204"/>
      <c r="Z478" s="204"/>
      <c r="AA478" s="204"/>
    </row>
    <row r="479" spans="1:27" ht="15.75" customHeight="1" x14ac:dyDescent="0.2">
      <c r="A479" s="225"/>
      <c r="B479" s="225"/>
      <c r="C479" s="225"/>
      <c r="D479" s="225"/>
      <c r="E479" s="225"/>
      <c r="F479" s="225"/>
      <c r="G479" s="225"/>
      <c r="H479" s="204"/>
      <c r="I479" s="224"/>
      <c r="J479" s="224"/>
      <c r="K479" s="224"/>
      <c r="L479" s="204"/>
      <c r="M479" s="204"/>
      <c r="N479" s="204"/>
      <c r="O479" s="204"/>
      <c r="P479" s="204"/>
      <c r="Q479" s="204"/>
      <c r="R479" s="204"/>
      <c r="S479" s="204"/>
      <c r="T479" s="204"/>
      <c r="U479" s="204"/>
      <c r="V479" s="204"/>
      <c r="W479" s="204"/>
      <c r="X479" s="204"/>
      <c r="Y479" s="204"/>
      <c r="Z479" s="204"/>
      <c r="AA479" s="204"/>
    </row>
    <row r="480" spans="1:27" ht="15.75" customHeight="1" x14ac:dyDescent="0.2">
      <c r="A480" s="225"/>
      <c r="B480" s="225"/>
      <c r="C480" s="225"/>
      <c r="D480" s="225"/>
      <c r="E480" s="225"/>
      <c r="F480" s="225"/>
      <c r="G480" s="225"/>
      <c r="H480" s="204"/>
      <c r="I480" s="224"/>
      <c r="J480" s="224"/>
      <c r="K480" s="224"/>
      <c r="L480" s="204"/>
      <c r="M480" s="204"/>
      <c r="N480" s="204"/>
      <c r="O480" s="204"/>
      <c r="P480" s="204"/>
      <c r="Q480" s="204"/>
      <c r="R480" s="204"/>
      <c r="S480" s="204"/>
      <c r="T480" s="204"/>
      <c r="U480" s="204"/>
      <c r="V480" s="204"/>
      <c r="W480" s="204"/>
      <c r="X480" s="204"/>
      <c r="Y480" s="204"/>
      <c r="Z480" s="204"/>
      <c r="AA480" s="204"/>
    </row>
    <row r="481" spans="1:27" ht="15.75" customHeight="1" x14ac:dyDescent="0.2">
      <c r="A481" s="225"/>
      <c r="B481" s="225"/>
      <c r="C481" s="225"/>
      <c r="D481" s="225"/>
      <c r="E481" s="225"/>
      <c r="F481" s="225"/>
      <c r="G481" s="225"/>
      <c r="H481" s="204"/>
      <c r="I481" s="224"/>
      <c r="J481" s="224"/>
      <c r="K481" s="224"/>
      <c r="L481" s="204"/>
      <c r="M481" s="204"/>
      <c r="N481" s="204"/>
      <c r="O481" s="204"/>
      <c r="P481" s="204"/>
      <c r="Q481" s="204"/>
      <c r="R481" s="204"/>
      <c r="S481" s="204"/>
      <c r="T481" s="204"/>
      <c r="U481" s="204"/>
      <c r="V481" s="204"/>
      <c r="W481" s="204"/>
      <c r="X481" s="204"/>
      <c r="Y481" s="204"/>
      <c r="Z481" s="204"/>
      <c r="AA481" s="204"/>
    </row>
    <row r="482" spans="1:27" ht="15.75" customHeight="1" x14ac:dyDescent="0.2">
      <c r="A482" s="225"/>
      <c r="B482" s="225"/>
      <c r="C482" s="225"/>
      <c r="D482" s="225"/>
      <c r="E482" s="225"/>
      <c r="F482" s="225"/>
      <c r="G482" s="225"/>
      <c r="H482" s="204"/>
      <c r="I482" s="224"/>
      <c r="J482" s="224"/>
      <c r="K482" s="224"/>
      <c r="L482" s="204"/>
      <c r="M482" s="204"/>
      <c r="N482" s="204"/>
      <c r="O482" s="204"/>
      <c r="P482" s="204"/>
      <c r="Q482" s="204"/>
      <c r="R482" s="204"/>
      <c r="S482" s="204"/>
      <c r="T482" s="204"/>
      <c r="U482" s="204"/>
      <c r="V482" s="204"/>
      <c r="W482" s="204"/>
      <c r="X482" s="204"/>
      <c r="Y482" s="204"/>
      <c r="Z482" s="204"/>
      <c r="AA482" s="204"/>
    </row>
    <row r="483" spans="1:27" ht="15.75" customHeight="1" x14ac:dyDescent="0.2">
      <c r="A483" s="225"/>
      <c r="B483" s="225"/>
      <c r="C483" s="225"/>
      <c r="D483" s="225"/>
      <c r="E483" s="225"/>
      <c r="F483" s="225"/>
      <c r="G483" s="225"/>
      <c r="H483" s="204"/>
      <c r="I483" s="224"/>
      <c r="J483" s="224"/>
      <c r="K483" s="224"/>
      <c r="L483" s="204"/>
      <c r="M483" s="204"/>
      <c r="N483" s="204"/>
      <c r="O483" s="204"/>
      <c r="P483" s="204"/>
      <c r="Q483" s="204"/>
      <c r="R483" s="204"/>
      <c r="S483" s="204"/>
      <c r="T483" s="204"/>
      <c r="U483" s="204"/>
      <c r="V483" s="204"/>
      <c r="W483" s="204"/>
      <c r="X483" s="204"/>
      <c r="Y483" s="204"/>
      <c r="Z483" s="204"/>
      <c r="AA483" s="204"/>
    </row>
    <row r="484" spans="1:27" ht="15.75" customHeight="1" x14ac:dyDescent="0.2">
      <c r="A484" s="225"/>
      <c r="B484" s="225"/>
      <c r="C484" s="225"/>
      <c r="D484" s="225"/>
      <c r="E484" s="225"/>
      <c r="F484" s="225"/>
      <c r="G484" s="225"/>
      <c r="H484" s="204"/>
      <c r="I484" s="224"/>
      <c r="J484" s="224"/>
      <c r="K484" s="224"/>
      <c r="L484" s="204"/>
      <c r="M484" s="204"/>
      <c r="N484" s="204"/>
      <c r="O484" s="204"/>
      <c r="P484" s="204"/>
      <c r="Q484" s="204"/>
      <c r="R484" s="204"/>
      <c r="S484" s="204"/>
      <c r="T484" s="204"/>
      <c r="U484" s="204"/>
      <c r="V484" s="204"/>
      <c r="W484" s="204"/>
      <c r="X484" s="204"/>
      <c r="Y484" s="204"/>
      <c r="Z484" s="204"/>
      <c r="AA484" s="204"/>
    </row>
    <row r="485" spans="1:27" ht="15.75" customHeight="1" x14ac:dyDescent="0.2">
      <c r="A485" s="225"/>
      <c r="B485" s="225"/>
      <c r="C485" s="225"/>
      <c r="D485" s="225"/>
      <c r="E485" s="225"/>
      <c r="F485" s="225"/>
      <c r="G485" s="225"/>
      <c r="H485" s="204"/>
      <c r="I485" s="224"/>
      <c r="J485" s="224"/>
      <c r="K485" s="224"/>
      <c r="L485" s="204"/>
      <c r="M485" s="204"/>
      <c r="N485" s="204"/>
      <c r="O485" s="204"/>
      <c r="P485" s="204"/>
      <c r="Q485" s="204"/>
      <c r="R485" s="204"/>
      <c r="S485" s="204"/>
      <c r="T485" s="204"/>
      <c r="U485" s="204"/>
      <c r="V485" s="204"/>
      <c r="W485" s="204"/>
      <c r="X485" s="204"/>
      <c r="Y485" s="204"/>
      <c r="Z485" s="204"/>
      <c r="AA485" s="204"/>
    </row>
    <row r="486" spans="1:27" ht="15.75" customHeight="1" x14ac:dyDescent="0.2">
      <c r="A486" s="225"/>
      <c r="B486" s="225"/>
      <c r="C486" s="225"/>
      <c r="D486" s="225"/>
      <c r="E486" s="225"/>
      <c r="F486" s="225"/>
      <c r="G486" s="225"/>
      <c r="H486" s="204"/>
      <c r="I486" s="224"/>
      <c r="J486" s="224"/>
      <c r="K486" s="224"/>
      <c r="L486" s="204"/>
      <c r="M486" s="204"/>
      <c r="N486" s="204"/>
      <c r="O486" s="204"/>
      <c r="P486" s="204"/>
      <c r="Q486" s="204"/>
      <c r="R486" s="204"/>
      <c r="S486" s="204"/>
      <c r="T486" s="204"/>
      <c r="U486" s="204"/>
      <c r="V486" s="204"/>
      <c r="W486" s="204"/>
      <c r="X486" s="204"/>
      <c r="Y486" s="204"/>
      <c r="Z486" s="204"/>
      <c r="AA486" s="204"/>
    </row>
    <row r="487" spans="1:27" ht="15.75" customHeight="1" x14ac:dyDescent="0.2">
      <c r="A487" s="225"/>
      <c r="B487" s="225"/>
      <c r="C487" s="225"/>
      <c r="D487" s="225"/>
      <c r="E487" s="225"/>
      <c r="F487" s="225"/>
      <c r="G487" s="225"/>
      <c r="H487" s="204"/>
      <c r="I487" s="224"/>
      <c r="J487" s="224"/>
      <c r="K487" s="224"/>
      <c r="L487" s="204"/>
      <c r="M487" s="204"/>
      <c r="N487" s="204"/>
      <c r="O487" s="204"/>
      <c r="P487" s="204"/>
      <c r="Q487" s="204"/>
      <c r="R487" s="204"/>
      <c r="S487" s="204"/>
      <c r="T487" s="204"/>
      <c r="U487" s="204"/>
      <c r="V487" s="204"/>
      <c r="W487" s="204"/>
      <c r="X487" s="204"/>
      <c r="Y487" s="204"/>
      <c r="Z487" s="204"/>
      <c r="AA487" s="204"/>
    </row>
    <row r="488" spans="1:27" ht="15.75" customHeight="1" x14ac:dyDescent="0.2">
      <c r="A488" s="225"/>
      <c r="B488" s="225"/>
      <c r="C488" s="225"/>
      <c r="D488" s="225"/>
      <c r="E488" s="225"/>
      <c r="F488" s="225"/>
      <c r="G488" s="225"/>
      <c r="H488" s="204"/>
      <c r="I488" s="224"/>
      <c r="J488" s="224"/>
      <c r="K488" s="224"/>
      <c r="L488" s="204"/>
      <c r="M488" s="204"/>
      <c r="N488" s="204"/>
      <c r="O488" s="204"/>
      <c r="P488" s="204"/>
      <c r="Q488" s="204"/>
      <c r="R488" s="204"/>
      <c r="S488" s="204"/>
      <c r="T488" s="204"/>
      <c r="U488" s="204"/>
      <c r="V488" s="204"/>
      <c r="W488" s="204"/>
      <c r="X488" s="204"/>
      <c r="Y488" s="204"/>
      <c r="Z488" s="204"/>
      <c r="AA488" s="204"/>
    </row>
    <row r="489" spans="1:27" ht="15.75" customHeight="1" x14ac:dyDescent="0.2">
      <c r="A489" s="225"/>
      <c r="B489" s="225"/>
      <c r="C489" s="225"/>
      <c r="D489" s="225"/>
      <c r="E489" s="225"/>
      <c r="F489" s="225"/>
      <c r="G489" s="225"/>
      <c r="H489" s="204"/>
      <c r="I489" s="224"/>
      <c r="J489" s="224"/>
      <c r="K489" s="224"/>
      <c r="L489" s="204"/>
      <c r="M489" s="204"/>
      <c r="N489" s="204"/>
      <c r="O489" s="204"/>
      <c r="P489" s="204"/>
      <c r="Q489" s="204"/>
      <c r="R489" s="204"/>
      <c r="S489" s="204"/>
      <c r="T489" s="204"/>
      <c r="U489" s="204"/>
      <c r="V489" s="204"/>
      <c r="W489" s="204"/>
      <c r="X489" s="204"/>
      <c r="Y489" s="204"/>
      <c r="Z489" s="204"/>
      <c r="AA489" s="204"/>
    </row>
    <row r="490" spans="1:27" ht="15.75" customHeight="1" x14ac:dyDescent="0.2">
      <c r="A490" s="225"/>
      <c r="B490" s="225"/>
      <c r="C490" s="225"/>
      <c r="D490" s="225"/>
      <c r="E490" s="225"/>
      <c r="F490" s="225"/>
      <c r="G490" s="225"/>
      <c r="H490" s="204"/>
      <c r="I490" s="224"/>
      <c r="J490" s="224"/>
      <c r="K490" s="224"/>
      <c r="L490" s="204"/>
      <c r="M490" s="204"/>
      <c r="N490" s="204"/>
      <c r="O490" s="204"/>
      <c r="P490" s="204"/>
      <c r="Q490" s="204"/>
      <c r="R490" s="204"/>
      <c r="S490" s="204"/>
      <c r="T490" s="204"/>
      <c r="U490" s="204"/>
      <c r="V490" s="204"/>
      <c r="W490" s="204"/>
      <c r="X490" s="204"/>
      <c r="Y490" s="204"/>
      <c r="Z490" s="204"/>
      <c r="AA490" s="204"/>
    </row>
    <row r="491" spans="1:27" ht="15.75" customHeight="1" x14ac:dyDescent="0.2">
      <c r="A491" s="225"/>
      <c r="B491" s="225"/>
      <c r="C491" s="225"/>
      <c r="D491" s="225"/>
      <c r="E491" s="225"/>
      <c r="F491" s="225"/>
      <c r="G491" s="225"/>
      <c r="H491" s="204"/>
      <c r="I491" s="224"/>
      <c r="J491" s="224"/>
      <c r="K491" s="224"/>
      <c r="L491" s="204"/>
      <c r="M491" s="204"/>
      <c r="N491" s="204"/>
      <c r="O491" s="204"/>
      <c r="P491" s="204"/>
      <c r="Q491" s="204"/>
      <c r="R491" s="204"/>
      <c r="S491" s="204"/>
      <c r="T491" s="204"/>
      <c r="U491" s="204"/>
      <c r="V491" s="204"/>
      <c r="W491" s="204"/>
      <c r="X491" s="204"/>
      <c r="Y491" s="204"/>
      <c r="Z491" s="204"/>
      <c r="AA491" s="204"/>
    </row>
    <row r="492" spans="1:27" ht="15.75" customHeight="1" x14ac:dyDescent="0.2">
      <c r="A492" s="225"/>
      <c r="B492" s="225"/>
      <c r="C492" s="225"/>
      <c r="D492" s="225"/>
      <c r="E492" s="225"/>
      <c r="F492" s="225"/>
      <c r="G492" s="225"/>
      <c r="H492" s="204"/>
      <c r="I492" s="224"/>
      <c r="J492" s="224"/>
      <c r="K492" s="224"/>
      <c r="L492" s="204"/>
      <c r="M492" s="204"/>
      <c r="N492" s="204"/>
      <c r="O492" s="204"/>
      <c r="P492" s="204"/>
      <c r="Q492" s="204"/>
      <c r="R492" s="204"/>
      <c r="S492" s="204"/>
      <c r="T492" s="204"/>
      <c r="U492" s="204"/>
      <c r="V492" s="204"/>
      <c r="W492" s="204"/>
      <c r="X492" s="204"/>
      <c r="Y492" s="204"/>
      <c r="Z492" s="204"/>
      <c r="AA492" s="204"/>
    </row>
    <row r="493" spans="1:27" ht="15.75" customHeight="1" x14ac:dyDescent="0.2">
      <c r="A493" s="225"/>
      <c r="B493" s="225"/>
      <c r="C493" s="225"/>
      <c r="D493" s="225"/>
      <c r="E493" s="225"/>
      <c r="F493" s="225"/>
      <c r="G493" s="225"/>
      <c r="H493" s="204"/>
      <c r="I493" s="224"/>
      <c r="J493" s="224"/>
      <c r="K493" s="224"/>
      <c r="L493" s="204"/>
      <c r="M493" s="204"/>
      <c r="N493" s="204"/>
      <c r="O493" s="204"/>
      <c r="P493" s="204"/>
      <c r="Q493" s="204"/>
      <c r="R493" s="204"/>
      <c r="S493" s="204"/>
      <c r="T493" s="204"/>
      <c r="U493" s="204"/>
      <c r="V493" s="204"/>
      <c r="W493" s="204"/>
      <c r="X493" s="204"/>
      <c r="Y493" s="204"/>
      <c r="Z493" s="204"/>
      <c r="AA493" s="204"/>
    </row>
    <row r="494" spans="1:27" ht="15.75" customHeight="1" x14ac:dyDescent="0.2">
      <c r="A494" s="225"/>
      <c r="B494" s="225"/>
      <c r="C494" s="225"/>
      <c r="D494" s="225"/>
      <c r="E494" s="225"/>
      <c r="F494" s="225"/>
      <c r="G494" s="225"/>
      <c r="H494" s="204"/>
      <c r="I494" s="224"/>
      <c r="J494" s="224"/>
      <c r="K494" s="224"/>
      <c r="L494" s="204"/>
      <c r="M494" s="204"/>
      <c r="N494" s="204"/>
      <c r="O494" s="204"/>
      <c r="P494" s="204"/>
      <c r="Q494" s="204"/>
      <c r="R494" s="204"/>
      <c r="S494" s="204"/>
      <c r="T494" s="204"/>
      <c r="U494" s="204"/>
      <c r="V494" s="204"/>
      <c r="W494" s="204"/>
      <c r="X494" s="204"/>
      <c r="Y494" s="204"/>
      <c r="Z494" s="204"/>
      <c r="AA494" s="204"/>
    </row>
    <row r="495" spans="1:27" ht="15.75" customHeight="1" x14ac:dyDescent="0.2">
      <c r="A495" s="225"/>
      <c r="B495" s="225"/>
      <c r="C495" s="225"/>
      <c r="D495" s="225"/>
      <c r="E495" s="225"/>
      <c r="F495" s="225"/>
      <c r="G495" s="225"/>
      <c r="H495" s="204"/>
      <c r="I495" s="224"/>
      <c r="J495" s="224"/>
      <c r="K495" s="224"/>
      <c r="L495" s="204"/>
      <c r="M495" s="204"/>
      <c r="N495" s="204"/>
      <c r="O495" s="204"/>
      <c r="P495" s="204"/>
      <c r="Q495" s="204"/>
      <c r="R495" s="204"/>
      <c r="S495" s="204"/>
      <c r="T495" s="204"/>
      <c r="U495" s="204"/>
      <c r="V495" s="204"/>
      <c r="W495" s="204"/>
      <c r="X495" s="204"/>
      <c r="Y495" s="204"/>
      <c r="Z495" s="204"/>
      <c r="AA495" s="204"/>
    </row>
    <row r="496" spans="1:27" ht="15.75" customHeight="1" x14ac:dyDescent="0.2">
      <c r="A496" s="225"/>
      <c r="B496" s="225"/>
      <c r="C496" s="225"/>
      <c r="D496" s="225"/>
      <c r="E496" s="225"/>
      <c r="F496" s="225"/>
      <c r="G496" s="225"/>
      <c r="H496" s="204"/>
      <c r="I496" s="224"/>
      <c r="J496" s="224"/>
      <c r="K496" s="224"/>
      <c r="L496" s="204"/>
      <c r="M496" s="204"/>
      <c r="N496" s="204"/>
      <c r="O496" s="204"/>
      <c r="P496" s="204"/>
      <c r="Q496" s="204"/>
      <c r="R496" s="204"/>
      <c r="S496" s="204"/>
      <c r="T496" s="204"/>
      <c r="U496" s="204"/>
      <c r="V496" s="204"/>
      <c r="W496" s="204"/>
      <c r="X496" s="204"/>
      <c r="Y496" s="204"/>
      <c r="Z496" s="204"/>
      <c r="AA496" s="204"/>
    </row>
    <row r="497" spans="1:27" ht="15.75" customHeight="1" x14ac:dyDescent="0.2">
      <c r="A497" s="225"/>
      <c r="B497" s="225"/>
      <c r="C497" s="225"/>
      <c r="D497" s="225"/>
      <c r="E497" s="225"/>
      <c r="F497" s="225"/>
      <c r="G497" s="225"/>
      <c r="H497" s="204"/>
      <c r="I497" s="224"/>
      <c r="J497" s="224"/>
      <c r="K497" s="224"/>
      <c r="L497" s="204"/>
      <c r="M497" s="204"/>
      <c r="N497" s="204"/>
      <c r="O497" s="204"/>
      <c r="P497" s="204"/>
      <c r="Q497" s="204"/>
      <c r="R497" s="204"/>
      <c r="S497" s="204"/>
      <c r="T497" s="204"/>
      <c r="U497" s="204"/>
      <c r="V497" s="204"/>
      <c r="W497" s="204"/>
      <c r="X497" s="204"/>
      <c r="Y497" s="204"/>
      <c r="Z497" s="204"/>
      <c r="AA497" s="204"/>
    </row>
    <row r="498" spans="1:27" ht="15.75" customHeight="1" x14ac:dyDescent="0.2">
      <c r="A498" s="225"/>
      <c r="B498" s="225"/>
      <c r="C498" s="225"/>
      <c r="D498" s="225"/>
      <c r="E498" s="225"/>
      <c r="F498" s="225"/>
      <c r="G498" s="225"/>
      <c r="H498" s="204"/>
      <c r="I498" s="224"/>
      <c r="J498" s="224"/>
      <c r="K498" s="224"/>
      <c r="L498" s="204"/>
      <c r="M498" s="204"/>
      <c r="N498" s="204"/>
      <c r="O498" s="204"/>
      <c r="P498" s="204"/>
      <c r="Q498" s="204"/>
      <c r="R498" s="204"/>
      <c r="S498" s="204"/>
      <c r="T498" s="204"/>
      <c r="U498" s="204"/>
      <c r="V498" s="204"/>
      <c r="W498" s="204"/>
      <c r="X498" s="204"/>
      <c r="Y498" s="204"/>
      <c r="Z498" s="204"/>
      <c r="AA498" s="204"/>
    </row>
    <row r="499" spans="1:27" ht="15.75" customHeight="1" x14ac:dyDescent="0.2">
      <c r="A499" s="225"/>
      <c r="B499" s="225"/>
      <c r="C499" s="225"/>
      <c r="D499" s="225"/>
      <c r="E499" s="225"/>
      <c r="F499" s="225"/>
      <c r="G499" s="225"/>
      <c r="H499" s="204"/>
      <c r="I499" s="224"/>
      <c r="J499" s="224"/>
      <c r="K499" s="224"/>
      <c r="L499" s="204"/>
      <c r="M499" s="204"/>
      <c r="N499" s="204"/>
      <c r="O499" s="204"/>
      <c r="P499" s="204"/>
      <c r="Q499" s="204"/>
      <c r="R499" s="204"/>
      <c r="S499" s="204"/>
      <c r="T499" s="204"/>
      <c r="U499" s="204"/>
      <c r="V499" s="204"/>
      <c r="W499" s="204"/>
      <c r="X499" s="204"/>
      <c r="Y499" s="204"/>
      <c r="Z499" s="204"/>
      <c r="AA499" s="204"/>
    </row>
    <row r="500" spans="1:27" ht="15.75" customHeight="1" x14ac:dyDescent="0.2">
      <c r="A500" s="225"/>
      <c r="B500" s="225"/>
      <c r="C500" s="225"/>
      <c r="D500" s="225"/>
      <c r="E500" s="225"/>
      <c r="F500" s="225"/>
      <c r="G500" s="225"/>
      <c r="H500" s="204"/>
      <c r="I500" s="224"/>
      <c r="J500" s="224"/>
      <c r="K500" s="224"/>
      <c r="L500" s="204"/>
      <c r="M500" s="204"/>
      <c r="N500" s="204"/>
      <c r="O500" s="204"/>
      <c r="P500" s="204"/>
      <c r="Q500" s="204"/>
      <c r="R500" s="204"/>
      <c r="S500" s="204"/>
      <c r="T500" s="204"/>
      <c r="U500" s="204"/>
      <c r="V500" s="204"/>
      <c r="W500" s="204"/>
      <c r="X500" s="204"/>
      <c r="Y500" s="204"/>
      <c r="Z500" s="204"/>
      <c r="AA500" s="204"/>
    </row>
    <row r="501" spans="1:27" ht="15.75" customHeight="1" x14ac:dyDescent="0.2">
      <c r="A501" s="225"/>
      <c r="B501" s="225"/>
      <c r="C501" s="225"/>
      <c r="D501" s="225"/>
      <c r="E501" s="225"/>
      <c r="F501" s="225"/>
      <c r="G501" s="225"/>
      <c r="H501" s="204"/>
      <c r="I501" s="224"/>
      <c r="J501" s="224"/>
      <c r="K501" s="224"/>
      <c r="L501" s="204"/>
      <c r="M501" s="204"/>
      <c r="N501" s="204"/>
      <c r="O501" s="204"/>
      <c r="P501" s="204"/>
      <c r="Q501" s="204"/>
      <c r="R501" s="204"/>
      <c r="S501" s="204"/>
      <c r="T501" s="204"/>
      <c r="U501" s="204"/>
      <c r="V501" s="204"/>
      <c r="W501" s="204"/>
      <c r="X501" s="204"/>
      <c r="Y501" s="204"/>
      <c r="Z501" s="204"/>
      <c r="AA501" s="204"/>
    </row>
    <row r="502" spans="1:27" ht="15.75" customHeight="1" x14ac:dyDescent="0.2">
      <c r="A502" s="225"/>
      <c r="B502" s="225"/>
      <c r="C502" s="225"/>
      <c r="D502" s="225"/>
      <c r="E502" s="225"/>
      <c r="F502" s="225"/>
      <c r="G502" s="225"/>
      <c r="H502" s="204"/>
      <c r="I502" s="224"/>
      <c r="J502" s="224"/>
      <c r="K502" s="224"/>
      <c r="L502" s="204"/>
      <c r="M502" s="204"/>
      <c r="N502" s="204"/>
      <c r="O502" s="204"/>
      <c r="P502" s="204"/>
      <c r="Q502" s="204"/>
      <c r="R502" s="204"/>
      <c r="S502" s="204"/>
      <c r="T502" s="204"/>
      <c r="U502" s="204"/>
      <c r="V502" s="204"/>
      <c r="W502" s="204"/>
      <c r="X502" s="204"/>
      <c r="Y502" s="204"/>
      <c r="Z502" s="204"/>
      <c r="AA502" s="204"/>
    </row>
    <row r="503" spans="1:27" ht="15.75" customHeight="1" x14ac:dyDescent="0.2">
      <c r="A503" s="225"/>
      <c r="B503" s="225"/>
      <c r="C503" s="225"/>
      <c r="D503" s="225"/>
      <c r="E503" s="225"/>
      <c r="F503" s="225"/>
      <c r="G503" s="225"/>
      <c r="H503" s="204"/>
      <c r="I503" s="224"/>
      <c r="J503" s="224"/>
      <c r="K503" s="224"/>
      <c r="L503" s="204"/>
      <c r="M503" s="204"/>
      <c r="N503" s="204"/>
      <c r="O503" s="204"/>
      <c r="P503" s="204"/>
      <c r="Q503" s="204"/>
      <c r="R503" s="204"/>
      <c r="S503" s="204"/>
      <c r="T503" s="204"/>
      <c r="U503" s="204"/>
      <c r="V503" s="204"/>
      <c r="W503" s="204"/>
      <c r="X503" s="204"/>
      <c r="Y503" s="204"/>
      <c r="Z503" s="204"/>
      <c r="AA503" s="204"/>
    </row>
    <row r="504" spans="1:27" ht="15.75" customHeight="1" x14ac:dyDescent="0.2">
      <c r="A504" s="225"/>
      <c r="B504" s="225"/>
      <c r="C504" s="225"/>
      <c r="D504" s="225"/>
      <c r="E504" s="225"/>
      <c r="F504" s="225"/>
      <c r="G504" s="225"/>
      <c r="H504" s="204"/>
      <c r="I504" s="224"/>
      <c r="J504" s="224"/>
      <c r="K504" s="224"/>
      <c r="L504" s="204"/>
      <c r="M504" s="204"/>
      <c r="N504" s="204"/>
      <c r="O504" s="204"/>
      <c r="P504" s="204"/>
      <c r="Q504" s="204"/>
      <c r="R504" s="204"/>
      <c r="S504" s="204"/>
      <c r="T504" s="204"/>
      <c r="U504" s="204"/>
      <c r="V504" s="204"/>
      <c r="W504" s="204"/>
      <c r="X504" s="204"/>
      <c r="Y504" s="204"/>
      <c r="Z504" s="204"/>
      <c r="AA504" s="204"/>
    </row>
    <row r="505" spans="1:27" ht="15.75" customHeight="1" x14ac:dyDescent="0.2">
      <c r="A505" s="225"/>
      <c r="B505" s="225"/>
      <c r="C505" s="225"/>
      <c r="D505" s="225"/>
      <c r="E505" s="225"/>
      <c r="F505" s="225"/>
      <c r="G505" s="225"/>
      <c r="H505" s="204"/>
      <c r="I505" s="224"/>
      <c r="J505" s="224"/>
      <c r="K505" s="224"/>
      <c r="L505" s="204"/>
      <c r="M505" s="204"/>
      <c r="N505" s="204"/>
      <c r="O505" s="204"/>
      <c r="P505" s="204"/>
      <c r="Q505" s="204"/>
      <c r="R505" s="204"/>
      <c r="S505" s="204"/>
      <c r="T505" s="204"/>
      <c r="U505" s="204"/>
      <c r="V505" s="204"/>
      <c r="W505" s="204"/>
      <c r="X505" s="204"/>
      <c r="Y505" s="204"/>
      <c r="Z505" s="204"/>
      <c r="AA505" s="204"/>
    </row>
    <row r="506" spans="1:27" ht="15.75" customHeight="1" x14ac:dyDescent="0.2">
      <c r="A506" s="225"/>
      <c r="B506" s="225"/>
      <c r="C506" s="225"/>
      <c r="D506" s="225"/>
      <c r="E506" s="225"/>
      <c r="F506" s="225"/>
      <c r="G506" s="225"/>
      <c r="H506" s="204"/>
      <c r="I506" s="224"/>
      <c r="J506" s="224"/>
      <c r="K506" s="224"/>
      <c r="L506" s="204"/>
      <c r="M506" s="204"/>
      <c r="N506" s="204"/>
      <c r="O506" s="204"/>
      <c r="P506" s="204"/>
      <c r="Q506" s="204"/>
      <c r="R506" s="204"/>
      <c r="S506" s="204"/>
      <c r="T506" s="204"/>
      <c r="U506" s="204"/>
      <c r="V506" s="204"/>
      <c r="W506" s="204"/>
      <c r="X506" s="204"/>
      <c r="Y506" s="204"/>
      <c r="Z506" s="204"/>
      <c r="AA506" s="204"/>
    </row>
    <row r="507" spans="1:27" ht="15.75" customHeight="1" x14ac:dyDescent="0.2">
      <c r="A507" s="225"/>
      <c r="B507" s="225"/>
      <c r="C507" s="225"/>
      <c r="D507" s="225"/>
      <c r="E507" s="225"/>
      <c r="F507" s="225"/>
      <c r="G507" s="225"/>
      <c r="H507" s="204"/>
      <c r="I507" s="224"/>
      <c r="J507" s="224"/>
      <c r="K507" s="224"/>
      <c r="L507" s="204"/>
      <c r="M507" s="204"/>
      <c r="N507" s="204"/>
      <c r="O507" s="204"/>
      <c r="P507" s="204"/>
      <c r="Q507" s="204"/>
      <c r="R507" s="204"/>
      <c r="S507" s="204"/>
      <c r="T507" s="204"/>
      <c r="U507" s="204"/>
      <c r="V507" s="204"/>
      <c r="W507" s="204"/>
      <c r="X507" s="204"/>
      <c r="Y507" s="204"/>
      <c r="Z507" s="204"/>
      <c r="AA507" s="204"/>
    </row>
    <row r="508" spans="1:27" ht="15.75" customHeight="1" x14ac:dyDescent="0.2">
      <c r="A508" s="225"/>
      <c r="B508" s="225"/>
      <c r="C508" s="225"/>
      <c r="D508" s="225"/>
      <c r="E508" s="225"/>
      <c r="F508" s="225"/>
      <c r="G508" s="225"/>
      <c r="H508" s="204"/>
      <c r="I508" s="224"/>
      <c r="J508" s="224"/>
      <c r="K508" s="224"/>
      <c r="L508" s="204"/>
      <c r="M508" s="204"/>
      <c r="N508" s="204"/>
      <c r="O508" s="204"/>
      <c r="P508" s="204"/>
      <c r="Q508" s="204"/>
      <c r="R508" s="204"/>
      <c r="S508" s="204"/>
      <c r="T508" s="204"/>
      <c r="U508" s="204"/>
      <c r="V508" s="204"/>
      <c r="W508" s="204"/>
      <c r="X508" s="204"/>
      <c r="Y508" s="204"/>
      <c r="Z508" s="204"/>
      <c r="AA508" s="204"/>
    </row>
    <row r="509" spans="1:27" ht="15.75" customHeight="1" x14ac:dyDescent="0.2">
      <c r="A509" s="225"/>
      <c r="B509" s="225"/>
      <c r="C509" s="225"/>
      <c r="D509" s="225"/>
      <c r="E509" s="225"/>
      <c r="F509" s="225"/>
      <c r="G509" s="225"/>
      <c r="H509" s="204"/>
      <c r="I509" s="224"/>
      <c r="J509" s="224"/>
      <c r="K509" s="224"/>
      <c r="L509" s="204"/>
      <c r="M509" s="204"/>
      <c r="N509" s="204"/>
      <c r="O509" s="204"/>
      <c r="P509" s="204"/>
      <c r="Q509" s="204"/>
      <c r="R509" s="204"/>
      <c r="S509" s="204"/>
      <c r="T509" s="204"/>
      <c r="U509" s="204"/>
      <c r="V509" s="204"/>
      <c r="W509" s="204"/>
      <c r="X509" s="204"/>
      <c r="Y509" s="204"/>
      <c r="Z509" s="204"/>
      <c r="AA509" s="204"/>
    </row>
    <row r="510" spans="1:27" ht="15.75" customHeight="1" x14ac:dyDescent="0.2">
      <c r="A510" s="225"/>
      <c r="B510" s="225"/>
      <c r="C510" s="225"/>
      <c r="D510" s="225"/>
      <c r="E510" s="225"/>
      <c r="F510" s="225"/>
      <c r="G510" s="225"/>
      <c r="H510" s="204"/>
      <c r="I510" s="224"/>
      <c r="J510" s="224"/>
      <c r="K510" s="224"/>
      <c r="L510" s="204"/>
      <c r="M510" s="204"/>
      <c r="N510" s="204"/>
      <c r="O510" s="204"/>
      <c r="P510" s="204"/>
      <c r="Q510" s="204"/>
      <c r="R510" s="204"/>
      <c r="S510" s="204"/>
      <c r="T510" s="204"/>
      <c r="U510" s="204"/>
      <c r="V510" s="204"/>
      <c r="W510" s="204"/>
      <c r="X510" s="204"/>
      <c r="Y510" s="204"/>
      <c r="Z510" s="204"/>
      <c r="AA510" s="204"/>
    </row>
    <row r="511" spans="1:27" ht="15.75" customHeight="1" x14ac:dyDescent="0.2">
      <c r="A511" s="225"/>
      <c r="B511" s="225"/>
      <c r="C511" s="225"/>
      <c r="D511" s="225"/>
      <c r="E511" s="225"/>
      <c r="F511" s="225"/>
      <c r="G511" s="225"/>
      <c r="H511" s="204"/>
      <c r="I511" s="224"/>
      <c r="J511" s="224"/>
      <c r="K511" s="224"/>
      <c r="L511" s="204"/>
      <c r="M511" s="204"/>
      <c r="N511" s="204"/>
      <c r="O511" s="204"/>
      <c r="P511" s="204"/>
      <c r="Q511" s="204"/>
      <c r="R511" s="204"/>
      <c r="S511" s="204"/>
      <c r="T511" s="204"/>
      <c r="U511" s="204"/>
      <c r="V511" s="204"/>
      <c r="W511" s="204"/>
      <c r="X511" s="204"/>
      <c r="Y511" s="204"/>
      <c r="Z511" s="204"/>
      <c r="AA511" s="204"/>
    </row>
    <row r="512" spans="1:27" ht="15.75" customHeight="1" x14ac:dyDescent="0.2">
      <c r="A512" s="225"/>
      <c r="B512" s="225"/>
      <c r="C512" s="225"/>
      <c r="D512" s="225"/>
      <c r="E512" s="225"/>
      <c r="F512" s="225"/>
      <c r="G512" s="225"/>
      <c r="H512" s="204"/>
      <c r="I512" s="224"/>
      <c r="J512" s="224"/>
      <c r="K512" s="224"/>
      <c r="L512" s="204"/>
      <c r="M512" s="204"/>
      <c r="N512" s="204"/>
      <c r="O512" s="204"/>
      <c r="P512" s="204"/>
      <c r="Q512" s="204"/>
      <c r="R512" s="204"/>
      <c r="S512" s="204"/>
      <c r="T512" s="204"/>
      <c r="U512" s="204"/>
      <c r="V512" s="204"/>
      <c r="W512" s="204"/>
      <c r="X512" s="204"/>
      <c r="Y512" s="204"/>
      <c r="Z512" s="204"/>
      <c r="AA512" s="204"/>
    </row>
    <row r="513" spans="1:27" ht="15.75" customHeight="1" x14ac:dyDescent="0.2">
      <c r="A513" s="225"/>
      <c r="B513" s="225"/>
      <c r="C513" s="225"/>
      <c r="D513" s="225"/>
      <c r="E513" s="225"/>
      <c r="F513" s="225"/>
      <c r="G513" s="225"/>
      <c r="H513" s="204"/>
      <c r="I513" s="224"/>
      <c r="J513" s="224"/>
      <c r="K513" s="224"/>
      <c r="L513" s="204"/>
      <c r="M513" s="204"/>
      <c r="N513" s="204"/>
      <c r="O513" s="204"/>
      <c r="P513" s="204"/>
      <c r="Q513" s="204"/>
      <c r="R513" s="204"/>
      <c r="S513" s="204"/>
      <c r="T513" s="204"/>
      <c r="U513" s="204"/>
      <c r="V513" s="204"/>
      <c r="W513" s="204"/>
      <c r="X513" s="204"/>
      <c r="Y513" s="204"/>
      <c r="Z513" s="204"/>
      <c r="AA513" s="204"/>
    </row>
    <row r="514" spans="1:27" ht="15.75" customHeight="1" x14ac:dyDescent="0.2">
      <c r="A514" s="225"/>
      <c r="B514" s="225"/>
      <c r="C514" s="225"/>
      <c r="D514" s="225"/>
      <c r="E514" s="225"/>
      <c r="F514" s="225"/>
      <c r="G514" s="225"/>
      <c r="H514" s="204"/>
      <c r="I514" s="224"/>
      <c r="J514" s="224"/>
      <c r="K514" s="224"/>
      <c r="L514" s="204"/>
      <c r="M514" s="204"/>
      <c r="N514" s="204"/>
      <c r="O514" s="204"/>
      <c r="P514" s="204"/>
      <c r="Q514" s="204"/>
      <c r="R514" s="204"/>
      <c r="S514" s="204"/>
      <c r="T514" s="204"/>
      <c r="U514" s="204"/>
      <c r="V514" s="204"/>
      <c r="W514" s="204"/>
      <c r="X514" s="204"/>
      <c r="Y514" s="204"/>
      <c r="Z514" s="204"/>
      <c r="AA514" s="204"/>
    </row>
    <row r="515" spans="1:27" ht="15.75" customHeight="1" x14ac:dyDescent="0.2">
      <c r="A515" s="225"/>
      <c r="B515" s="225"/>
      <c r="C515" s="225"/>
      <c r="D515" s="225"/>
      <c r="E515" s="225"/>
      <c r="F515" s="225"/>
      <c r="G515" s="225"/>
      <c r="H515" s="204"/>
      <c r="I515" s="224"/>
      <c r="J515" s="224"/>
      <c r="K515" s="224"/>
      <c r="L515" s="204"/>
      <c r="M515" s="204"/>
      <c r="N515" s="204"/>
      <c r="O515" s="204"/>
      <c r="P515" s="204"/>
      <c r="Q515" s="204"/>
      <c r="R515" s="204"/>
      <c r="S515" s="204"/>
      <c r="T515" s="204"/>
      <c r="U515" s="204"/>
      <c r="V515" s="204"/>
      <c r="W515" s="204"/>
      <c r="X515" s="204"/>
      <c r="Y515" s="204"/>
      <c r="Z515" s="204"/>
      <c r="AA515" s="204"/>
    </row>
    <row r="516" spans="1:27" ht="15.75" customHeight="1" x14ac:dyDescent="0.2">
      <c r="A516" s="225"/>
      <c r="B516" s="225"/>
      <c r="C516" s="225"/>
      <c r="D516" s="225"/>
      <c r="E516" s="225"/>
      <c r="F516" s="225"/>
      <c r="G516" s="225"/>
      <c r="H516" s="204"/>
      <c r="I516" s="224"/>
      <c r="J516" s="224"/>
      <c r="K516" s="224"/>
      <c r="L516" s="204"/>
      <c r="M516" s="204"/>
      <c r="N516" s="204"/>
      <c r="O516" s="204"/>
      <c r="P516" s="204"/>
      <c r="Q516" s="204"/>
      <c r="R516" s="204"/>
      <c r="S516" s="204"/>
      <c r="T516" s="204"/>
      <c r="U516" s="204"/>
      <c r="V516" s="204"/>
      <c r="W516" s="204"/>
      <c r="X516" s="204"/>
      <c r="Y516" s="204"/>
      <c r="Z516" s="204"/>
      <c r="AA516" s="204"/>
    </row>
    <row r="517" spans="1:27" ht="15.75" customHeight="1" x14ac:dyDescent="0.2">
      <c r="A517" s="225"/>
      <c r="B517" s="225"/>
      <c r="C517" s="225"/>
      <c r="D517" s="225"/>
      <c r="E517" s="225"/>
      <c r="F517" s="225"/>
      <c r="G517" s="225"/>
      <c r="H517" s="204"/>
      <c r="I517" s="224"/>
      <c r="J517" s="224"/>
      <c r="K517" s="224"/>
      <c r="L517" s="204"/>
      <c r="M517" s="204"/>
      <c r="N517" s="204"/>
      <c r="O517" s="204"/>
      <c r="P517" s="204"/>
      <c r="Q517" s="204"/>
      <c r="R517" s="204"/>
      <c r="S517" s="204"/>
      <c r="T517" s="204"/>
      <c r="U517" s="204"/>
      <c r="V517" s="204"/>
      <c r="W517" s="204"/>
      <c r="X517" s="204"/>
      <c r="Y517" s="204"/>
      <c r="Z517" s="204"/>
      <c r="AA517" s="204"/>
    </row>
    <row r="518" spans="1:27" ht="15.75" customHeight="1" x14ac:dyDescent="0.2">
      <c r="A518" s="225"/>
      <c r="B518" s="225"/>
      <c r="C518" s="225"/>
      <c r="D518" s="225"/>
      <c r="E518" s="225"/>
      <c r="F518" s="225"/>
      <c r="G518" s="225"/>
      <c r="H518" s="204"/>
      <c r="I518" s="224"/>
      <c r="J518" s="224"/>
      <c r="K518" s="224"/>
      <c r="L518" s="204"/>
      <c r="M518" s="204"/>
      <c r="N518" s="204"/>
      <c r="O518" s="204"/>
      <c r="P518" s="204"/>
      <c r="Q518" s="204"/>
      <c r="R518" s="204"/>
      <c r="S518" s="204"/>
      <c r="T518" s="204"/>
      <c r="U518" s="204"/>
      <c r="V518" s="204"/>
      <c r="W518" s="204"/>
      <c r="X518" s="204"/>
      <c r="Y518" s="204"/>
      <c r="Z518" s="204"/>
      <c r="AA518" s="204"/>
    </row>
    <row r="519" spans="1:27" ht="15.75" customHeight="1" x14ac:dyDescent="0.2">
      <c r="A519" s="225"/>
      <c r="B519" s="225"/>
      <c r="C519" s="225"/>
      <c r="D519" s="225"/>
      <c r="E519" s="225"/>
      <c r="F519" s="225"/>
      <c r="G519" s="225"/>
      <c r="H519" s="204"/>
      <c r="I519" s="224"/>
      <c r="J519" s="224"/>
      <c r="K519" s="224"/>
      <c r="L519" s="204"/>
      <c r="M519" s="204"/>
      <c r="N519" s="204"/>
      <c r="O519" s="204"/>
      <c r="P519" s="204"/>
      <c r="Q519" s="204"/>
      <c r="R519" s="204"/>
      <c r="S519" s="204"/>
      <c r="T519" s="204"/>
      <c r="U519" s="204"/>
      <c r="V519" s="204"/>
      <c r="W519" s="204"/>
      <c r="X519" s="204"/>
      <c r="Y519" s="204"/>
      <c r="Z519" s="204"/>
      <c r="AA519" s="204"/>
    </row>
    <row r="520" spans="1:27" ht="15.75" customHeight="1" x14ac:dyDescent="0.2">
      <c r="A520" s="225"/>
      <c r="B520" s="225"/>
      <c r="C520" s="225"/>
      <c r="D520" s="225"/>
      <c r="E520" s="225"/>
      <c r="F520" s="225"/>
      <c r="G520" s="225"/>
      <c r="H520" s="204"/>
      <c r="I520" s="224"/>
      <c r="J520" s="224"/>
      <c r="K520" s="224"/>
      <c r="L520" s="204"/>
      <c r="M520" s="204"/>
      <c r="N520" s="204"/>
      <c r="O520" s="204"/>
      <c r="P520" s="204"/>
      <c r="Q520" s="204"/>
      <c r="R520" s="204"/>
      <c r="S520" s="204"/>
      <c r="T520" s="204"/>
      <c r="U520" s="204"/>
      <c r="V520" s="204"/>
      <c r="W520" s="204"/>
      <c r="X520" s="204"/>
      <c r="Y520" s="204"/>
      <c r="Z520" s="204"/>
      <c r="AA520" s="204"/>
    </row>
    <row r="521" spans="1:27" ht="15.75" customHeight="1" x14ac:dyDescent="0.2">
      <c r="A521" s="225"/>
      <c r="B521" s="225"/>
      <c r="C521" s="225"/>
      <c r="D521" s="225"/>
      <c r="E521" s="225"/>
      <c r="F521" s="225"/>
      <c r="G521" s="225"/>
      <c r="H521" s="204"/>
      <c r="I521" s="224"/>
      <c r="J521" s="224"/>
      <c r="K521" s="224"/>
      <c r="L521" s="204"/>
      <c r="M521" s="204"/>
      <c r="N521" s="204"/>
      <c r="O521" s="204"/>
      <c r="P521" s="204"/>
      <c r="Q521" s="204"/>
      <c r="R521" s="204"/>
      <c r="S521" s="204"/>
      <c r="T521" s="204"/>
      <c r="U521" s="204"/>
      <c r="V521" s="204"/>
      <c r="W521" s="204"/>
      <c r="X521" s="204"/>
      <c r="Y521" s="204"/>
      <c r="Z521" s="204"/>
      <c r="AA521" s="204"/>
    </row>
    <row r="522" spans="1:27" ht="15.75" customHeight="1" x14ac:dyDescent="0.2">
      <c r="A522" s="225"/>
      <c r="B522" s="225"/>
      <c r="C522" s="225"/>
      <c r="D522" s="225"/>
      <c r="E522" s="225"/>
      <c r="F522" s="225"/>
      <c r="G522" s="225"/>
      <c r="H522" s="204"/>
      <c r="I522" s="224"/>
      <c r="J522" s="224"/>
      <c r="K522" s="224"/>
      <c r="L522" s="204"/>
      <c r="M522" s="204"/>
      <c r="N522" s="204"/>
      <c r="O522" s="204"/>
      <c r="P522" s="204"/>
      <c r="Q522" s="204"/>
      <c r="R522" s="204"/>
      <c r="S522" s="204"/>
      <c r="T522" s="204"/>
      <c r="U522" s="204"/>
      <c r="V522" s="204"/>
      <c r="W522" s="204"/>
      <c r="X522" s="204"/>
      <c r="Y522" s="204"/>
      <c r="Z522" s="204"/>
      <c r="AA522" s="204"/>
    </row>
    <row r="523" spans="1:27" ht="15.75" customHeight="1" x14ac:dyDescent="0.2">
      <c r="A523" s="225"/>
      <c r="B523" s="225"/>
      <c r="C523" s="225"/>
      <c r="D523" s="225"/>
      <c r="E523" s="225"/>
      <c r="F523" s="225"/>
      <c r="G523" s="225"/>
      <c r="H523" s="204"/>
      <c r="I523" s="224"/>
      <c r="J523" s="224"/>
      <c r="K523" s="224"/>
      <c r="L523" s="204"/>
      <c r="M523" s="204"/>
      <c r="N523" s="204"/>
      <c r="O523" s="204"/>
      <c r="P523" s="204"/>
      <c r="Q523" s="204"/>
      <c r="R523" s="204"/>
      <c r="S523" s="204"/>
      <c r="T523" s="204"/>
      <c r="U523" s="204"/>
      <c r="V523" s="204"/>
      <c r="W523" s="204"/>
      <c r="X523" s="204"/>
      <c r="Y523" s="204"/>
      <c r="Z523" s="204"/>
      <c r="AA523" s="204"/>
    </row>
    <row r="524" spans="1:27" ht="15.75" customHeight="1" x14ac:dyDescent="0.2">
      <c r="A524" s="225"/>
      <c r="B524" s="225"/>
      <c r="C524" s="225"/>
      <c r="D524" s="225"/>
      <c r="E524" s="225"/>
      <c r="F524" s="225"/>
      <c r="G524" s="225"/>
      <c r="H524" s="204"/>
      <c r="I524" s="224"/>
      <c r="J524" s="224"/>
      <c r="K524" s="224"/>
      <c r="L524" s="204"/>
      <c r="M524" s="204"/>
      <c r="N524" s="204"/>
      <c r="O524" s="204"/>
      <c r="P524" s="204"/>
      <c r="Q524" s="204"/>
      <c r="R524" s="204"/>
      <c r="S524" s="204"/>
      <c r="T524" s="204"/>
      <c r="U524" s="204"/>
      <c r="V524" s="204"/>
      <c r="W524" s="204"/>
      <c r="X524" s="204"/>
      <c r="Y524" s="204"/>
      <c r="Z524" s="204"/>
      <c r="AA524" s="204"/>
    </row>
    <row r="525" spans="1:27" ht="15.75" customHeight="1" x14ac:dyDescent="0.2">
      <c r="A525" s="225"/>
      <c r="B525" s="225"/>
      <c r="C525" s="225"/>
      <c r="D525" s="225"/>
      <c r="E525" s="225"/>
      <c r="F525" s="225"/>
      <c r="G525" s="225"/>
      <c r="H525" s="204"/>
      <c r="I525" s="224"/>
      <c r="J525" s="224"/>
      <c r="K525" s="224"/>
      <c r="L525" s="204"/>
      <c r="M525" s="204"/>
      <c r="N525" s="204"/>
      <c r="O525" s="204"/>
      <c r="P525" s="204"/>
      <c r="Q525" s="204"/>
      <c r="R525" s="204"/>
      <c r="S525" s="204"/>
      <c r="T525" s="204"/>
      <c r="U525" s="204"/>
      <c r="V525" s="204"/>
      <c r="W525" s="204"/>
      <c r="X525" s="204"/>
      <c r="Y525" s="204"/>
      <c r="Z525" s="204"/>
      <c r="AA525" s="204"/>
    </row>
    <row r="526" spans="1:27" ht="15.75" customHeight="1" x14ac:dyDescent="0.2">
      <c r="A526" s="225"/>
      <c r="B526" s="225"/>
      <c r="C526" s="225"/>
      <c r="D526" s="225"/>
      <c r="E526" s="225"/>
      <c r="F526" s="225"/>
      <c r="G526" s="225"/>
      <c r="H526" s="204"/>
      <c r="I526" s="224"/>
      <c r="J526" s="224"/>
      <c r="K526" s="224"/>
      <c r="L526" s="204"/>
      <c r="M526" s="204"/>
      <c r="N526" s="204"/>
      <c r="O526" s="204"/>
      <c r="P526" s="204"/>
      <c r="Q526" s="204"/>
      <c r="R526" s="204"/>
      <c r="S526" s="204"/>
      <c r="T526" s="204"/>
      <c r="U526" s="204"/>
      <c r="V526" s="204"/>
      <c r="W526" s="204"/>
      <c r="X526" s="204"/>
      <c r="Y526" s="204"/>
      <c r="Z526" s="204"/>
      <c r="AA526" s="204"/>
    </row>
    <row r="527" spans="1:27" ht="15.75" customHeight="1" x14ac:dyDescent="0.2">
      <c r="A527" s="225"/>
      <c r="B527" s="225"/>
      <c r="C527" s="225"/>
      <c r="D527" s="225"/>
      <c r="E527" s="225"/>
      <c r="F527" s="225"/>
      <c r="G527" s="225"/>
      <c r="H527" s="204"/>
      <c r="I527" s="224"/>
      <c r="J527" s="224"/>
      <c r="K527" s="224"/>
      <c r="L527" s="204"/>
      <c r="M527" s="204"/>
      <c r="N527" s="204"/>
      <c r="O527" s="204"/>
      <c r="P527" s="204"/>
      <c r="Q527" s="204"/>
      <c r="R527" s="204"/>
      <c r="S527" s="204"/>
      <c r="T527" s="204"/>
      <c r="U527" s="204"/>
      <c r="V527" s="204"/>
      <c r="W527" s="204"/>
      <c r="X527" s="204"/>
      <c r="Y527" s="204"/>
      <c r="Z527" s="204"/>
      <c r="AA527" s="204"/>
    </row>
    <row r="528" spans="1:27" ht="15.75" customHeight="1" x14ac:dyDescent="0.2">
      <c r="A528" s="225"/>
      <c r="B528" s="225"/>
      <c r="C528" s="225"/>
      <c r="D528" s="225"/>
      <c r="E528" s="225"/>
      <c r="F528" s="225"/>
      <c r="G528" s="225"/>
      <c r="H528" s="204"/>
      <c r="I528" s="224"/>
      <c r="J528" s="224"/>
      <c r="K528" s="224"/>
      <c r="L528" s="204"/>
      <c r="M528" s="204"/>
      <c r="N528" s="204"/>
      <c r="O528" s="204"/>
      <c r="P528" s="204"/>
      <c r="Q528" s="204"/>
      <c r="R528" s="204"/>
      <c r="S528" s="204"/>
      <c r="T528" s="204"/>
      <c r="U528" s="204"/>
      <c r="V528" s="204"/>
      <c r="W528" s="204"/>
      <c r="X528" s="204"/>
      <c r="Y528" s="204"/>
      <c r="Z528" s="204"/>
      <c r="AA528" s="204"/>
    </row>
    <row r="529" spans="1:27" ht="15.75" customHeight="1" x14ac:dyDescent="0.2">
      <c r="A529" s="225"/>
      <c r="B529" s="225"/>
      <c r="C529" s="225"/>
      <c r="D529" s="225"/>
      <c r="E529" s="225"/>
      <c r="F529" s="225"/>
      <c r="G529" s="225"/>
      <c r="H529" s="204"/>
      <c r="I529" s="224"/>
      <c r="J529" s="224"/>
      <c r="K529" s="224"/>
      <c r="L529" s="204"/>
      <c r="M529" s="204"/>
      <c r="N529" s="204"/>
      <c r="O529" s="204"/>
      <c r="P529" s="204"/>
      <c r="Q529" s="204"/>
      <c r="R529" s="204"/>
      <c r="S529" s="204"/>
      <c r="T529" s="204"/>
      <c r="U529" s="204"/>
      <c r="V529" s="204"/>
      <c r="W529" s="204"/>
      <c r="X529" s="204"/>
      <c r="Y529" s="204"/>
      <c r="Z529" s="204"/>
      <c r="AA529" s="204"/>
    </row>
    <row r="530" spans="1:27" ht="15.75" customHeight="1" x14ac:dyDescent="0.2">
      <c r="A530" s="225"/>
      <c r="B530" s="225"/>
      <c r="C530" s="225"/>
      <c r="D530" s="225"/>
      <c r="E530" s="225"/>
      <c r="F530" s="225"/>
      <c r="G530" s="225"/>
      <c r="H530" s="204"/>
      <c r="I530" s="224"/>
      <c r="J530" s="224"/>
      <c r="K530" s="224"/>
      <c r="L530" s="204"/>
      <c r="M530" s="204"/>
      <c r="N530" s="204"/>
      <c r="O530" s="204"/>
      <c r="P530" s="204"/>
      <c r="Q530" s="204"/>
      <c r="R530" s="204"/>
      <c r="S530" s="204"/>
      <c r="T530" s="204"/>
      <c r="U530" s="204"/>
      <c r="V530" s="204"/>
      <c r="W530" s="204"/>
      <c r="X530" s="204"/>
      <c r="Y530" s="204"/>
      <c r="Z530" s="204"/>
      <c r="AA530" s="204"/>
    </row>
    <row r="531" spans="1:27" ht="15.75" customHeight="1" x14ac:dyDescent="0.2">
      <c r="A531" s="225"/>
      <c r="B531" s="225"/>
      <c r="C531" s="225"/>
      <c r="D531" s="225"/>
      <c r="E531" s="225"/>
      <c r="F531" s="225"/>
      <c r="G531" s="225"/>
      <c r="H531" s="204"/>
      <c r="I531" s="224"/>
      <c r="J531" s="224"/>
      <c r="K531" s="224"/>
      <c r="L531" s="204"/>
      <c r="M531" s="204"/>
      <c r="N531" s="204"/>
      <c r="O531" s="204"/>
      <c r="P531" s="204"/>
      <c r="Q531" s="204"/>
      <c r="R531" s="204"/>
      <c r="S531" s="204"/>
      <c r="T531" s="204"/>
      <c r="U531" s="204"/>
      <c r="V531" s="204"/>
      <c r="W531" s="204"/>
      <c r="X531" s="204"/>
      <c r="Y531" s="204"/>
      <c r="Z531" s="204"/>
      <c r="AA531" s="204"/>
    </row>
    <row r="532" spans="1:27" ht="15.75" customHeight="1" x14ac:dyDescent="0.2">
      <c r="A532" s="225"/>
      <c r="B532" s="225"/>
      <c r="C532" s="225"/>
      <c r="D532" s="225"/>
      <c r="E532" s="225"/>
      <c r="F532" s="225"/>
      <c r="G532" s="225"/>
      <c r="H532" s="204"/>
      <c r="I532" s="224"/>
      <c r="J532" s="224"/>
      <c r="K532" s="224"/>
      <c r="L532" s="204"/>
      <c r="M532" s="204"/>
      <c r="N532" s="204"/>
      <c r="O532" s="204"/>
      <c r="P532" s="204"/>
      <c r="Q532" s="204"/>
      <c r="R532" s="204"/>
      <c r="S532" s="204"/>
      <c r="T532" s="204"/>
      <c r="U532" s="204"/>
      <c r="V532" s="204"/>
      <c r="W532" s="204"/>
      <c r="X532" s="204"/>
      <c r="Y532" s="204"/>
      <c r="Z532" s="204"/>
      <c r="AA532" s="204"/>
    </row>
    <row r="533" spans="1:27" ht="15.75" customHeight="1" x14ac:dyDescent="0.2">
      <c r="A533" s="225"/>
      <c r="B533" s="225"/>
      <c r="C533" s="225"/>
      <c r="D533" s="225"/>
      <c r="E533" s="225"/>
      <c r="F533" s="225"/>
      <c r="G533" s="225"/>
      <c r="H533" s="204"/>
      <c r="I533" s="224"/>
      <c r="J533" s="224"/>
      <c r="K533" s="224"/>
      <c r="L533" s="204"/>
      <c r="M533" s="204"/>
      <c r="N533" s="204"/>
      <c r="O533" s="204"/>
      <c r="P533" s="204"/>
      <c r="Q533" s="204"/>
      <c r="R533" s="204"/>
      <c r="S533" s="204"/>
      <c r="T533" s="204"/>
      <c r="U533" s="204"/>
      <c r="V533" s="204"/>
      <c r="W533" s="204"/>
      <c r="X533" s="204"/>
      <c r="Y533" s="204"/>
      <c r="Z533" s="204"/>
      <c r="AA533" s="204"/>
    </row>
    <row r="534" spans="1:27" ht="15.75" customHeight="1" x14ac:dyDescent="0.2">
      <c r="A534" s="225"/>
      <c r="B534" s="225"/>
      <c r="C534" s="225"/>
      <c r="D534" s="225"/>
      <c r="E534" s="225"/>
      <c r="F534" s="225"/>
      <c r="G534" s="225"/>
      <c r="H534" s="204"/>
      <c r="I534" s="224"/>
      <c r="J534" s="224"/>
      <c r="K534" s="224"/>
      <c r="L534" s="204"/>
      <c r="M534" s="204"/>
      <c r="N534" s="204"/>
      <c r="O534" s="204"/>
      <c r="P534" s="204"/>
      <c r="Q534" s="204"/>
      <c r="R534" s="204"/>
      <c r="S534" s="204"/>
      <c r="T534" s="204"/>
      <c r="U534" s="204"/>
      <c r="V534" s="204"/>
      <c r="W534" s="204"/>
      <c r="X534" s="204"/>
      <c r="Y534" s="204"/>
      <c r="Z534" s="204"/>
      <c r="AA534" s="204"/>
    </row>
    <row r="535" spans="1:27" ht="15.75" customHeight="1" x14ac:dyDescent="0.2">
      <c r="A535" s="225"/>
      <c r="B535" s="225"/>
      <c r="C535" s="225"/>
      <c r="D535" s="225"/>
      <c r="E535" s="225"/>
      <c r="F535" s="225"/>
      <c r="G535" s="225"/>
      <c r="H535" s="204"/>
      <c r="I535" s="224"/>
      <c r="J535" s="224"/>
      <c r="K535" s="224"/>
      <c r="L535" s="204"/>
      <c r="M535" s="204"/>
      <c r="N535" s="204"/>
      <c r="O535" s="204"/>
      <c r="P535" s="204"/>
      <c r="Q535" s="204"/>
      <c r="R535" s="204"/>
      <c r="S535" s="204"/>
      <c r="T535" s="204"/>
      <c r="U535" s="204"/>
      <c r="V535" s="204"/>
      <c r="W535" s="204"/>
      <c r="X535" s="204"/>
      <c r="Y535" s="204"/>
      <c r="Z535" s="204"/>
      <c r="AA535" s="204"/>
    </row>
    <row r="536" spans="1:27" ht="15.75" customHeight="1" x14ac:dyDescent="0.2">
      <c r="A536" s="225"/>
      <c r="B536" s="225"/>
      <c r="C536" s="225"/>
      <c r="D536" s="225"/>
      <c r="E536" s="225"/>
      <c r="F536" s="225"/>
      <c r="G536" s="225"/>
      <c r="H536" s="204"/>
      <c r="I536" s="224"/>
      <c r="J536" s="224"/>
      <c r="K536" s="224"/>
      <c r="L536" s="204"/>
      <c r="M536" s="204"/>
      <c r="N536" s="204"/>
      <c r="O536" s="204"/>
      <c r="P536" s="204"/>
      <c r="Q536" s="204"/>
      <c r="R536" s="204"/>
      <c r="S536" s="204"/>
      <c r="T536" s="204"/>
      <c r="U536" s="204"/>
      <c r="V536" s="204"/>
      <c r="W536" s="204"/>
      <c r="X536" s="204"/>
      <c r="Y536" s="204"/>
      <c r="Z536" s="204"/>
      <c r="AA536" s="204"/>
    </row>
    <row r="537" spans="1:27" ht="15.75" customHeight="1" x14ac:dyDescent="0.2">
      <c r="A537" s="225"/>
      <c r="B537" s="225"/>
      <c r="C537" s="225"/>
      <c r="D537" s="225"/>
      <c r="E537" s="225"/>
      <c r="F537" s="225"/>
      <c r="G537" s="225"/>
      <c r="H537" s="204"/>
      <c r="I537" s="224"/>
      <c r="J537" s="224"/>
      <c r="K537" s="224"/>
      <c r="L537" s="204"/>
      <c r="M537" s="204"/>
      <c r="N537" s="204"/>
      <c r="O537" s="204"/>
      <c r="P537" s="204"/>
      <c r="Q537" s="204"/>
      <c r="R537" s="204"/>
      <c r="S537" s="204"/>
      <c r="T537" s="204"/>
      <c r="U537" s="204"/>
      <c r="V537" s="204"/>
      <c r="W537" s="204"/>
      <c r="X537" s="204"/>
      <c r="Y537" s="204"/>
      <c r="Z537" s="204"/>
      <c r="AA537" s="204"/>
    </row>
    <row r="538" spans="1:27" ht="15.75" customHeight="1" x14ac:dyDescent="0.2">
      <c r="A538" s="225"/>
      <c r="B538" s="225"/>
      <c r="C538" s="225"/>
      <c r="D538" s="225"/>
      <c r="E538" s="225"/>
      <c r="F538" s="225"/>
      <c r="G538" s="225"/>
      <c r="H538" s="204"/>
      <c r="I538" s="224"/>
      <c r="J538" s="224"/>
      <c r="K538" s="224"/>
      <c r="L538" s="204"/>
      <c r="M538" s="204"/>
      <c r="N538" s="204"/>
      <c r="O538" s="204"/>
      <c r="P538" s="204"/>
      <c r="Q538" s="204"/>
      <c r="R538" s="204"/>
      <c r="S538" s="204"/>
      <c r="T538" s="204"/>
      <c r="U538" s="204"/>
      <c r="V538" s="204"/>
      <c r="W538" s="204"/>
      <c r="X538" s="204"/>
      <c r="Y538" s="204"/>
      <c r="Z538" s="204"/>
      <c r="AA538" s="204"/>
    </row>
    <row r="539" spans="1:27" ht="15.75" customHeight="1" x14ac:dyDescent="0.2">
      <c r="A539" s="225"/>
      <c r="B539" s="225"/>
      <c r="C539" s="225"/>
      <c r="D539" s="225"/>
      <c r="E539" s="225"/>
      <c r="F539" s="225"/>
      <c r="G539" s="225"/>
      <c r="H539" s="204"/>
      <c r="I539" s="224"/>
      <c r="J539" s="224"/>
      <c r="K539" s="224"/>
      <c r="L539" s="204"/>
      <c r="M539" s="204"/>
      <c r="N539" s="204"/>
      <c r="O539" s="204"/>
      <c r="P539" s="204"/>
      <c r="Q539" s="204"/>
      <c r="R539" s="204"/>
      <c r="S539" s="204"/>
      <c r="T539" s="204"/>
      <c r="U539" s="204"/>
      <c r="V539" s="204"/>
      <c r="W539" s="204"/>
      <c r="X539" s="204"/>
      <c r="Y539" s="204"/>
      <c r="Z539" s="204"/>
      <c r="AA539" s="204"/>
    </row>
    <row r="540" spans="1:27" ht="15.75" customHeight="1" x14ac:dyDescent="0.2">
      <c r="A540" s="225"/>
      <c r="B540" s="225"/>
      <c r="C540" s="225"/>
      <c r="D540" s="225"/>
      <c r="E540" s="225"/>
      <c r="F540" s="225"/>
      <c r="G540" s="225"/>
      <c r="H540" s="204"/>
      <c r="I540" s="224"/>
      <c r="J540" s="224"/>
      <c r="K540" s="224"/>
      <c r="L540" s="204"/>
      <c r="M540" s="204"/>
      <c r="N540" s="204"/>
      <c r="O540" s="204"/>
      <c r="P540" s="204"/>
      <c r="Q540" s="204"/>
      <c r="R540" s="204"/>
      <c r="S540" s="204"/>
      <c r="T540" s="204"/>
      <c r="U540" s="204"/>
      <c r="V540" s="204"/>
      <c r="W540" s="204"/>
      <c r="X540" s="204"/>
      <c r="Y540" s="204"/>
      <c r="Z540" s="204"/>
      <c r="AA540" s="204"/>
    </row>
    <row r="541" spans="1:27" ht="15.75" customHeight="1" x14ac:dyDescent="0.2">
      <c r="A541" s="225"/>
      <c r="B541" s="225"/>
      <c r="C541" s="225"/>
      <c r="D541" s="225"/>
      <c r="E541" s="225"/>
      <c r="F541" s="225"/>
      <c r="G541" s="225"/>
      <c r="H541" s="204"/>
      <c r="I541" s="224"/>
      <c r="J541" s="224"/>
      <c r="K541" s="224"/>
      <c r="L541" s="204"/>
      <c r="M541" s="204"/>
      <c r="N541" s="204"/>
      <c r="O541" s="204"/>
      <c r="P541" s="204"/>
      <c r="Q541" s="204"/>
      <c r="R541" s="204"/>
      <c r="S541" s="204"/>
      <c r="T541" s="204"/>
      <c r="U541" s="204"/>
      <c r="V541" s="204"/>
      <c r="W541" s="204"/>
      <c r="X541" s="204"/>
      <c r="Y541" s="204"/>
      <c r="Z541" s="204"/>
      <c r="AA541" s="204"/>
    </row>
    <row r="542" spans="1:27" ht="15.75" customHeight="1" x14ac:dyDescent="0.2">
      <c r="A542" s="225"/>
      <c r="B542" s="225"/>
      <c r="C542" s="225"/>
      <c r="D542" s="225"/>
      <c r="E542" s="225"/>
      <c r="F542" s="225"/>
      <c r="G542" s="225"/>
      <c r="H542" s="204"/>
      <c r="I542" s="224"/>
      <c r="J542" s="224"/>
      <c r="K542" s="224"/>
      <c r="L542" s="204"/>
      <c r="M542" s="204"/>
      <c r="N542" s="204"/>
      <c r="O542" s="204"/>
      <c r="P542" s="204"/>
      <c r="Q542" s="204"/>
      <c r="R542" s="204"/>
      <c r="S542" s="204"/>
      <c r="T542" s="204"/>
      <c r="U542" s="204"/>
      <c r="V542" s="204"/>
      <c r="W542" s="204"/>
      <c r="X542" s="204"/>
      <c r="Y542" s="204"/>
      <c r="Z542" s="204"/>
      <c r="AA542" s="204"/>
    </row>
    <row r="543" spans="1:27" ht="15.75" customHeight="1" x14ac:dyDescent="0.2">
      <c r="A543" s="225"/>
      <c r="B543" s="225"/>
      <c r="C543" s="225"/>
      <c r="D543" s="225"/>
      <c r="E543" s="225"/>
      <c r="F543" s="225"/>
      <c r="G543" s="225"/>
      <c r="H543" s="204"/>
      <c r="I543" s="224"/>
      <c r="J543" s="224"/>
      <c r="K543" s="224"/>
      <c r="L543" s="204"/>
      <c r="M543" s="204"/>
      <c r="N543" s="204"/>
      <c r="O543" s="204"/>
      <c r="P543" s="204"/>
      <c r="Q543" s="204"/>
      <c r="R543" s="204"/>
      <c r="S543" s="204"/>
      <c r="T543" s="204"/>
      <c r="U543" s="204"/>
      <c r="V543" s="204"/>
      <c r="W543" s="204"/>
      <c r="X543" s="204"/>
      <c r="Y543" s="204"/>
      <c r="Z543" s="204"/>
      <c r="AA543" s="204"/>
    </row>
    <row r="544" spans="1:27" ht="15.75" customHeight="1" x14ac:dyDescent="0.2">
      <c r="A544" s="225"/>
      <c r="B544" s="225"/>
      <c r="C544" s="225"/>
      <c r="D544" s="225"/>
      <c r="E544" s="225"/>
      <c r="F544" s="225"/>
      <c r="G544" s="225"/>
      <c r="H544" s="204"/>
      <c r="I544" s="224"/>
      <c r="J544" s="224"/>
      <c r="K544" s="224"/>
      <c r="L544" s="204"/>
      <c r="M544" s="204"/>
      <c r="N544" s="204"/>
      <c r="O544" s="204"/>
      <c r="P544" s="204"/>
      <c r="Q544" s="204"/>
      <c r="R544" s="204"/>
      <c r="S544" s="204"/>
      <c r="T544" s="204"/>
      <c r="U544" s="204"/>
      <c r="V544" s="204"/>
      <c r="W544" s="204"/>
      <c r="X544" s="204"/>
      <c r="Y544" s="204"/>
      <c r="Z544" s="204"/>
      <c r="AA544" s="204"/>
    </row>
    <row r="545" spans="1:27" ht="15.75" customHeight="1" x14ac:dyDescent="0.2">
      <c r="A545" s="225"/>
      <c r="B545" s="225"/>
      <c r="C545" s="225"/>
      <c r="D545" s="225"/>
      <c r="E545" s="225"/>
      <c r="F545" s="225"/>
      <c r="G545" s="225"/>
      <c r="H545" s="204"/>
      <c r="I545" s="224"/>
      <c r="J545" s="224"/>
      <c r="K545" s="224"/>
      <c r="L545" s="204"/>
      <c r="M545" s="204"/>
      <c r="N545" s="204"/>
      <c r="O545" s="204"/>
      <c r="P545" s="204"/>
      <c r="Q545" s="204"/>
      <c r="R545" s="204"/>
      <c r="S545" s="204"/>
      <c r="T545" s="204"/>
      <c r="U545" s="204"/>
      <c r="V545" s="204"/>
      <c r="W545" s="204"/>
      <c r="X545" s="204"/>
      <c r="Y545" s="204"/>
      <c r="Z545" s="204"/>
      <c r="AA545" s="204"/>
    </row>
    <row r="546" spans="1:27" ht="15.75" customHeight="1" x14ac:dyDescent="0.2">
      <c r="A546" s="225"/>
      <c r="B546" s="225"/>
      <c r="C546" s="225"/>
      <c r="D546" s="225"/>
      <c r="E546" s="225"/>
      <c r="F546" s="225"/>
      <c r="G546" s="225"/>
      <c r="H546" s="204"/>
      <c r="I546" s="224"/>
      <c r="J546" s="224"/>
      <c r="K546" s="224"/>
      <c r="L546" s="204"/>
      <c r="M546" s="204"/>
      <c r="N546" s="204"/>
      <c r="O546" s="204"/>
      <c r="P546" s="204"/>
      <c r="Q546" s="204"/>
      <c r="R546" s="204"/>
      <c r="S546" s="204"/>
      <c r="T546" s="204"/>
      <c r="U546" s="204"/>
      <c r="V546" s="204"/>
      <c r="W546" s="204"/>
      <c r="X546" s="204"/>
      <c r="Y546" s="204"/>
      <c r="Z546" s="204"/>
      <c r="AA546" s="204"/>
    </row>
    <row r="547" spans="1:27" ht="15.75" customHeight="1" x14ac:dyDescent="0.2">
      <c r="A547" s="225"/>
      <c r="B547" s="225"/>
      <c r="C547" s="225"/>
      <c r="D547" s="225"/>
      <c r="E547" s="225"/>
      <c r="F547" s="225"/>
      <c r="G547" s="225"/>
      <c r="H547" s="204"/>
      <c r="I547" s="224"/>
      <c r="J547" s="224"/>
      <c r="K547" s="224"/>
      <c r="L547" s="204"/>
      <c r="M547" s="204"/>
      <c r="N547" s="204"/>
      <c r="O547" s="204"/>
      <c r="P547" s="204"/>
      <c r="Q547" s="204"/>
      <c r="R547" s="204"/>
      <c r="S547" s="204"/>
      <c r="T547" s="204"/>
      <c r="U547" s="204"/>
      <c r="V547" s="204"/>
      <c r="W547" s="204"/>
      <c r="X547" s="204"/>
      <c r="Y547" s="204"/>
      <c r="Z547" s="204"/>
      <c r="AA547" s="204"/>
    </row>
    <row r="548" spans="1:27" ht="15.75" customHeight="1" x14ac:dyDescent="0.2">
      <c r="A548" s="225"/>
      <c r="B548" s="225"/>
      <c r="C548" s="225"/>
      <c r="D548" s="225"/>
      <c r="E548" s="225"/>
      <c r="F548" s="225"/>
      <c r="G548" s="225"/>
      <c r="H548" s="204"/>
      <c r="I548" s="224"/>
      <c r="J548" s="224"/>
      <c r="K548" s="224"/>
      <c r="L548" s="204"/>
      <c r="M548" s="204"/>
      <c r="N548" s="204"/>
      <c r="O548" s="204"/>
      <c r="P548" s="204"/>
      <c r="Q548" s="204"/>
      <c r="R548" s="204"/>
      <c r="S548" s="204"/>
      <c r="T548" s="204"/>
      <c r="U548" s="204"/>
      <c r="V548" s="204"/>
      <c r="W548" s="204"/>
      <c r="X548" s="204"/>
      <c r="Y548" s="204"/>
      <c r="Z548" s="204"/>
      <c r="AA548" s="204"/>
    </row>
    <row r="549" spans="1:27" ht="15.75" customHeight="1" x14ac:dyDescent="0.2">
      <c r="A549" s="225"/>
      <c r="B549" s="225"/>
      <c r="C549" s="225"/>
      <c r="D549" s="225"/>
      <c r="E549" s="225"/>
      <c r="F549" s="225"/>
      <c r="G549" s="225"/>
      <c r="H549" s="204"/>
      <c r="I549" s="224"/>
      <c r="J549" s="224"/>
      <c r="K549" s="224"/>
      <c r="L549" s="204"/>
      <c r="M549" s="204"/>
      <c r="N549" s="204"/>
      <c r="O549" s="204"/>
      <c r="P549" s="204"/>
      <c r="Q549" s="204"/>
      <c r="R549" s="204"/>
      <c r="S549" s="204"/>
      <c r="T549" s="204"/>
      <c r="U549" s="204"/>
      <c r="V549" s="204"/>
      <c r="W549" s="204"/>
      <c r="X549" s="204"/>
      <c r="Y549" s="204"/>
      <c r="Z549" s="204"/>
      <c r="AA549" s="204"/>
    </row>
    <row r="550" spans="1:27" ht="15.75" customHeight="1" x14ac:dyDescent="0.2">
      <c r="A550" s="225"/>
      <c r="B550" s="225"/>
      <c r="C550" s="225"/>
      <c r="D550" s="225"/>
      <c r="E550" s="225"/>
      <c r="F550" s="225"/>
      <c r="G550" s="225"/>
      <c r="H550" s="204"/>
      <c r="I550" s="224"/>
      <c r="J550" s="224"/>
      <c r="K550" s="224"/>
      <c r="L550" s="204"/>
      <c r="M550" s="204"/>
      <c r="N550" s="204"/>
      <c r="O550" s="204"/>
      <c r="P550" s="204"/>
      <c r="Q550" s="204"/>
      <c r="R550" s="204"/>
      <c r="S550" s="204"/>
      <c r="T550" s="204"/>
      <c r="U550" s="204"/>
      <c r="V550" s="204"/>
      <c r="W550" s="204"/>
      <c r="X550" s="204"/>
      <c r="Y550" s="204"/>
      <c r="Z550" s="204"/>
      <c r="AA550" s="204"/>
    </row>
    <row r="551" spans="1:27" ht="15.75" customHeight="1" x14ac:dyDescent="0.2">
      <c r="A551" s="225"/>
      <c r="B551" s="225"/>
      <c r="C551" s="225"/>
      <c r="D551" s="225"/>
      <c r="E551" s="225"/>
      <c r="F551" s="225"/>
      <c r="G551" s="225"/>
      <c r="H551" s="204"/>
      <c r="I551" s="224"/>
      <c r="J551" s="224"/>
      <c r="K551" s="224"/>
      <c r="L551" s="204"/>
      <c r="M551" s="204"/>
      <c r="N551" s="204"/>
      <c r="O551" s="204"/>
      <c r="P551" s="204"/>
      <c r="Q551" s="204"/>
      <c r="R551" s="204"/>
      <c r="S551" s="204"/>
      <c r="T551" s="204"/>
      <c r="U551" s="204"/>
      <c r="V551" s="204"/>
      <c r="W551" s="204"/>
      <c r="X551" s="204"/>
      <c r="Y551" s="204"/>
      <c r="Z551" s="204"/>
      <c r="AA551" s="204"/>
    </row>
    <row r="552" spans="1:27" ht="15.75" customHeight="1" x14ac:dyDescent="0.2">
      <c r="A552" s="225"/>
      <c r="B552" s="225"/>
      <c r="C552" s="225"/>
      <c r="D552" s="225"/>
      <c r="E552" s="225"/>
      <c r="F552" s="225"/>
      <c r="G552" s="225"/>
      <c r="H552" s="204"/>
      <c r="I552" s="224"/>
      <c r="J552" s="224"/>
      <c r="K552" s="224"/>
      <c r="L552" s="204"/>
      <c r="M552" s="204"/>
      <c r="N552" s="204"/>
      <c r="O552" s="204"/>
      <c r="P552" s="204"/>
      <c r="Q552" s="204"/>
      <c r="R552" s="204"/>
      <c r="S552" s="204"/>
      <c r="T552" s="204"/>
      <c r="U552" s="204"/>
      <c r="V552" s="204"/>
      <c r="W552" s="204"/>
      <c r="X552" s="204"/>
      <c r="Y552" s="204"/>
      <c r="Z552" s="204"/>
      <c r="AA552" s="204"/>
    </row>
    <row r="553" spans="1:27" ht="15.75" customHeight="1" x14ac:dyDescent="0.2">
      <c r="A553" s="225"/>
      <c r="B553" s="225"/>
      <c r="C553" s="225"/>
      <c r="D553" s="225"/>
      <c r="E553" s="225"/>
      <c r="F553" s="225"/>
      <c r="G553" s="225"/>
      <c r="H553" s="204"/>
      <c r="I553" s="224"/>
      <c r="J553" s="224"/>
      <c r="K553" s="224"/>
      <c r="L553" s="204"/>
      <c r="M553" s="204"/>
      <c r="N553" s="204"/>
      <c r="O553" s="204"/>
      <c r="P553" s="204"/>
      <c r="Q553" s="204"/>
      <c r="R553" s="204"/>
      <c r="S553" s="204"/>
      <c r="T553" s="204"/>
      <c r="U553" s="204"/>
      <c r="V553" s="204"/>
      <c r="W553" s="204"/>
      <c r="X553" s="204"/>
      <c r="Y553" s="204"/>
      <c r="Z553" s="204"/>
      <c r="AA553" s="204"/>
    </row>
    <row r="554" spans="1:27" ht="15.75" customHeight="1" x14ac:dyDescent="0.2">
      <c r="A554" s="225"/>
      <c r="B554" s="225"/>
      <c r="C554" s="225"/>
      <c r="D554" s="225"/>
      <c r="E554" s="225"/>
      <c r="F554" s="225"/>
      <c r="G554" s="225"/>
      <c r="H554" s="204"/>
      <c r="I554" s="224"/>
      <c r="J554" s="224"/>
      <c r="K554" s="224"/>
      <c r="L554" s="204"/>
      <c r="M554" s="204"/>
      <c r="N554" s="204"/>
      <c r="O554" s="204"/>
      <c r="P554" s="204"/>
      <c r="Q554" s="204"/>
      <c r="R554" s="204"/>
      <c r="S554" s="204"/>
      <c r="T554" s="204"/>
      <c r="U554" s="204"/>
      <c r="V554" s="204"/>
      <c r="W554" s="204"/>
      <c r="X554" s="204"/>
      <c r="Y554" s="204"/>
      <c r="Z554" s="204"/>
      <c r="AA554" s="204"/>
    </row>
    <row r="555" spans="1:27" ht="15.75" customHeight="1" x14ac:dyDescent="0.2">
      <c r="A555" s="225"/>
      <c r="B555" s="225"/>
      <c r="C555" s="225"/>
      <c r="D555" s="225"/>
      <c r="E555" s="225"/>
      <c r="F555" s="225"/>
      <c r="G555" s="225"/>
      <c r="H555" s="204"/>
      <c r="I555" s="224"/>
      <c r="J555" s="224"/>
      <c r="K555" s="224"/>
      <c r="L555" s="204"/>
      <c r="M555" s="204"/>
      <c r="N555" s="204"/>
      <c r="O555" s="204"/>
      <c r="P555" s="204"/>
      <c r="Q555" s="204"/>
      <c r="R555" s="204"/>
      <c r="S555" s="204"/>
      <c r="T555" s="204"/>
      <c r="U555" s="204"/>
      <c r="V555" s="204"/>
      <c r="W555" s="204"/>
      <c r="X555" s="204"/>
      <c r="Y555" s="204"/>
      <c r="Z555" s="204"/>
      <c r="AA555" s="204"/>
    </row>
    <row r="556" spans="1:27" ht="15.75" customHeight="1" x14ac:dyDescent="0.2">
      <c r="A556" s="225"/>
      <c r="B556" s="225"/>
      <c r="C556" s="225"/>
      <c r="D556" s="225"/>
      <c r="E556" s="225"/>
      <c r="F556" s="225"/>
      <c r="G556" s="225"/>
      <c r="H556" s="204"/>
      <c r="I556" s="224"/>
      <c r="J556" s="224"/>
      <c r="K556" s="224"/>
      <c r="L556" s="204"/>
      <c r="M556" s="204"/>
      <c r="N556" s="204"/>
      <c r="O556" s="204"/>
      <c r="P556" s="204"/>
      <c r="Q556" s="204"/>
      <c r="R556" s="204"/>
      <c r="S556" s="204"/>
      <c r="T556" s="204"/>
      <c r="U556" s="204"/>
      <c r="V556" s="204"/>
      <c r="W556" s="204"/>
      <c r="X556" s="204"/>
      <c r="Y556" s="204"/>
      <c r="Z556" s="204"/>
      <c r="AA556" s="204"/>
    </row>
    <row r="557" spans="1:27" ht="15.75" customHeight="1" x14ac:dyDescent="0.2">
      <c r="A557" s="225"/>
      <c r="B557" s="225"/>
      <c r="C557" s="225"/>
      <c r="D557" s="225"/>
      <c r="E557" s="225"/>
      <c r="F557" s="225"/>
      <c r="G557" s="225"/>
      <c r="H557" s="204"/>
      <c r="I557" s="224"/>
      <c r="J557" s="224"/>
      <c r="K557" s="224"/>
      <c r="L557" s="204"/>
      <c r="M557" s="204"/>
      <c r="N557" s="204"/>
      <c r="O557" s="204"/>
      <c r="P557" s="204"/>
      <c r="Q557" s="204"/>
      <c r="R557" s="204"/>
      <c r="S557" s="204"/>
      <c r="T557" s="204"/>
      <c r="U557" s="204"/>
      <c r="V557" s="204"/>
      <c r="W557" s="204"/>
      <c r="X557" s="204"/>
      <c r="Y557" s="204"/>
      <c r="Z557" s="204"/>
      <c r="AA557" s="204"/>
    </row>
    <row r="558" spans="1:27" ht="15.75" customHeight="1" x14ac:dyDescent="0.2">
      <c r="A558" s="225"/>
      <c r="B558" s="225"/>
      <c r="C558" s="225"/>
      <c r="D558" s="225"/>
      <c r="E558" s="225"/>
      <c r="F558" s="225"/>
      <c r="G558" s="225"/>
      <c r="H558" s="204"/>
      <c r="I558" s="224"/>
      <c r="J558" s="224"/>
      <c r="K558" s="224"/>
      <c r="L558" s="204"/>
      <c r="M558" s="204"/>
      <c r="N558" s="204"/>
      <c r="O558" s="204"/>
      <c r="P558" s="204"/>
      <c r="Q558" s="204"/>
      <c r="R558" s="204"/>
      <c r="S558" s="204"/>
      <c r="T558" s="204"/>
      <c r="U558" s="204"/>
      <c r="V558" s="204"/>
      <c r="W558" s="204"/>
      <c r="X558" s="204"/>
      <c r="Y558" s="204"/>
      <c r="Z558" s="204"/>
      <c r="AA558" s="204"/>
    </row>
    <row r="559" spans="1:27" ht="15.75" customHeight="1" x14ac:dyDescent="0.2">
      <c r="A559" s="225"/>
      <c r="B559" s="225"/>
      <c r="C559" s="225"/>
      <c r="D559" s="225"/>
      <c r="E559" s="225"/>
      <c r="F559" s="225"/>
      <c r="G559" s="225"/>
      <c r="H559" s="204"/>
      <c r="I559" s="224"/>
      <c r="J559" s="224"/>
      <c r="K559" s="224"/>
      <c r="L559" s="204"/>
      <c r="M559" s="204"/>
      <c r="N559" s="204"/>
      <c r="O559" s="204"/>
      <c r="P559" s="204"/>
      <c r="Q559" s="204"/>
      <c r="R559" s="204"/>
      <c r="S559" s="204"/>
      <c r="T559" s="204"/>
      <c r="U559" s="204"/>
      <c r="V559" s="204"/>
      <c r="W559" s="204"/>
      <c r="X559" s="204"/>
      <c r="Y559" s="204"/>
      <c r="Z559" s="204"/>
      <c r="AA559" s="204"/>
    </row>
    <row r="560" spans="1:27" ht="15.75" customHeight="1" x14ac:dyDescent="0.2">
      <c r="A560" s="225"/>
      <c r="B560" s="225"/>
      <c r="C560" s="225"/>
      <c r="D560" s="225"/>
      <c r="E560" s="225"/>
      <c r="F560" s="225"/>
      <c r="G560" s="225"/>
      <c r="H560" s="204"/>
      <c r="I560" s="224"/>
      <c r="J560" s="224"/>
      <c r="K560" s="224"/>
      <c r="L560" s="204"/>
      <c r="M560" s="204"/>
      <c r="N560" s="204"/>
      <c r="O560" s="204"/>
      <c r="P560" s="204"/>
      <c r="Q560" s="204"/>
      <c r="R560" s="204"/>
      <c r="S560" s="204"/>
      <c r="T560" s="204"/>
      <c r="U560" s="204"/>
      <c r="V560" s="204"/>
      <c r="W560" s="204"/>
      <c r="X560" s="204"/>
      <c r="Y560" s="204"/>
      <c r="Z560" s="204"/>
      <c r="AA560" s="204"/>
    </row>
    <row r="561" spans="1:27" ht="15.75" customHeight="1" x14ac:dyDescent="0.2">
      <c r="A561" s="225"/>
      <c r="B561" s="225"/>
      <c r="C561" s="225"/>
      <c r="D561" s="225"/>
      <c r="E561" s="225"/>
      <c r="F561" s="225"/>
      <c r="G561" s="225"/>
      <c r="H561" s="204"/>
      <c r="I561" s="224"/>
      <c r="J561" s="224"/>
      <c r="K561" s="224"/>
      <c r="L561" s="204"/>
      <c r="M561" s="204"/>
      <c r="N561" s="204"/>
      <c r="O561" s="204"/>
      <c r="P561" s="204"/>
      <c r="Q561" s="204"/>
      <c r="R561" s="204"/>
      <c r="S561" s="204"/>
      <c r="T561" s="204"/>
      <c r="U561" s="204"/>
      <c r="V561" s="204"/>
      <c r="W561" s="204"/>
      <c r="X561" s="204"/>
      <c r="Y561" s="204"/>
      <c r="Z561" s="204"/>
      <c r="AA561" s="204"/>
    </row>
    <row r="562" spans="1:27" ht="15.75" customHeight="1" x14ac:dyDescent="0.2">
      <c r="A562" s="225"/>
      <c r="B562" s="225"/>
      <c r="C562" s="225"/>
      <c r="D562" s="225"/>
      <c r="E562" s="225"/>
      <c r="F562" s="225"/>
      <c r="G562" s="225"/>
      <c r="H562" s="204"/>
      <c r="I562" s="224"/>
      <c r="J562" s="224"/>
      <c r="K562" s="224"/>
      <c r="L562" s="204"/>
      <c r="M562" s="204"/>
      <c r="N562" s="204"/>
      <c r="O562" s="204"/>
      <c r="P562" s="204"/>
      <c r="Q562" s="204"/>
      <c r="R562" s="204"/>
      <c r="S562" s="204"/>
      <c r="T562" s="204"/>
      <c r="U562" s="204"/>
      <c r="V562" s="204"/>
      <c r="W562" s="204"/>
      <c r="X562" s="204"/>
      <c r="Y562" s="204"/>
      <c r="Z562" s="204"/>
      <c r="AA562" s="204"/>
    </row>
    <row r="563" spans="1:27" ht="15.75" customHeight="1" x14ac:dyDescent="0.2">
      <c r="A563" s="225"/>
      <c r="B563" s="225"/>
      <c r="C563" s="225"/>
      <c r="D563" s="225"/>
      <c r="E563" s="225"/>
      <c r="F563" s="225"/>
      <c r="G563" s="225"/>
      <c r="H563" s="204"/>
      <c r="I563" s="224"/>
      <c r="J563" s="224"/>
      <c r="K563" s="224"/>
      <c r="L563" s="204"/>
      <c r="M563" s="204"/>
      <c r="N563" s="204"/>
      <c r="O563" s="204"/>
      <c r="P563" s="204"/>
      <c r="Q563" s="204"/>
      <c r="R563" s="204"/>
      <c r="S563" s="204"/>
      <c r="T563" s="204"/>
      <c r="U563" s="204"/>
      <c r="V563" s="204"/>
      <c r="W563" s="204"/>
      <c r="X563" s="204"/>
      <c r="Y563" s="204"/>
      <c r="Z563" s="204"/>
      <c r="AA563" s="204"/>
    </row>
    <row r="564" spans="1:27" ht="15.75" customHeight="1" x14ac:dyDescent="0.2">
      <c r="A564" s="225"/>
      <c r="B564" s="225"/>
      <c r="C564" s="225"/>
      <c r="D564" s="225"/>
      <c r="E564" s="225"/>
      <c r="F564" s="225"/>
      <c r="G564" s="225"/>
      <c r="H564" s="204"/>
      <c r="I564" s="224"/>
      <c r="J564" s="224"/>
      <c r="K564" s="224"/>
      <c r="L564" s="204"/>
      <c r="M564" s="204"/>
      <c r="N564" s="204"/>
      <c r="O564" s="204"/>
      <c r="P564" s="204"/>
      <c r="Q564" s="204"/>
      <c r="R564" s="204"/>
      <c r="S564" s="204"/>
      <c r="T564" s="204"/>
      <c r="U564" s="204"/>
      <c r="V564" s="204"/>
      <c r="W564" s="204"/>
      <c r="X564" s="204"/>
      <c r="Y564" s="204"/>
      <c r="Z564" s="204"/>
      <c r="AA564" s="204"/>
    </row>
    <row r="565" spans="1:27" ht="15.75" customHeight="1" x14ac:dyDescent="0.2">
      <c r="A565" s="225"/>
      <c r="B565" s="225"/>
      <c r="C565" s="225"/>
      <c r="D565" s="225"/>
      <c r="E565" s="225"/>
      <c r="F565" s="225"/>
      <c r="G565" s="225"/>
      <c r="H565" s="204"/>
      <c r="I565" s="224"/>
      <c r="J565" s="224"/>
      <c r="K565" s="224"/>
      <c r="L565" s="204"/>
      <c r="M565" s="204"/>
      <c r="N565" s="204"/>
      <c r="O565" s="204"/>
      <c r="P565" s="204"/>
      <c r="Q565" s="204"/>
      <c r="R565" s="204"/>
      <c r="S565" s="204"/>
      <c r="T565" s="204"/>
      <c r="U565" s="204"/>
      <c r="V565" s="204"/>
      <c r="W565" s="204"/>
      <c r="X565" s="204"/>
      <c r="Y565" s="204"/>
      <c r="Z565" s="204"/>
      <c r="AA565" s="204"/>
    </row>
    <row r="566" spans="1:27" ht="15.75" customHeight="1" x14ac:dyDescent="0.2">
      <c r="A566" s="225"/>
      <c r="B566" s="225"/>
      <c r="C566" s="225"/>
      <c r="D566" s="225"/>
      <c r="E566" s="225"/>
      <c r="F566" s="225"/>
      <c r="G566" s="225"/>
      <c r="H566" s="204"/>
      <c r="I566" s="224"/>
      <c r="J566" s="224"/>
      <c r="K566" s="224"/>
      <c r="L566" s="204"/>
      <c r="M566" s="204"/>
      <c r="N566" s="204"/>
      <c r="O566" s="204"/>
      <c r="P566" s="204"/>
      <c r="Q566" s="204"/>
      <c r="R566" s="204"/>
      <c r="S566" s="204"/>
      <c r="T566" s="204"/>
      <c r="U566" s="204"/>
      <c r="V566" s="204"/>
      <c r="W566" s="204"/>
      <c r="X566" s="204"/>
      <c r="Y566" s="204"/>
      <c r="Z566" s="204"/>
      <c r="AA566" s="204"/>
    </row>
    <row r="567" spans="1:27" ht="15.75" customHeight="1" x14ac:dyDescent="0.2">
      <c r="A567" s="225"/>
      <c r="B567" s="225"/>
      <c r="C567" s="225"/>
      <c r="D567" s="225"/>
      <c r="E567" s="225"/>
      <c r="F567" s="225"/>
      <c r="G567" s="225"/>
      <c r="H567" s="204"/>
      <c r="I567" s="224"/>
      <c r="J567" s="224"/>
      <c r="K567" s="224"/>
      <c r="L567" s="204"/>
      <c r="M567" s="204"/>
      <c r="N567" s="204"/>
      <c r="O567" s="204"/>
      <c r="P567" s="204"/>
      <c r="Q567" s="204"/>
      <c r="R567" s="204"/>
      <c r="S567" s="204"/>
      <c r="T567" s="204"/>
      <c r="U567" s="204"/>
      <c r="V567" s="204"/>
      <c r="W567" s="204"/>
      <c r="X567" s="204"/>
      <c r="Y567" s="204"/>
      <c r="Z567" s="204"/>
      <c r="AA567" s="204"/>
    </row>
    <row r="568" spans="1:27" ht="15.75" customHeight="1" x14ac:dyDescent="0.2">
      <c r="A568" s="225"/>
      <c r="B568" s="225"/>
      <c r="C568" s="225"/>
      <c r="D568" s="225"/>
      <c r="E568" s="225"/>
      <c r="F568" s="225"/>
      <c r="G568" s="225"/>
      <c r="H568" s="204"/>
      <c r="I568" s="224"/>
      <c r="J568" s="224"/>
      <c r="K568" s="224"/>
      <c r="L568" s="204"/>
      <c r="M568" s="204"/>
      <c r="N568" s="204"/>
      <c r="O568" s="204"/>
      <c r="P568" s="204"/>
      <c r="Q568" s="204"/>
      <c r="R568" s="204"/>
      <c r="S568" s="204"/>
      <c r="T568" s="204"/>
      <c r="U568" s="204"/>
      <c r="V568" s="204"/>
      <c r="W568" s="204"/>
      <c r="X568" s="204"/>
      <c r="Y568" s="204"/>
      <c r="Z568" s="204"/>
      <c r="AA568" s="204"/>
    </row>
    <row r="569" spans="1:27" ht="15.75" customHeight="1" x14ac:dyDescent="0.2">
      <c r="A569" s="225"/>
      <c r="B569" s="225"/>
      <c r="C569" s="225"/>
      <c r="D569" s="225"/>
      <c r="E569" s="225"/>
      <c r="F569" s="225"/>
      <c r="G569" s="225"/>
      <c r="H569" s="204"/>
      <c r="I569" s="224"/>
      <c r="J569" s="224"/>
      <c r="K569" s="224"/>
      <c r="L569" s="204"/>
      <c r="M569" s="204"/>
      <c r="N569" s="204"/>
      <c r="O569" s="204"/>
      <c r="P569" s="204"/>
      <c r="Q569" s="204"/>
      <c r="R569" s="204"/>
      <c r="S569" s="204"/>
      <c r="T569" s="204"/>
      <c r="U569" s="204"/>
      <c r="V569" s="204"/>
      <c r="W569" s="204"/>
      <c r="X569" s="204"/>
      <c r="Y569" s="204"/>
      <c r="Z569" s="204"/>
      <c r="AA569" s="204"/>
    </row>
    <row r="570" spans="1:27" ht="15.75" customHeight="1" x14ac:dyDescent="0.2">
      <c r="A570" s="225"/>
      <c r="B570" s="225"/>
      <c r="C570" s="225"/>
      <c r="D570" s="225"/>
      <c r="E570" s="225"/>
      <c r="F570" s="225"/>
      <c r="G570" s="225"/>
      <c r="H570" s="204"/>
      <c r="I570" s="224"/>
      <c r="J570" s="224"/>
      <c r="K570" s="224"/>
      <c r="L570" s="204"/>
      <c r="M570" s="204"/>
      <c r="N570" s="204"/>
      <c r="O570" s="204"/>
      <c r="P570" s="204"/>
      <c r="Q570" s="204"/>
      <c r="R570" s="204"/>
      <c r="S570" s="204"/>
      <c r="T570" s="204"/>
      <c r="U570" s="204"/>
      <c r="V570" s="204"/>
      <c r="W570" s="204"/>
      <c r="X570" s="204"/>
      <c r="Y570" s="204"/>
      <c r="Z570" s="204"/>
      <c r="AA570" s="204"/>
    </row>
    <row r="571" spans="1:27" ht="15.75" customHeight="1" x14ac:dyDescent="0.2">
      <c r="A571" s="225"/>
      <c r="B571" s="225"/>
      <c r="C571" s="225"/>
      <c r="D571" s="225"/>
      <c r="E571" s="225"/>
      <c r="F571" s="225"/>
      <c r="G571" s="225"/>
      <c r="H571" s="204"/>
      <c r="I571" s="224"/>
      <c r="J571" s="224"/>
      <c r="K571" s="224"/>
      <c r="L571" s="204"/>
      <c r="M571" s="204"/>
      <c r="N571" s="204"/>
      <c r="O571" s="204"/>
      <c r="P571" s="204"/>
      <c r="Q571" s="204"/>
      <c r="R571" s="204"/>
      <c r="S571" s="204"/>
      <c r="T571" s="204"/>
      <c r="U571" s="204"/>
      <c r="V571" s="204"/>
      <c r="W571" s="204"/>
      <c r="X571" s="204"/>
      <c r="Y571" s="204"/>
      <c r="Z571" s="204"/>
      <c r="AA571" s="204"/>
    </row>
    <row r="572" spans="1:27" ht="15.75" customHeight="1" x14ac:dyDescent="0.2">
      <c r="A572" s="225"/>
      <c r="B572" s="225"/>
      <c r="C572" s="225"/>
      <c r="D572" s="225"/>
      <c r="E572" s="225"/>
      <c r="F572" s="225"/>
      <c r="G572" s="225"/>
      <c r="H572" s="204"/>
      <c r="I572" s="224"/>
      <c r="J572" s="224"/>
      <c r="K572" s="224"/>
      <c r="L572" s="204"/>
      <c r="M572" s="204"/>
      <c r="N572" s="204"/>
      <c r="O572" s="204"/>
      <c r="P572" s="204"/>
      <c r="Q572" s="204"/>
      <c r="R572" s="204"/>
      <c r="S572" s="204"/>
      <c r="T572" s="204"/>
      <c r="U572" s="204"/>
      <c r="V572" s="204"/>
      <c r="W572" s="204"/>
      <c r="X572" s="204"/>
      <c r="Y572" s="204"/>
      <c r="Z572" s="204"/>
      <c r="AA572" s="204"/>
    </row>
    <row r="573" spans="1:27" ht="15.75" customHeight="1" x14ac:dyDescent="0.2">
      <c r="A573" s="225"/>
      <c r="B573" s="225"/>
      <c r="C573" s="225"/>
      <c r="D573" s="225"/>
      <c r="E573" s="225"/>
      <c r="F573" s="225"/>
      <c r="G573" s="225"/>
      <c r="H573" s="204"/>
      <c r="I573" s="224"/>
      <c r="J573" s="224"/>
      <c r="K573" s="224"/>
      <c r="L573" s="204"/>
      <c r="M573" s="204"/>
      <c r="N573" s="204"/>
      <c r="O573" s="204"/>
      <c r="P573" s="204"/>
      <c r="Q573" s="204"/>
      <c r="R573" s="204"/>
      <c r="S573" s="204"/>
      <c r="T573" s="204"/>
      <c r="U573" s="204"/>
      <c r="V573" s="204"/>
      <c r="W573" s="204"/>
      <c r="X573" s="204"/>
      <c r="Y573" s="204"/>
      <c r="Z573" s="204"/>
      <c r="AA573" s="204"/>
    </row>
    <row r="574" spans="1:27" ht="15.75" customHeight="1" x14ac:dyDescent="0.2">
      <c r="A574" s="225"/>
      <c r="B574" s="225"/>
      <c r="C574" s="225"/>
      <c r="D574" s="225"/>
      <c r="E574" s="225"/>
      <c r="F574" s="225"/>
      <c r="G574" s="225"/>
      <c r="H574" s="204"/>
      <c r="I574" s="224"/>
      <c r="J574" s="224"/>
      <c r="K574" s="224"/>
      <c r="L574" s="204"/>
      <c r="M574" s="204"/>
      <c r="N574" s="204"/>
      <c r="O574" s="204"/>
      <c r="P574" s="204"/>
      <c r="Q574" s="204"/>
      <c r="R574" s="204"/>
      <c r="S574" s="204"/>
      <c r="T574" s="204"/>
      <c r="U574" s="204"/>
      <c r="V574" s="204"/>
      <c r="W574" s="204"/>
      <c r="X574" s="204"/>
      <c r="Y574" s="204"/>
      <c r="Z574" s="204"/>
      <c r="AA574" s="204"/>
    </row>
    <row r="575" spans="1:27" ht="15.75" customHeight="1" x14ac:dyDescent="0.2">
      <c r="A575" s="225"/>
      <c r="B575" s="225"/>
      <c r="C575" s="225"/>
      <c r="D575" s="225"/>
      <c r="E575" s="225"/>
      <c r="F575" s="225"/>
      <c r="G575" s="225"/>
      <c r="H575" s="204"/>
      <c r="I575" s="224"/>
      <c r="J575" s="224"/>
      <c r="K575" s="224"/>
      <c r="L575" s="204"/>
      <c r="M575" s="204"/>
      <c r="N575" s="204"/>
      <c r="O575" s="204"/>
      <c r="P575" s="204"/>
      <c r="Q575" s="204"/>
      <c r="R575" s="204"/>
      <c r="S575" s="204"/>
      <c r="T575" s="204"/>
      <c r="U575" s="204"/>
      <c r="V575" s="204"/>
      <c r="W575" s="204"/>
      <c r="X575" s="204"/>
      <c r="Y575" s="204"/>
      <c r="Z575" s="204"/>
      <c r="AA575" s="204"/>
    </row>
    <row r="576" spans="1:27" ht="15.75" customHeight="1" x14ac:dyDescent="0.2">
      <c r="A576" s="225"/>
      <c r="B576" s="225"/>
      <c r="C576" s="225"/>
      <c r="D576" s="225"/>
      <c r="E576" s="225"/>
      <c r="F576" s="225"/>
      <c r="G576" s="225"/>
      <c r="H576" s="204"/>
      <c r="I576" s="224"/>
      <c r="J576" s="224"/>
      <c r="K576" s="224"/>
      <c r="L576" s="204"/>
      <c r="M576" s="204"/>
      <c r="N576" s="204"/>
      <c r="O576" s="204"/>
      <c r="P576" s="204"/>
      <c r="Q576" s="204"/>
      <c r="R576" s="204"/>
      <c r="S576" s="204"/>
      <c r="T576" s="204"/>
      <c r="U576" s="204"/>
      <c r="V576" s="204"/>
      <c r="W576" s="204"/>
      <c r="X576" s="204"/>
      <c r="Y576" s="204"/>
      <c r="Z576" s="204"/>
      <c r="AA576" s="204"/>
    </row>
    <row r="577" spans="1:27" ht="15.75" customHeight="1" x14ac:dyDescent="0.2">
      <c r="A577" s="225"/>
      <c r="B577" s="225"/>
      <c r="C577" s="225"/>
      <c r="D577" s="225"/>
      <c r="E577" s="225"/>
      <c r="F577" s="225"/>
      <c r="G577" s="225"/>
      <c r="H577" s="204"/>
      <c r="I577" s="224"/>
      <c r="J577" s="224"/>
      <c r="K577" s="224"/>
      <c r="L577" s="204"/>
      <c r="M577" s="204"/>
      <c r="N577" s="204"/>
      <c r="O577" s="204"/>
      <c r="P577" s="204"/>
      <c r="Q577" s="204"/>
      <c r="R577" s="204"/>
      <c r="S577" s="204"/>
      <c r="T577" s="204"/>
      <c r="U577" s="204"/>
      <c r="V577" s="204"/>
      <c r="W577" s="204"/>
      <c r="X577" s="204"/>
      <c r="Y577" s="204"/>
      <c r="Z577" s="204"/>
      <c r="AA577" s="204"/>
    </row>
    <row r="578" spans="1:27" ht="15.75" customHeight="1" x14ac:dyDescent="0.2">
      <c r="A578" s="225"/>
      <c r="B578" s="225"/>
      <c r="C578" s="225"/>
      <c r="D578" s="225"/>
      <c r="E578" s="225"/>
      <c r="F578" s="225"/>
      <c r="G578" s="225"/>
      <c r="H578" s="204"/>
      <c r="I578" s="224"/>
      <c r="J578" s="224"/>
      <c r="K578" s="224"/>
      <c r="L578" s="204"/>
      <c r="M578" s="204"/>
      <c r="N578" s="204"/>
      <c r="O578" s="204"/>
      <c r="P578" s="204"/>
      <c r="Q578" s="204"/>
      <c r="R578" s="204"/>
      <c r="S578" s="204"/>
      <c r="T578" s="204"/>
      <c r="U578" s="204"/>
      <c r="V578" s="204"/>
      <c r="W578" s="204"/>
      <c r="X578" s="204"/>
      <c r="Y578" s="204"/>
      <c r="Z578" s="204"/>
      <c r="AA578" s="204"/>
    </row>
    <row r="579" spans="1:27" ht="15.75" customHeight="1" x14ac:dyDescent="0.2">
      <c r="A579" s="225"/>
      <c r="B579" s="225"/>
      <c r="C579" s="225"/>
      <c r="D579" s="225"/>
      <c r="E579" s="225"/>
      <c r="F579" s="225"/>
      <c r="G579" s="225"/>
      <c r="H579" s="204"/>
      <c r="I579" s="224"/>
      <c r="J579" s="224"/>
      <c r="K579" s="224"/>
      <c r="L579" s="204"/>
      <c r="M579" s="204"/>
      <c r="N579" s="204"/>
      <c r="O579" s="204"/>
      <c r="P579" s="204"/>
      <c r="Q579" s="204"/>
      <c r="R579" s="204"/>
      <c r="S579" s="204"/>
      <c r="T579" s="204"/>
      <c r="U579" s="204"/>
      <c r="V579" s="204"/>
      <c r="W579" s="204"/>
      <c r="X579" s="204"/>
      <c r="Y579" s="204"/>
      <c r="Z579" s="204"/>
      <c r="AA579" s="204"/>
    </row>
    <row r="580" spans="1:27" ht="15.75" customHeight="1" x14ac:dyDescent="0.2">
      <c r="A580" s="225"/>
      <c r="B580" s="225"/>
      <c r="C580" s="225"/>
      <c r="D580" s="225"/>
      <c r="E580" s="225"/>
      <c r="F580" s="225"/>
      <c r="G580" s="225"/>
      <c r="H580" s="204"/>
      <c r="I580" s="224"/>
      <c r="J580" s="224"/>
      <c r="K580" s="224"/>
      <c r="L580" s="204"/>
      <c r="M580" s="204"/>
      <c r="N580" s="204"/>
      <c r="O580" s="204"/>
      <c r="P580" s="204"/>
      <c r="Q580" s="204"/>
      <c r="R580" s="204"/>
      <c r="S580" s="204"/>
      <c r="T580" s="204"/>
      <c r="U580" s="204"/>
      <c r="V580" s="204"/>
      <c r="W580" s="204"/>
      <c r="X580" s="204"/>
      <c r="Y580" s="204"/>
      <c r="Z580" s="204"/>
      <c r="AA580" s="204"/>
    </row>
    <row r="581" spans="1:27" ht="15.75" customHeight="1" x14ac:dyDescent="0.2">
      <c r="A581" s="225"/>
      <c r="B581" s="225"/>
      <c r="C581" s="225"/>
      <c r="D581" s="225"/>
      <c r="E581" s="225"/>
      <c r="F581" s="225"/>
      <c r="G581" s="225"/>
      <c r="H581" s="204"/>
      <c r="I581" s="224"/>
      <c r="J581" s="224"/>
      <c r="K581" s="224"/>
      <c r="L581" s="204"/>
      <c r="M581" s="204"/>
      <c r="N581" s="204"/>
      <c r="O581" s="204"/>
      <c r="P581" s="204"/>
      <c r="Q581" s="204"/>
      <c r="R581" s="204"/>
      <c r="S581" s="204"/>
      <c r="T581" s="204"/>
      <c r="U581" s="204"/>
      <c r="V581" s="204"/>
      <c r="W581" s="204"/>
      <c r="X581" s="204"/>
      <c r="Y581" s="204"/>
      <c r="Z581" s="204"/>
      <c r="AA581" s="204"/>
    </row>
    <row r="582" spans="1:27" ht="15.75" customHeight="1" x14ac:dyDescent="0.2">
      <c r="A582" s="225"/>
      <c r="B582" s="225"/>
      <c r="C582" s="225"/>
      <c r="D582" s="225"/>
      <c r="E582" s="225"/>
      <c r="F582" s="225"/>
      <c r="G582" s="225"/>
      <c r="H582" s="204"/>
      <c r="I582" s="224"/>
      <c r="J582" s="224"/>
      <c r="K582" s="224"/>
      <c r="L582" s="204"/>
      <c r="M582" s="204"/>
      <c r="N582" s="204"/>
      <c r="O582" s="204"/>
      <c r="P582" s="204"/>
      <c r="Q582" s="204"/>
      <c r="R582" s="204"/>
      <c r="S582" s="204"/>
      <c r="T582" s="204"/>
      <c r="U582" s="204"/>
      <c r="V582" s="204"/>
      <c r="W582" s="204"/>
      <c r="X582" s="204"/>
      <c r="Y582" s="204"/>
      <c r="Z582" s="204"/>
      <c r="AA582" s="204"/>
    </row>
    <row r="583" spans="1:27" ht="15.75" customHeight="1" x14ac:dyDescent="0.2">
      <c r="A583" s="225"/>
      <c r="B583" s="225"/>
      <c r="C583" s="225"/>
      <c r="D583" s="225"/>
      <c r="E583" s="225"/>
      <c r="F583" s="225"/>
      <c r="G583" s="225"/>
      <c r="H583" s="204"/>
      <c r="I583" s="224"/>
      <c r="J583" s="224"/>
      <c r="K583" s="224"/>
      <c r="L583" s="204"/>
      <c r="M583" s="204"/>
      <c r="N583" s="204"/>
      <c r="O583" s="204"/>
      <c r="P583" s="204"/>
      <c r="Q583" s="204"/>
      <c r="R583" s="204"/>
      <c r="S583" s="204"/>
      <c r="T583" s="204"/>
      <c r="U583" s="204"/>
      <c r="V583" s="204"/>
      <c r="W583" s="204"/>
      <c r="X583" s="204"/>
      <c r="Y583" s="204"/>
      <c r="Z583" s="204"/>
      <c r="AA583" s="204"/>
    </row>
    <row r="584" spans="1:27" ht="15.75" customHeight="1" x14ac:dyDescent="0.2">
      <c r="A584" s="225"/>
      <c r="B584" s="225"/>
      <c r="C584" s="225"/>
      <c r="D584" s="225"/>
      <c r="E584" s="225"/>
      <c r="F584" s="225"/>
      <c r="G584" s="225"/>
      <c r="H584" s="204"/>
      <c r="I584" s="224"/>
      <c r="J584" s="224"/>
      <c r="K584" s="224"/>
      <c r="L584" s="204"/>
      <c r="M584" s="204"/>
      <c r="N584" s="204"/>
      <c r="O584" s="204"/>
      <c r="P584" s="204"/>
      <c r="Q584" s="204"/>
      <c r="R584" s="204"/>
      <c r="S584" s="204"/>
      <c r="T584" s="204"/>
      <c r="U584" s="204"/>
      <c r="V584" s="204"/>
      <c r="W584" s="204"/>
      <c r="X584" s="204"/>
      <c r="Y584" s="204"/>
      <c r="Z584" s="204"/>
      <c r="AA584" s="204"/>
    </row>
    <row r="585" spans="1:27" ht="15.75" customHeight="1" x14ac:dyDescent="0.2">
      <c r="A585" s="225"/>
      <c r="B585" s="225"/>
      <c r="C585" s="225"/>
      <c r="D585" s="225"/>
      <c r="E585" s="225"/>
      <c r="F585" s="225"/>
      <c r="G585" s="225"/>
      <c r="H585" s="204"/>
      <c r="I585" s="224"/>
      <c r="J585" s="224"/>
      <c r="K585" s="224"/>
      <c r="L585" s="204"/>
      <c r="M585" s="204"/>
      <c r="N585" s="204"/>
      <c r="O585" s="204"/>
      <c r="P585" s="204"/>
      <c r="Q585" s="204"/>
      <c r="R585" s="204"/>
      <c r="S585" s="204"/>
      <c r="T585" s="204"/>
      <c r="U585" s="204"/>
      <c r="V585" s="204"/>
      <c r="W585" s="204"/>
      <c r="X585" s="204"/>
      <c r="Y585" s="204"/>
      <c r="Z585" s="204"/>
      <c r="AA585" s="204"/>
    </row>
    <row r="586" spans="1:27" ht="15.75" customHeight="1" x14ac:dyDescent="0.2">
      <c r="A586" s="225"/>
      <c r="B586" s="225"/>
      <c r="C586" s="225"/>
      <c r="D586" s="225"/>
      <c r="E586" s="225"/>
      <c r="F586" s="225"/>
      <c r="G586" s="225"/>
      <c r="H586" s="204"/>
      <c r="I586" s="224"/>
      <c r="J586" s="224"/>
      <c r="K586" s="224"/>
      <c r="L586" s="204"/>
      <c r="M586" s="204"/>
      <c r="N586" s="204"/>
      <c r="O586" s="204"/>
      <c r="P586" s="204"/>
      <c r="Q586" s="204"/>
      <c r="R586" s="204"/>
      <c r="S586" s="204"/>
      <c r="T586" s="204"/>
      <c r="U586" s="204"/>
      <c r="V586" s="204"/>
      <c r="W586" s="204"/>
      <c r="X586" s="204"/>
      <c r="Y586" s="204"/>
      <c r="Z586" s="204"/>
      <c r="AA586" s="204"/>
    </row>
    <row r="587" spans="1:27" ht="15.75" customHeight="1" x14ac:dyDescent="0.2">
      <c r="A587" s="225"/>
      <c r="B587" s="225"/>
      <c r="C587" s="225"/>
      <c r="D587" s="225"/>
      <c r="E587" s="225"/>
      <c r="F587" s="225"/>
      <c r="G587" s="225"/>
      <c r="H587" s="204"/>
      <c r="I587" s="224"/>
      <c r="J587" s="224"/>
      <c r="K587" s="224"/>
      <c r="L587" s="204"/>
      <c r="M587" s="204"/>
      <c r="N587" s="204"/>
      <c r="O587" s="204"/>
      <c r="P587" s="204"/>
      <c r="Q587" s="204"/>
      <c r="R587" s="204"/>
      <c r="S587" s="204"/>
      <c r="T587" s="204"/>
      <c r="U587" s="204"/>
      <c r="V587" s="204"/>
      <c r="W587" s="204"/>
      <c r="X587" s="204"/>
      <c r="Y587" s="204"/>
      <c r="Z587" s="204"/>
      <c r="AA587" s="204"/>
    </row>
    <row r="588" spans="1:27" ht="15.75" customHeight="1" x14ac:dyDescent="0.2">
      <c r="A588" s="225"/>
      <c r="B588" s="225"/>
      <c r="C588" s="225"/>
      <c r="D588" s="225"/>
      <c r="E588" s="225"/>
      <c r="F588" s="225"/>
      <c r="G588" s="225"/>
      <c r="H588" s="204"/>
      <c r="I588" s="224"/>
      <c r="J588" s="224"/>
      <c r="K588" s="224"/>
      <c r="L588" s="204"/>
      <c r="M588" s="204"/>
      <c r="N588" s="204"/>
      <c r="O588" s="204"/>
      <c r="P588" s="204"/>
      <c r="Q588" s="204"/>
      <c r="R588" s="204"/>
      <c r="S588" s="204"/>
      <c r="T588" s="204"/>
      <c r="U588" s="204"/>
      <c r="V588" s="204"/>
      <c r="W588" s="204"/>
      <c r="X588" s="204"/>
      <c r="Y588" s="204"/>
      <c r="Z588" s="204"/>
      <c r="AA588" s="204"/>
    </row>
    <row r="589" spans="1:27" ht="15.75" customHeight="1" x14ac:dyDescent="0.2">
      <c r="A589" s="225"/>
      <c r="B589" s="225"/>
      <c r="C589" s="225"/>
      <c r="D589" s="225"/>
      <c r="E589" s="225"/>
      <c r="F589" s="225"/>
      <c r="G589" s="225"/>
      <c r="H589" s="204"/>
      <c r="I589" s="224"/>
      <c r="J589" s="224"/>
      <c r="K589" s="224"/>
      <c r="L589" s="204"/>
      <c r="M589" s="204"/>
      <c r="N589" s="204"/>
      <c r="O589" s="204"/>
      <c r="P589" s="204"/>
      <c r="Q589" s="204"/>
      <c r="R589" s="204"/>
      <c r="S589" s="204"/>
      <c r="T589" s="204"/>
      <c r="U589" s="204"/>
      <c r="V589" s="204"/>
      <c r="W589" s="204"/>
      <c r="X589" s="204"/>
      <c r="Y589" s="204"/>
      <c r="Z589" s="204"/>
      <c r="AA589" s="204"/>
    </row>
    <row r="590" spans="1:27" ht="15.75" customHeight="1" x14ac:dyDescent="0.2">
      <c r="A590" s="225"/>
      <c r="B590" s="225"/>
      <c r="C590" s="225"/>
      <c r="D590" s="225"/>
      <c r="E590" s="225"/>
      <c r="F590" s="225"/>
      <c r="G590" s="225"/>
      <c r="H590" s="204"/>
      <c r="I590" s="224"/>
      <c r="J590" s="224"/>
      <c r="K590" s="224"/>
      <c r="L590" s="204"/>
      <c r="M590" s="204"/>
      <c r="N590" s="204"/>
      <c r="O590" s="204"/>
      <c r="P590" s="204"/>
      <c r="Q590" s="204"/>
      <c r="R590" s="204"/>
      <c r="S590" s="204"/>
      <c r="T590" s="204"/>
      <c r="U590" s="204"/>
      <c r="V590" s="204"/>
      <c r="W590" s="204"/>
      <c r="X590" s="204"/>
      <c r="Y590" s="204"/>
      <c r="Z590" s="204"/>
      <c r="AA590" s="204"/>
    </row>
    <row r="591" spans="1:27" ht="15.75" customHeight="1" x14ac:dyDescent="0.2">
      <c r="A591" s="225"/>
      <c r="B591" s="225"/>
      <c r="C591" s="225"/>
      <c r="D591" s="225"/>
      <c r="E591" s="225"/>
      <c r="F591" s="225"/>
      <c r="G591" s="225"/>
      <c r="H591" s="204"/>
      <c r="I591" s="224"/>
      <c r="J591" s="224"/>
      <c r="K591" s="224"/>
      <c r="L591" s="204"/>
      <c r="M591" s="204"/>
      <c r="N591" s="204"/>
      <c r="O591" s="204"/>
      <c r="P591" s="204"/>
      <c r="Q591" s="204"/>
      <c r="R591" s="204"/>
      <c r="S591" s="204"/>
      <c r="T591" s="204"/>
      <c r="U591" s="204"/>
      <c r="V591" s="204"/>
      <c r="W591" s="204"/>
      <c r="X591" s="204"/>
      <c r="Y591" s="204"/>
      <c r="Z591" s="204"/>
      <c r="AA591" s="204"/>
    </row>
    <row r="592" spans="1:27" ht="15.75" customHeight="1" x14ac:dyDescent="0.2">
      <c r="A592" s="225"/>
      <c r="B592" s="225"/>
      <c r="C592" s="225"/>
      <c r="D592" s="225"/>
      <c r="E592" s="225"/>
      <c r="F592" s="225"/>
      <c r="G592" s="225"/>
      <c r="H592" s="204"/>
      <c r="I592" s="224"/>
      <c r="J592" s="224"/>
      <c r="K592" s="224"/>
      <c r="L592" s="204"/>
      <c r="M592" s="204"/>
      <c r="N592" s="204"/>
      <c r="O592" s="204"/>
      <c r="P592" s="204"/>
      <c r="Q592" s="204"/>
      <c r="R592" s="204"/>
      <c r="S592" s="204"/>
      <c r="T592" s="204"/>
      <c r="U592" s="204"/>
      <c r="V592" s="204"/>
      <c r="W592" s="204"/>
      <c r="X592" s="204"/>
      <c r="Y592" s="204"/>
      <c r="Z592" s="204"/>
      <c r="AA592" s="204"/>
    </row>
    <row r="593" spans="1:27" ht="15.75" customHeight="1" x14ac:dyDescent="0.2">
      <c r="A593" s="225"/>
      <c r="B593" s="225"/>
      <c r="C593" s="225"/>
      <c r="D593" s="225"/>
      <c r="E593" s="225"/>
      <c r="F593" s="225"/>
      <c r="G593" s="225"/>
      <c r="H593" s="204"/>
      <c r="I593" s="224"/>
      <c r="J593" s="224"/>
      <c r="K593" s="224"/>
      <c r="L593" s="204"/>
      <c r="M593" s="204"/>
      <c r="N593" s="204"/>
      <c r="O593" s="204"/>
      <c r="P593" s="204"/>
      <c r="Q593" s="204"/>
      <c r="R593" s="204"/>
      <c r="S593" s="204"/>
      <c r="T593" s="204"/>
      <c r="U593" s="204"/>
      <c r="V593" s="204"/>
      <c r="W593" s="204"/>
      <c r="X593" s="204"/>
      <c r="Y593" s="204"/>
      <c r="Z593" s="204"/>
      <c r="AA593" s="204"/>
    </row>
    <row r="594" spans="1:27" ht="15.75" customHeight="1" x14ac:dyDescent="0.2">
      <c r="A594" s="225"/>
      <c r="B594" s="225"/>
      <c r="C594" s="225"/>
      <c r="D594" s="225"/>
      <c r="E594" s="225"/>
      <c r="F594" s="225"/>
      <c r="G594" s="225"/>
      <c r="H594" s="204"/>
      <c r="I594" s="224"/>
      <c r="J594" s="224"/>
      <c r="K594" s="224"/>
      <c r="L594" s="204"/>
      <c r="M594" s="204"/>
      <c r="N594" s="204"/>
      <c r="O594" s="204"/>
      <c r="P594" s="204"/>
      <c r="Q594" s="204"/>
      <c r="R594" s="204"/>
      <c r="S594" s="204"/>
      <c r="T594" s="204"/>
      <c r="U594" s="204"/>
      <c r="V594" s="204"/>
      <c r="W594" s="204"/>
      <c r="X594" s="204"/>
      <c r="Y594" s="204"/>
      <c r="Z594" s="204"/>
      <c r="AA594" s="204"/>
    </row>
    <row r="595" spans="1:27" ht="15.75" customHeight="1" x14ac:dyDescent="0.2">
      <c r="A595" s="225"/>
      <c r="B595" s="225"/>
      <c r="C595" s="225"/>
      <c r="D595" s="225"/>
      <c r="E595" s="225"/>
      <c r="F595" s="225"/>
      <c r="G595" s="225"/>
      <c r="H595" s="204"/>
      <c r="I595" s="224"/>
      <c r="J595" s="224"/>
      <c r="K595" s="224"/>
      <c r="L595" s="204"/>
      <c r="M595" s="204"/>
      <c r="N595" s="204"/>
      <c r="O595" s="204"/>
      <c r="P595" s="204"/>
      <c r="Q595" s="204"/>
      <c r="R595" s="204"/>
      <c r="S595" s="204"/>
      <c r="T595" s="204"/>
      <c r="U595" s="204"/>
      <c r="V595" s="204"/>
      <c r="W595" s="204"/>
      <c r="X595" s="204"/>
      <c r="Y595" s="204"/>
      <c r="Z595" s="204"/>
      <c r="AA595" s="204"/>
    </row>
    <row r="596" spans="1:27" ht="15.75" customHeight="1" x14ac:dyDescent="0.2">
      <c r="A596" s="225"/>
      <c r="B596" s="225"/>
      <c r="C596" s="225"/>
      <c r="D596" s="225"/>
      <c r="E596" s="225"/>
      <c r="F596" s="225"/>
      <c r="G596" s="225"/>
      <c r="H596" s="204"/>
      <c r="I596" s="224"/>
      <c r="J596" s="224"/>
      <c r="K596" s="224"/>
      <c r="L596" s="204"/>
      <c r="M596" s="204"/>
      <c r="N596" s="204"/>
      <c r="O596" s="204"/>
      <c r="P596" s="204"/>
      <c r="Q596" s="204"/>
      <c r="R596" s="204"/>
      <c r="S596" s="204"/>
      <c r="T596" s="204"/>
      <c r="U596" s="204"/>
      <c r="V596" s="204"/>
      <c r="W596" s="204"/>
      <c r="X596" s="204"/>
      <c r="Y596" s="204"/>
      <c r="Z596" s="204"/>
      <c r="AA596" s="204"/>
    </row>
    <row r="597" spans="1:27" ht="15.75" customHeight="1" x14ac:dyDescent="0.2">
      <c r="A597" s="225"/>
      <c r="B597" s="225"/>
      <c r="C597" s="225"/>
      <c r="D597" s="225"/>
      <c r="E597" s="225"/>
      <c r="F597" s="225"/>
      <c r="G597" s="225"/>
      <c r="H597" s="204"/>
      <c r="I597" s="224"/>
      <c r="J597" s="224"/>
      <c r="K597" s="224"/>
      <c r="L597" s="204"/>
      <c r="M597" s="204"/>
      <c r="N597" s="204"/>
      <c r="O597" s="204"/>
      <c r="P597" s="204"/>
      <c r="Q597" s="204"/>
      <c r="R597" s="204"/>
      <c r="S597" s="204"/>
      <c r="T597" s="204"/>
      <c r="U597" s="204"/>
      <c r="V597" s="204"/>
      <c r="W597" s="204"/>
      <c r="X597" s="204"/>
      <c r="Y597" s="204"/>
      <c r="Z597" s="204"/>
      <c r="AA597" s="204"/>
    </row>
    <row r="598" spans="1:27" ht="15.75" customHeight="1" x14ac:dyDescent="0.2">
      <c r="A598" s="225"/>
      <c r="B598" s="225"/>
      <c r="C598" s="225"/>
      <c r="D598" s="225"/>
      <c r="E598" s="225"/>
      <c r="F598" s="225"/>
      <c r="G598" s="225"/>
      <c r="H598" s="204"/>
      <c r="I598" s="224"/>
      <c r="J598" s="224"/>
      <c r="K598" s="224"/>
      <c r="L598" s="204"/>
      <c r="M598" s="204"/>
      <c r="N598" s="204"/>
      <c r="O598" s="204"/>
      <c r="P598" s="204"/>
      <c r="Q598" s="204"/>
      <c r="R598" s="204"/>
      <c r="S598" s="204"/>
      <c r="T598" s="204"/>
      <c r="U598" s="204"/>
      <c r="V598" s="204"/>
      <c r="W598" s="204"/>
      <c r="X598" s="204"/>
      <c r="Y598" s="204"/>
      <c r="Z598" s="204"/>
      <c r="AA598" s="204"/>
    </row>
    <row r="599" spans="1:27" ht="15.75" customHeight="1" x14ac:dyDescent="0.2">
      <c r="A599" s="225"/>
      <c r="B599" s="225"/>
      <c r="C599" s="225"/>
      <c r="D599" s="225"/>
      <c r="E599" s="225"/>
      <c r="F599" s="225"/>
      <c r="G599" s="225"/>
      <c r="H599" s="204"/>
      <c r="I599" s="224"/>
      <c r="J599" s="224"/>
      <c r="K599" s="224"/>
      <c r="L599" s="204"/>
      <c r="M599" s="204"/>
      <c r="N599" s="204"/>
      <c r="O599" s="204"/>
      <c r="P599" s="204"/>
      <c r="Q599" s="204"/>
      <c r="R599" s="204"/>
      <c r="S599" s="204"/>
      <c r="T599" s="204"/>
      <c r="U599" s="204"/>
      <c r="V599" s="204"/>
      <c r="W599" s="204"/>
      <c r="X599" s="204"/>
      <c r="Y599" s="204"/>
      <c r="Z599" s="204"/>
      <c r="AA599" s="204"/>
    </row>
    <row r="600" spans="1:27" ht="15.75" customHeight="1" x14ac:dyDescent="0.2">
      <c r="A600" s="225"/>
      <c r="B600" s="225"/>
      <c r="C600" s="225"/>
      <c r="D600" s="225"/>
      <c r="E600" s="225"/>
      <c r="F600" s="225"/>
      <c r="G600" s="225"/>
      <c r="H600" s="204"/>
      <c r="I600" s="224"/>
      <c r="J600" s="224"/>
      <c r="K600" s="224"/>
      <c r="L600" s="204"/>
      <c r="M600" s="204"/>
      <c r="N600" s="204"/>
      <c r="O600" s="204"/>
      <c r="P600" s="204"/>
      <c r="Q600" s="204"/>
      <c r="R600" s="204"/>
      <c r="S600" s="204"/>
      <c r="T600" s="204"/>
      <c r="U600" s="204"/>
      <c r="V600" s="204"/>
      <c r="W600" s="204"/>
      <c r="X600" s="204"/>
      <c r="Y600" s="204"/>
      <c r="Z600" s="204"/>
      <c r="AA600" s="204"/>
    </row>
    <row r="601" spans="1:27" ht="15.75" customHeight="1" x14ac:dyDescent="0.2">
      <c r="A601" s="225"/>
      <c r="B601" s="225"/>
      <c r="C601" s="225"/>
      <c r="D601" s="225"/>
      <c r="E601" s="225"/>
      <c r="F601" s="225"/>
      <c r="G601" s="225"/>
      <c r="H601" s="204"/>
      <c r="I601" s="224"/>
      <c r="J601" s="224"/>
      <c r="K601" s="224"/>
      <c r="L601" s="204"/>
      <c r="M601" s="204"/>
      <c r="N601" s="204"/>
      <c r="O601" s="204"/>
      <c r="P601" s="204"/>
      <c r="Q601" s="204"/>
      <c r="R601" s="204"/>
      <c r="S601" s="204"/>
      <c r="T601" s="204"/>
      <c r="U601" s="204"/>
      <c r="V601" s="204"/>
      <c r="W601" s="204"/>
      <c r="X601" s="204"/>
      <c r="Y601" s="204"/>
      <c r="Z601" s="204"/>
      <c r="AA601" s="204"/>
    </row>
    <row r="602" spans="1:27" ht="15.75" customHeight="1" x14ac:dyDescent="0.2">
      <c r="A602" s="225"/>
      <c r="B602" s="225"/>
      <c r="C602" s="225"/>
      <c r="D602" s="225"/>
      <c r="E602" s="225"/>
      <c r="F602" s="225"/>
      <c r="G602" s="225"/>
      <c r="H602" s="204"/>
      <c r="I602" s="224"/>
      <c r="J602" s="224"/>
      <c r="K602" s="224"/>
      <c r="L602" s="204"/>
      <c r="M602" s="204"/>
      <c r="N602" s="204"/>
      <c r="O602" s="204"/>
      <c r="P602" s="204"/>
      <c r="Q602" s="204"/>
      <c r="R602" s="204"/>
      <c r="S602" s="204"/>
      <c r="T602" s="204"/>
      <c r="U602" s="204"/>
      <c r="V602" s="204"/>
      <c r="W602" s="204"/>
      <c r="X602" s="204"/>
      <c r="Y602" s="204"/>
      <c r="Z602" s="204"/>
      <c r="AA602" s="204"/>
    </row>
    <row r="603" spans="1:27" ht="15.75" customHeight="1" x14ac:dyDescent="0.2">
      <c r="A603" s="225"/>
      <c r="B603" s="225"/>
      <c r="C603" s="225"/>
      <c r="D603" s="225"/>
      <c r="E603" s="225"/>
      <c r="F603" s="225"/>
      <c r="G603" s="225"/>
      <c r="H603" s="204"/>
      <c r="I603" s="224"/>
      <c r="J603" s="224"/>
      <c r="K603" s="224"/>
      <c r="L603" s="204"/>
      <c r="M603" s="204"/>
      <c r="N603" s="204"/>
      <c r="O603" s="204"/>
      <c r="P603" s="204"/>
      <c r="Q603" s="204"/>
      <c r="R603" s="204"/>
      <c r="S603" s="204"/>
      <c r="T603" s="204"/>
      <c r="U603" s="204"/>
      <c r="V603" s="204"/>
      <c r="W603" s="204"/>
      <c r="X603" s="204"/>
      <c r="Y603" s="204"/>
      <c r="Z603" s="204"/>
      <c r="AA603" s="204"/>
    </row>
    <row r="604" spans="1:27" ht="15.75" customHeight="1" x14ac:dyDescent="0.2">
      <c r="A604" s="225"/>
      <c r="B604" s="225"/>
      <c r="C604" s="225"/>
      <c r="D604" s="225"/>
      <c r="E604" s="225"/>
      <c r="F604" s="225"/>
      <c r="G604" s="225"/>
      <c r="H604" s="204"/>
      <c r="I604" s="224"/>
      <c r="J604" s="224"/>
      <c r="K604" s="224"/>
      <c r="L604" s="204"/>
      <c r="M604" s="204"/>
      <c r="N604" s="204"/>
      <c r="O604" s="204"/>
      <c r="P604" s="204"/>
      <c r="Q604" s="204"/>
      <c r="R604" s="204"/>
      <c r="S604" s="204"/>
      <c r="T604" s="204"/>
      <c r="U604" s="204"/>
      <c r="V604" s="204"/>
      <c r="W604" s="204"/>
      <c r="X604" s="204"/>
      <c r="Y604" s="204"/>
      <c r="Z604" s="204"/>
      <c r="AA604" s="204"/>
    </row>
    <row r="605" spans="1:27" ht="15.75" customHeight="1" x14ac:dyDescent="0.2">
      <c r="A605" s="225"/>
      <c r="B605" s="225"/>
      <c r="C605" s="225"/>
      <c r="D605" s="225"/>
      <c r="E605" s="225"/>
      <c r="F605" s="225"/>
      <c r="G605" s="225"/>
      <c r="H605" s="204"/>
      <c r="I605" s="224"/>
      <c r="J605" s="224"/>
      <c r="K605" s="224"/>
      <c r="L605" s="204"/>
      <c r="M605" s="204"/>
      <c r="N605" s="204"/>
      <c r="O605" s="204"/>
      <c r="P605" s="204"/>
      <c r="Q605" s="204"/>
      <c r="R605" s="204"/>
      <c r="S605" s="204"/>
      <c r="T605" s="204"/>
      <c r="U605" s="204"/>
      <c r="V605" s="204"/>
      <c r="W605" s="204"/>
      <c r="X605" s="204"/>
      <c r="Y605" s="204"/>
      <c r="Z605" s="204"/>
      <c r="AA605" s="204"/>
    </row>
    <row r="606" spans="1:27" ht="15.75" customHeight="1" x14ac:dyDescent="0.2">
      <c r="A606" s="225"/>
      <c r="B606" s="225"/>
      <c r="C606" s="225"/>
      <c r="D606" s="225"/>
      <c r="E606" s="225"/>
      <c r="F606" s="225"/>
      <c r="G606" s="225"/>
      <c r="H606" s="204"/>
      <c r="I606" s="224"/>
      <c r="J606" s="224"/>
      <c r="K606" s="224"/>
      <c r="L606" s="204"/>
      <c r="M606" s="204"/>
      <c r="N606" s="204"/>
      <c r="O606" s="204"/>
      <c r="P606" s="204"/>
      <c r="Q606" s="204"/>
      <c r="R606" s="204"/>
      <c r="S606" s="204"/>
      <c r="T606" s="204"/>
      <c r="U606" s="204"/>
      <c r="V606" s="204"/>
      <c r="W606" s="204"/>
      <c r="X606" s="204"/>
      <c r="Y606" s="204"/>
      <c r="Z606" s="204"/>
      <c r="AA606" s="204"/>
    </row>
    <row r="607" spans="1:27" ht="15.75" customHeight="1" x14ac:dyDescent="0.2">
      <c r="A607" s="225"/>
      <c r="B607" s="225"/>
      <c r="C607" s="225"/>
      <c r="D607" s="225"/>
      <c r="E607" s="225"/>
      <c r="F607" s="225"/>
      <c r="G607" s="225"/>
      <c r="H607" s="204"/>
      <c r="I607" s="224"/>
      <c r="J607" s="224"/>
      <c r="K607" s="224"/>
      <c r="L607" s="204"/>
      <c r="M607" s="204"/>
      <c r="N607" s="204"/>
      <c r="O607" s="204"/>
      <c r="P607" s="204"/>
      <c r="Q607" s="204"/>
      <c r="R607" s="204"/>
      <c r="S607" s="204"/>
      <c r="T607" s="204"/>
      <c r="U607" s="204"/>
      <c r="V607" s="204"/>
      <c r="W607" s="204"/>
      <c r="X607" s="204"/>
      <c r="Y607" s="204"/>
      <c r="Z607" s="204"/>
      <c r="AA607" s="204"/>
    </row>
    <row r="608" spans="1:27" ht="15.75" customHeight="1" x14ac:dyDescent="0.2">
      <c r="A608" s="225"/>
      <c r="B608" s="225"/>
      <c r="C608" s="225"/>
      <c r="D608" s="225"/>
      <c r="E608" s="225"/>
      <c r="F608" s="225"/>
      <c r="G608" s="225"/>
      <c r="H608" s="204"/>
      <c r="I608" s="224"/>
      <c r="J608" s="224"/>
      <c r="K608" s="224"/>
      <c r="L608" s="204"/>
      <c r="M608" s="204"/>
      <c r="N608" s="204"/>
      <c r="O608" s="204"/>
      <c r="P608" s="204"/>
      <c r="Q608" s="204"/>
      <c r="R608" s="204"/>
      <c r="S608" s="204"/>
      <c r="T608" s="204"/>
      <c r="U608" s="204"/>
      <c r="V608" s="204"/>
      <c r="W608" s="204"/>
      <c r="X608" s="204"/>
      <c r="Y608" s="204"/>
      <c r="Z608" s="204"/>
      <c r="AA608" s="204"/>
    </row>
    <row r="609" spans="1:27" ht="15.75" customHeight="1" x14ac:dyDescent="0.2">
      <c r="A609" s="225"/>
      <c r="B609" s="225"/>
      <c r="C609" s="225"/>
      <c r="D609" s="225"/>
      <c r="E609" s="225"/>
      <c r="F609" s="225"/>
      <c r="G609" s="225"/>
      <c r="H609" s="204"/>
      <c r="I609" s="224"/>
      <c r="J609" s="224"/>
      <c r="K609" s="224"/>
      <c r="L609" s="204"/>
      <c r="M609" s="204"/>
      <c r="N609" s="204"/>
      <c r="O609" s="204"/>
      <c r="P609" s="204"/>
      <c r="Q609" s="204"/>
      <c r="R609" s="204"/>
      <c r="S609" s="204"/>
      <c r="T609" s="204"/>
      <c r="U609" s="204"/>
      <c r="V609" s="204"/>
      <c r="W609" s="204"/>
      <c r="X609" s="204"/>
      <c r="Y609" s="204"/>
      <c r="Z609" s="204"/>
      <c r="AA609" s="204"/>
    </row>
    <row r="610" spans="1:27" ht="15.75" customHeight="1" x14ac:dyDescent="0.2">
      <c r="A610" s="225"/>
      <c r="B610" s="225"/>
      <c r="C610" s="225"/>
      <c r="D610" s="225"/>
      <c r="E610" s="225"/>
      <c r="F610" s="225"/>
      <c r="G610" s="225"/>
      <c r="H610" s="204"/>
      <c r="I610" s="224"/>
      <c r="J610" s="224"/>
      <c r="K610" s="224"/>
      <c r="L610" s="204"/>
      <c r="M610" s="204"/>
      <c r="N610" s="204"/>
      <c r="O610" s="204"/>
      <c r="P610" s="204"/>
      <c r="Q610" s="204"/>
      <c r="R610" s="204"/>
      <c r="S610" s="204"/>
      <c r="T610" s="204"/>
      <c r="U610" s="204"/>
      <c r="V610" s="204"/>
      <c r="W610" s="204"/>
      <c r="X610" s="204"/>
      <c r="Y610" s="204"/>
      <c r="Z610" s="204"/>
      <c r="AA610" s="204"/>
    </row>
    <row r="611" spans="1:27" ht="15.75" customHeight="1" x14ac:dyDescent="0.2">
      <c r="A611" s="225"/>
      <c r="B611" s="225"/>
      <c r="C611" s="225"/>
      <c r="D611" s="225"/>
      <c r="E611" s="225"/>
      <c r="F611" s="225"/>
      <c r="G611" s="225"/>
      <c r="H611" s="204"/>
      <c r="I611" s="224"/>
      <c r="J611" s="224"/>
      <c r="K611" s="224"/>
      <c r="L611" s="204"/>
      <c r="M611" s="204"/>
      <c r="N611" s="204"/>
      <c r="O611" s="204"/>
      <c r="P611" s="204"/>
      <c r="Q611" s="204"/>
      <c r="R611" s="204"/>
      <c r="S611" s="204"/>
      <c r="T611" s="204"/>
      <c r="U611" s="204"/>
      <c r="V611" s="204"/>
      <c r="W611" s="204"/>
      <c r="X611" s="204"/>
      <c r="Y611" s="204"/>
      <c r="Z611" s="204"/>
      <c r="AA611" s="204"/>
    </row>
    <row r="612" spans="1:27" ht="15.75" customHeight="1" x14ac:dyDescent="0.2">
      <c r="A612" s="225"/>
      <c r="B612" s="225"/>
      <c r="C612" s="225"/>
      <c r="D612" s="225"/>
      <c r="E612" s="225"/>
      <c r="F612" s="225"/>
      <c r="G612" s="225"/>
      <c r="H612" s="204"/>
      <c r="I612" s="224"/>
      <c r="J612" s="224"/>
      <c r="K612" s="224"/>
      <c r="L612" s="204"/>
      <c r="M612" s="204"/>
      <c r="N612" s="204"/>
      <c r="O612" s="204"/>
      <c r="P612" s="204"/>
      <c r="Q612" s="204"/>
      <c r="R612" s="204"/>
      <c r="S612" s="204"/>
      <c r="T612" s="204"/>
      <c r="U612" s="204"/>
      <c r="V612" s="204"/>
      <c r="W612" s="204"/>
      <c r="X612" s="204"/>
      <c r="Y612" s="204"/>
      <c r="Z612" s="204"/>
      <c r="AA612" s="204"/>
    </row>
    <row r="613" spans="1:27" ht="15.75" customHeight="1" x14ac:dyDescent="0.2">
      <c r="A613" s="225"/>
      <c r="B613" s="225"/>
      <c r="C613" s="225"/>
      <c r="D613" s="225"/>
      <c r="E613" s="225"/>
      <c r="F613" s="225"/>
      <c r="G613" s="225"/>
      <c r="H613" s="204"/>
      <c r="I613" s="224"/>
      <c r="J613" s="224"/>
      <c r="K613" s="224"/>
      <c r="L613" s="204"/>
      <c r="M613" s="204"/>
      <c r="N613" s="204"/>
      <c r="O613" s="204"/>
      <c r="P613" s="204"/>
      <c r="Q613" s="204"/>
      <c r="R613" s="204"/>
      <c r="S613" s="204"/>
      <c r="T613" s="204"/>
      <c r="U613" s="204"/>
      <c r="V613" s="204"/>
      <c r="W613" s="204"/>
      <c r="X613" s="204"/>
      <c r="Y613" s="204"/>
      <c r="Z613" s="204"/>
      <c r="AA613" s="204"/>
    </row>
    <row r="614" spans="1:27" ht="15.75" customHeight="1" x14ac:dyDescent="0.2">
      <c r="A614" s="225"/>
      <c r="B614" s="225"/>
      <c r="C614" s="225"/>
      <c r="D614" s="225"/>
      <c r="E614" s="225"/>
      <c r="F614" s="225"/>
      <c r="G614" s="225"/>
      <c r="H614" s="204"/>
      <c r="I614" s="224"/>
      <c r="J614" s="224"/>
      <c r="K614" s="224"/>
      <c r="L614" s="204"/>
      <c r="M614" s="204"/>
      <c r="N614" s="204"/>
      <c r="O614" s="204"/>
      <c r="P614" s="204"/>
      <c r="Q614" s="204"/>
      <c r="R614" s="204"/>
      <c r="S614" s="204"/>
      <c r="T614" s="204"/>
      <c r="U614" s="204"/>
      <c r="V614" s="204"/>
      <c r="W614" s="204"/>
      <c r="X614" s="204"/>
      <c r="Y614" s="204"/>
      <c r="Z614" s="204"/>
      <c r="AA614" s="204"/>
    </row>
    <row r="615" spans="1:27" ht="15.75" customHeight="1" x14ac:dyDescent="0.2">
      <c r="A615" s="225"/>
      <c r="B615" s="225"/>
      <c r="C615" s="225"/>
      <c r="D615" s="225"/>
      <c r="E615" s="225"/>
      <c r="F615" s="225"/>
      <c r="G615" s="225"/>
      <c r="H615" s="204"/>
      <c r="I615" s="224"/>
      <c r="J615" s="224"/>
      <c r="K615" s="224"/>
      <c r="L615" s="204"/>
      <c r="M615" s="204"/>
      <c r="N615" s="204"/>
      <c r="O615" s="204"/>
      <c r="P615" s="204"/>
      <c r="Q615" s="204"/>
      <c r="R615" s="204"/>
      <c r="S615" s="204"/>
      <c r="T615" s="204"/>
      <c r="U615" s="204"/>
      <c r="V615" s="204"/>
      <c r="W615" s="204"/>
      <c r="X615" s="204"/>
      <c r="Y615" s="204"/>
      <c r="Z615" s="204"/>
      <c r="AA615" s="204"/>
    </row>
    <row r="616" spans="1:27" ht="15.75" customHeight="1" x14ac:dyDescent="0.2">
      <c r="A616" s="225"/>
      <c r="B616" s="225"/>
      <c r="C616" s="225"/>
      <c r="D616" s="225"/>
      <c r="E616" s="225"/>
      <c r="F616" s="225"/>
      <c r="G616" s="225"/>
      <c r="H616" s="204"/>
      <c r="I616" s="224"/>
      <c r="J616" s="224"/>
      <c r="K616" s="224"/>
      <c r="L616" s="204"/>
      <c r="M616" s="204"/>
      <c r="N616" s="204"/>
      <c r="O616" s="204"/>
      <c r="P616" s="204"/>
      <c r="Q616" s="204"/>
      <c r="R616" s="204"/>
      <c r="S616" s="204"/>
      <c r="T616" s="204"/>
      <c r="U616" s="204"/>
      <c r="V616" s="204"/>
      <c r="W616" s="204"/>
      <c r="X616" s="204"/>
      <c r="Y616" s="204"/>
      <c r="Z616" s="204"/>
      <c r="AA616" s="204"/>
    </row>
    <row r="617" spans="1:27" ht="15.75" customHeight="1" x14ac:dyDescent="0.2">
      <c r="A617" s="225"/>
      <c r="B617" s="225"/>
      <c r="C617" s="225"/>
      <c r="D617" s="225"/>
      <c r="E617" s="225"/>
      <c r="F617" s="225"/>
      <c r="G617" s="225"/>
      <c r="H617" s="204"/>
      <c r="I617" s="224"/>
      <c r="J617" s="224"/>
      <c r="K617" s="224"/>
      <c r="L617" s="204"/>
      <c r="M617" s="204"/>
      <c r="N617" s="204"/>
      <c r="O617" s="204"/>
      <c r="P617" s="204"/>
      <c r="Q617" s="204"/>
      <c r="R617" s="204"/>
      <c r="S617" s="204"/>
      <c r="T617" s="204"/>
      <c r="U617" s="204"/>
      <c r="V617" s="204"/>
      <c r="W617" s="204"/>
      <c r="X617" s="204"/>
      <c r="Y617" s="204"/>
      <c r="Z617" s="204"/>
      <c r="AA617" s="204"/>
    </row>
    <row r="618" spans="1:27" ht="15.75" customHeight="1" x14ac:dyDescent="0.2">
      <c r="A618" s="225"/>
      <c r="B618" s="225"/>
      <c r="C618" s="225"/>
      <c r="D618" s="225"/>
      <c r="E618" s="225"/>
      <c r="F618" s="225"/>
      <c r="G618" s="225"/>
      <c r="H618" s="204"/>
      <c r="I618" s="224"/>
      <c r="J618" s="224"/>
      <c r="K618" s="224"/>
      <c r="L618" s="204"/>
      <c r="M618" s="204"/>
      <c r="N618" s="204"/>
      <c r="O618" s="204"/>
      <c r="P618" s="204"/>
      <c r="Q618" s="204"/>
      <c r="R618" s="204"/>
      <c r="S618" s="204"/>
      <c r="T618" s="204"/>
      <c r="U618" s="204"/>
      <c r="V618" s="204"/>
      <c r="W618" s="204"/>
      <c r="X618" s="204"/>
      <c r="Y618" s="204"/>
      <c r="Z618" s="204"/>
      <c r="AA618" s="204"/>
    </row>
    <row r="619" spans="1:27" ht="15.75" customHeight="1" x14ac:dyDescent="0.2">
      <c r="A619" s="225"/>
      <c r="B619" s="225"/>
      <c r="C619" s="225"/>
      <c r="D619" s="225"/>
      <c r="E619" s="225"/>
      <c r="F619" s="225"/>
      <c r="G619" s="225"/>
      <c r="H619" s="204"/>
      <c r="I619" s="224"/>
      <c r="J619" s="224"/>
      <c r="K619" s="224"/>
      <c r="L619" s="204"/>
      <c r="M619" s="204"/>
      <c r="N619" s="204"/>
      <c r="O619" s="204"/>
      <c r="P619" s="204"/>
      <c r="Q619" s="204"/>
      <c r="R619" s="204"/>
      <c r="S619" s="204"/>
      <c r="T619" s="204"/>
      <c r="U619" s="204"/>
      <c r="V619" s="204"/>
      <c r="W619" s="204"/>
      <c r="X619" s="204"/>
      <c r="Y619" s="204"/>
      <c r="Z619" s="204"/>
      <c r="AA619" s="204"/>
    </row>
    <row r="620" spans="1:27" ht="15.75" customHeight="1" x14ac:dyDescent="0.2">
      <c r="A620" s="225"/>
      <c r="B620" s="225"/>
      <c r="C620" s="225"/>
      <c r="D620" s="225"/>
      <c r="E620" s="225"/>
      <c r="F620" s="225"/>
      <c r="G620" s="225"/>
      <c r="H620" s="204"/>
      <c r="I620" s="224"/>
      <c r="J620" s="224"/>
      <c r="K620" s="224"/>
      <c r="L620" s="204"/>
      <c r="M620" s="204"/>
      <c r="N620" s="204"/>
      <c r="O620" s="204"/>
      <c r="P620" s="204"/>
      <c r="Q620" s="204"/>
      <c r="R620" s="204"/>
      <c r="S620" s="204"/>
      <c r="T620" s="204"/>
      <c r="U620" s="204"/>
      <c r="V620" s="204"/>
      <c r="W620" s="204"/>
      <c r="X620" s="204"/>
      <c r="Y620" s="204"/>
      <c r="Z620" s="204"/>
      <c r="AA620" s="204"/>
    </row>
    <row r="621" spans="1:27" ht="15.75" customHeight="1" x14ac:dyDescent="0.2">
      <c r="A621" s="225"/>
      <c r="B621" s="225"/>
      <c r="C621" s="225"/>
      <c r="D621" s="225"/>
      <c r="E621" s="225"/>
      <c r="F621" s="225"/>
      <c r="G621" s="225"/>
      <c r="H621" s="204"/>
      <c r="I621" s="224"/>
      <c r="J621" s="224"/>
      <c r="K621" s="224"/>
      <c r="L621" s="204"/>
      <c r="M621" s="204"/>
      <c r="N621" s="204"/>
      <c r="O621" s="204"/>
      <c r="P621" s="204"/>
      <c r="Q621" s="204"/>
      <c r="R621" s="204"/>
      <c r="S621" s="204"/>
      <c r="T621" s="204"/>
      <c r="U621" s="204"/>
      <c r="V621" s="204"/>
      <c r="W621" s="204"/>
      <c r="X621" s="204"/>
      <c r="Y621" s="204"/>
      <c r="Z621" s="204"/>
      <c r="AA621" s="204"/>
    </row>
    <row r="622" spans="1:27" ht="15.75" customHeight="1" x14ac:dyDescent="0.2">
      <c r="A622" s="225"/>
      <c r="B622" s="225"/>
      <c r="C622" s="225"/>
      <c r="D622" s="225"/>
      <c r="E622" s="225"/>
      <c r="F622" s="225"/>
      <c r="G622" s="225"/>
      <c r="H622" s="204"/>
      <c r="I622" s="224"/>
      <c r="J622" s="224"/>
      <c r="K622" s="224"/>
      <c r="L622" s="204"/>
      <c r="M622" s="204"/>
      <c r="N622" s="204"/>
      <c r="O622" s="204"/>
      <c r="P622" s="204"/>
      <c r="Q622" s="204"/>
      <c r="R622" s="204"/>
      <c r="S622" s="204"/>
      <c r="T622" s="204"/>
      <c r="U622" s="204"/>
      <c r="V622" s="204"/>
      <c r="W622" s="204"/>
      <c r="X622" s="204"/>
      <c r="Y622" s="204"/>
      <c r="Z622" s="204"/>
      <c r="AA622" s="204"/>
    </row>
    <row r="623" spans="1:27" ht="15.75" customHeight="1" x14ac:dyDescent="0.2">
      <c r="A623" s="225"/>
      <c r="B623" s="225"/>
      <c r="C623" s="225"/>
      <c r="D623" s="225"/>
      <c r="E623" s="225"/>
      <c r="F623" s="225"/>
      <c r="G623" s="225"/>
      <c r="H623" s="204"/>
      <c r="I623" s="224"/>
      <c r="J623" s="224"/>
      <c r="K623" s="224"/>
      <c r="L623" s="204"/>
      <c r="M623" s="204"/>
      <c r="N623" s="204"/>
      <c r="O623" s="204"/>
      <c r="P623" s="204"/>
      <c r="Q623" s="204"/>
      <c r="R623" s="204"/>
      <c r="S623" s="204"/>
      <c r="T623" s="204"/>
      <c r="U623" s="204"/>
      <c r="V623" s="204"/>
      <c r="W623" s="204"/>
      <c r="X623" s="204"/>
      <c r="Y623" s="204"/>
      <c r="Z623" s="204"/>
      <c r="AA623" s="204"/>
    </row>
    <row r="624" spans="1:27" ht="15.75" customHeight="1" x14ac:dyDescent="0.2">
      <c r="A624" s="225"/>
      <c r="B624" s="225"/>
      <c r="C624" s="225"/>
      <c r="D624" s="225"/>
      <c r="E624" s="225"/>
      <c r="F624" s="225"/>
      <c r="G624" s="225"/>
      <c r="H624" s="204"/>
      <c r="I624" s="224"/>
      <c r="J624" s="224"/>
      <c r="K624" s="224"/>
      <c r="L624" s="204"/>
      <c r="M624" s="204"/>
      <c r="N624" s="204"/>
      <c r="O624" s="204"/>
      <c r="P624" s="204"/>
      <c r="Q624" s="204"/>
      <c r="R624" s="204"/>
      <c r="S624" s="204"/>
      <c r="T624" s="204"/>
      <c r="U624" s="204"/>
      <c r="V624" s="204"/>
      <c r="W624" s="204"/>
      <c r="X624" s="204"/>
      <c r="Y624" s="204"/>
      <c r="Z624" s="204"/>
      <c r="AA624" s="204"/>
    </row>
    <row r="625" spans="1:27" ht="15.75" customHeight="1" x14ac:dyDescent="0.2">
      <c r="A625" s="225"/>
      <c r="B625" s="225"/>
      <c r="C625" s="225"/>
      <c r="D625" s="225"/>
      <c r="E625" s="225"/>
      <c r="F625" s="225"/>
      <c r="G625" s="225"/>
      <c r="H625" s="204"/>
      <c r="I625" s="224"/>
      <c r="J625" s="224"/>
      <c r="K625" s="224"/>
      <c r="L625" s="204"/>
      <c r="M625" s="204"/>
      <c r="N625" s="204"/>
      <c r="O625" s="204"/>
      <c r="P625" s="204"/>
      <c r="Q625" s="204"/>
      <c r="R625" s="204"/>
      <c r="S625" s="204"/>
      <c r="T625" s="204"/>
      <c r="U625" s="204"/>
      <c r="V625" s="204"/>
      <c r="W625" s="204"/>
      <c r="X625" s="204"/>
      <c r="Y625" s="204"/>
      <c r="Z625" s="204"/>
      <c r="AA625" s="204"/>
    </row>
    <row r="626" spans="1:27" ht="15.75" customHeight="1" x14ac:dyDescent="0.2">
      <c r="A626" s="225"/>
      <c r="B626" s="225"/>
      <c r="C626" s="225"/>
      <c r="D626" s="225"/>
      <c r="E626" s="225"/>
      <c r="F626" s="225"/>
      <c r="G626" s="225"/>
      <c r="H626" s="204"/>
      <c r="I626" s="224"/>
      <c r="J626" s="224"/>
      <c r="K626" s="224"/>
      <c r="L626" s="204"/>
      <c r="M626" s="204"/>
      <c r="N626" s="204"/>
      <c r="O626" s="204"/>
      <c r="P626" s="204"/>
      <c r="Q626" s="204"/>
      <c r="R626" s="204"/>
      <c r="S626" s="204"/>
      <c r="T626" s="204"/>
      <c r="U626" s="204"/>
      <c r="V626" s="204"/>
      <c r="W626" s="204"/>
      <c r="X626" s="204"/>
      <c r="Y626" s="204"/>
      <c r="Z626" s="204"/>
      <c r="AA626" s="204"/>
    </row>
    <row r="627" spans="1:27" ht="15.75" customHeight="1" x14ac:dyDescent="0.2">
      <c r="A627" s="225"/>
      <c r="B627" s="225"/>
      <c r="C627" s="225"/>
      <c r="D627" s="225"/>
      <c r="E627" s="225"/>
      <c r="F627" s="225"/>
      <c r="G627" s="225"/>
      <c r="H627" s="204"/>
      <c r="I627" s="224"/>
      <c r="J627" s="224"/>
      <c r="K627" s="224"/>
      <c r="L627" s="204"/>
      <c r="M627" s="204"/>
      <c r="N627" s="204"/>
      <c r="O627" s="204"/>
      <c r="P627" s="204"/>
      <c r="Q627" s="204"/>
      <c r="R627" s="204"/>
      <c r="S627" s="204"/>
      <c r="T627" s="204"/>
      <c r="U627" s="204"/>
      <c r="V627" s="204"/>
      <c r="W627" s="204"/>
      <c r="X627" s="204"/>
      <c r="Y627" s="204"/>
      <c r="Z627" s="204"/>
      <c r="AA627" s="204"/>
    </row>
    <row r="628" spans="1:27" ht="15.75" customHeight="1" x14ac:dyDescent="0.2">
      <c r="A628" s="225"/>
      <c r="B628" s="225"/>
      <c r="C628" s="225"/>
      <c r="D628" s="225"/>
      <c r="E628" s="225"/>
      <c r="F628" s="225"/>
      <c r="G628" s="225"/>
      <c r="H628" s="204"/>
      <c r="I628" s="224"/>
      <c r="J628" s="224"/>
      <c r="K628" s="224"/>
      <c r="L628" s="204"/>
      <c r="M628" s="204"/>
      <c r="N628" s="204"/>
      <c r="O628" s="204"/>
      <c r="P628" s="204"/>
      <c r="Q628" s="204"/>
      <c r="R628" s="204"/>
      <c r="S628" s="204"/>
      <c r="T628" s="204"/>
      <c r="U628" s="204"/>
      <c r="V628" s="204"/>
      <c r="W628" s="204"/>
      <c r="X628" s="204"/>
      <c r="Y628" s="204"/>
      <c r="Z628" s="204"/>
      <c r="AA628" s="204"/>
    </row>
    <row r="629" spans="1:27" ht="15.75" customHeight="1" x14ac:dyDescent="0.2">
      <c r="A629" s="225"/>
      <c r="B629" s="225"/>
      <c r="C629" s="225"/>
      <c r="D629" s="225"/>
      <c r="E629" s="225"/>
      <c r="F629" s="225"/>
      <c r="G629" s="225"/>
      <c r="H629" s="204"/>
      <c r="I629" s="224"/>
      <c r="J629" s="224"/>
      <c r="K629" s="224"/>
      <c r="L629" s="204"/>
      <c r="M629" s="204"/>
      <c r="N629" s="204"/>
      <c r="O629" s="204"/>
      <c r="P629" s="204"/>
      <c r="Q629" s="204"/>
      <c r="R629" s="204"/>
      <c r="S629" s="204"/>
      <c r="T629" s="204"/>
      <c r="U629" s="204"/>
      <c r="V629" s="204"/>
      <c r="W629" s="204"/>
      <c r="X629" s="204"/>
      <c r="Y629" s="204"/>
      <c r="Z629" s="204"/>
      <c r="AA629" s="204"/>
    </row>
    <row r="630" spans="1:27" ht="15.75" customHeight="1" x14ac:dyDescent="0.2">
      <c r="A630" s="225"/>
      <c r="B630" s="225"/>
      <c r="C630" s="225"/>
      <c r="D630" s="225"/>
      <c r="E630" s="225"/>
      <c r="F630" s="225"/>
      <c r="G630" s="225"/>
      <c r="H630" s="204"/>
      <c r="I630" s="224"/>
      <c r="J630" s="224"/>
      <c r="K630" s="224"/>
      <c r="L630" s="204"/>
      <c r="M630" s="204"/>
      <c r="N630" s="204"/>
      <c r="O630" s="204"/>
      <c r="P630" s="204"/>
      <c r="Q630" s="204"/>
      <c r="R630" s="204"/>
      <c r="S630" s="204"/>
      <c r="T630" s="204"/>
      <c r="U630" s="204"/>
      <c r="V630" s="204"/>
      <c r="W630" s="204"/>
      <c r="X630" s="204"/>
      <c r="Y630" s="204"/>
      <c r="Z630" s="204"/>
      <c r="AA630" s="204"/>
    </row>
    <row r="631" spans="1:27" ht="15.75" customHeight="1" x14ac:dyDescent="0.2">
      <c r="A631" s="225"/>
      <c r="B631" s="225"/>
      <c r="C631" s="225"/>
      <c r="D631" s="225"/>
      <c r="E631" s="225"/>
      <c r="F631" s="225"/>
      <c r="G631" s="225"/>
      <c r="H631" s="204"/>
      <c r="I631" s="224"/>
      <c r="J631" s="224"/>
      <c r="K631" s="224"/>
      <c r="L631" s="204"/>
      <c r="M631" s="204"/>
      <c r="N631" s="204"/>
      <c r="O631" s="204"/>
      <c r="P631" s="204"/>
      <c r="Q631" s="204"/>
      <c r="R631" s="204"/>
      <c r="S631" s="204"/>
      <c r="T631" s="204"/>
      <c r="U631" s="204"/>
      <c r="V631" s="204"/>
      <c r="W631" s="204"/>
      <c r="X631" s="204"/>
      <c r="Y631" s="204"/>
      <c r="Z631" s="204"/>
      <c r="AA631" s="204"/>
    </row>
    <row r="632" spans="1:27" ht="15.75" customHeight="1" x14ac:dyDescent="0.2">
      <c r="A632" s="225"/>
      <c r="B632" s="225"/>
      <c r="C632" s="225"/>
      <c r="D632" s="225"/>
      <c r="E632" s="225"/>
      <c r="F632" s="225"/>
      <c r="G632" s="225"/>
      <c r="H632" s="204"/>
      <c r="I632" s="224"/>
      <c r="J632" s="224"/>
      <c r="K632" s="224"/>
      <c r="L632" s="204"/>
      <c r="M632" s="204"/>
      <c r="N632" s="204"/>
      <c r="O632" s="204"/>
      <c r="P632" s="204"/>
      <c r="Q632" s="204"/>
      <c r="R632" s="204"/>
      <c r="S632" s="204"/>
      <c r="T632" s="204"/>
      <c r="U632" s="204"/>
      <c r="V632" s="204"/>
      <c r="W632" s="204"/>
      <c r="X632" s="204"/>
      <c r="Y632" s="204"/>
      <c r="Z632" s="204"/>
      <c r="AA632" s="204"/>
    </row>
    <row r="633" spans="1:27" ht="15.75" customHeight="1" x14ac:dyDescent="0.2">
      <c r="A633" s="225"/>
      <c r="B633" s="225"/>
      <c r="C633" s="225"/>
      <c r="D633" s="225"/>
      <c r="E633" s="225"/>
      <c r="F633" s="225"/>
      <c r="G633" s="225"/>
      <c r="H633" s="204"/>
      <c r="I633" s="224"/>
      <c r="J633" s="224"/>
      <c r="K633" s="224"/>
      <c r="L633" s="204"/>
      <c r="M633" s="204"/>
      <c r="N633" s="204"/>
      <c r="O633" s="204"/>
      <c r="P633" s="204"/>
      <c r="Q633" s="204"/>
      <c r="R633" s="204"/>
      <c r="S633" s="204"/>
      <c r="T633" s="204"/>
      <c r="U633" s="204"/>
      <c r="V633" s="204"/>
      <c r="W633" s="204"/>
      <c r="X633" s="204"/>
      <c r="Y633" s="204"/>
      <c r="Z633" s="204"/>
      <c r="AA633" s="204"/>
    </row>
    <row r="634" spans="1:27" ht="15.75" customHeight="1" x14ac:dyDescent="0.2">
      <c r="A634" s="225"/>
      <c r="B634" s="225"/>
      <c r="C634" s="225"/>
      <c r="D634" s="225"/>
      <c r="E634" s="225"/>
      <c r="F634" s="225"/>
      <c r="G634" s="225"/>
      <c r="H634" s="204"/>
      <c r="I634" s="224"/>
      <c r="J634" s="224"/>
      <c r="K634" s="224"/>
      <c r="L634" s="204"/>
      <c r="M634" s="204"/>
      <c r="N634" s="204"/>
      <c r="O634" s="204"/>
      <c r="P634" s="204"/>
      <c r="Q634" s="204"/>
      <c r="R634" s="204"/>
      <c r="S634" s="204"/>
      <c r="T634" s="204"/>
      <c r="U634" s="204"/>
      <c r="V634" s="204"/>
      <c r="W634" s="204"/>
      <c r="X634" s="204"/>
      <c r="Y634" s="204"/>
      <c r="Z634" s="204"/>
      <c r="AA634" s="204"/>
    </row>
    <row r="635" spans="1:27" ht="15.75" customHeight="1" x14ac:dyDescent="0.2">
      <c r="A635" s="225"/>
      <c r="B635" s="225"/>
      <c r="C635" s="225"/>
      <c r="D635" s="225"/>
      <c r="E635" s="225"/>
      <c r="F635" s="225"/>
      <c r="G635" s="225"/>
      <c r="H635" s="204"/>
      <c r="I635" s="224"/>
      <c r="J635" s="224"/>
      <c r="K635" s="224"/>
      <c r="L635" s="204"/>
      <c r="M635" s="204"/>
      <c r="N635" s="204"/>
      <c r="O635" s="204"/>
      <c r="P635" s="204"/>
      <c r="Q635" s="204"/>
      <c r="R635" s="204"/>
      <c r="S635" s="204"/>
      <c r="T635" s="204"/>
      <c r="U635" s="204"/>
      <c r="V635" s="204"/>
      <c r="W635" s="204"/>
      <c r="X635" s="204"/>
      <c r="Y635" s="204"/>
      <c r="Z635" s="204"/>
      <c r="AA635" s="204"/>
    </row>
    <row r="636" spans="1:27" ht="15.75" customHeight="1" x14ac:dyDescent="0.2">
      <c r="A636" s="225"/>
      <c r="B636" s="225"/>
      <c r="C636" s="225"/>
      <c r="D636" s="225"/>
      <c r="E636" s="225"/>
      <c r="F636" s="225"/>
      <c r="G636" s="225"/>
      <c r="H636" s="204"/>
      <c r="I636" s="224"/>
      <c r="J636" s="224"/>
      <c r="K636" s="224"/>
      <c r="L636" s="204"/>
      <c r="M636" s="204"/>
      <c r="N636" s="204"/>
      <c r="O636" s="204"/>
      <c r="P636" s="204"/>
      <c r="Q636" s="204"/>
      <c r="R636" s="204"/>
      <c r="S636" s="204"/>
      <c r="T636" s="204"/>
      <c r="U636" s="204"/>
      <c r="V636" s="204"/>
      <c r="W636" s="204"/>
      <c r="X636" s="204"/>
      <c r="Y636" s="204"/>
      <c r="Z636" s="204"/>
      <c r="AA636" s="204"/>
    </row>
    <row r="637" spans="1:27" ht="15.75" customHeight="1" x14ac:dyDescent="0.2">
      <c r="A637" s="225"/>
      <c r="B637" s="225"/>
      <c r="C637" s="225"/>
      <c r="D637" s="225"/>
      <c r="E637" s="225"/>
      <c r="F637" s="225"/>
      <c r="G637" s="225"/>
      <c r="H637" s="204"/>
      <c r="I637" s="224"/>
      <c r="J637" s="224"/>
      <c r="K637" s="224"/>
      <c r="L637" s="204"/>
      <c r="M637" s="204"/>
      <c r="N637" s="204"/>
      <c r="O637" s="204"/>
      <c r="P637" s="204"/>
      <c r="Q637" s="204"/>
      <c r="R637" s="204"/>
      <c r="S637" s="204"/>
      <c r="T637" s="204"/>
      <c r="U637" s="204"/>
      <c r="V637" s="204"/>
      <c r="W637" s="204"/>
      <c r="X637" s="204"/>
      <c r="Y637" s="204"/>
      <c r="Z637" s="204"/>
      <c r="AA637" s="204"/>
    </row>
    <row r="638" spans="1:27" ht="15.75" customHeight="1" x14ac:dyDescent="0.2">
      <c r="A638" s="225"/>
      <c r="B638" s="225"/>
      <c r="C638" s="225"/>
      <c r="D638" s="225"/>
      <c r="E638" s="225"/>
      <c r="F638" s="225"/>
      <c r="G638" s="225"/>
      <c r="H638" s="204"/>
      <c r="I638" s="224"/>
      <c r="J638" s="224"/>
      <c r="K638" s="224"/>
      <c r="L638" s="204"/>
      <c r="M638" s="204"/>
      <c r="N638" s="204"/>
      <c r="O638" s="204"/>
      <c r="P638" s="204"/>
      <c r="Q638" s="204"/>
      <c r="R638" s="204"/>
      <c r="S638" s="204"/>
      <c r="T638" s="204"/>
      <c r="U638" s="204"/>
      <c r="V638" s="204"/>
      <c r="W638" s="204"/>
      <c r="X638" s="204"/>
      <c r="Y638" s="204"/>
      <c r="Z638" s="204"/>
      <c r="AA638" s="204"/>
    </row>
    <row r="639" spans="1:27" ht="15.75" customHeight="1" x14ac:dyDescent="0.2">
      <c r="A639" s="225"/>
      <c r="B639" s="225"/>
      <c r="C639" s="225"/>
      <c r="D639" s="225"/>
      <c r="E639" s="225"/>
      <c r="F639" s="225"/>
      <c r="G639" s="225"/>
      <c r="H639" s="204"/>
      <c r="I639" s="224"/>
      <c r="J639" s="224"/>
      <c r="K639" s="224"/>
      <c r="L639" s="204"/>
      <c r="M639" s="204"/>
      <c r="N639" s="204"/>
      <c r="O639" s="204"/>
      <c r="P639" s="204"/>
      <c r="Q639" s="204"/>
      <c r="R639" s="204"/>
      <c r="S639" s="204"/>
      <c r="T639" s="204"/>
      <c r="U639" s="204"/>
      <c r="V639" s="204"/>
      <c r="W639" s="204"/>
      <c r="X639" s="204"/>
      <c r="Y639" s="204"/>
      <c r="Z639" s="204"/>
      <c r="AA639" s="204"/>
    </row>
    <row r="640" spans="1:27" ht="15.75" customHeight="1" x14ac:dyDescent="0.2">
      <c r="A640" s="225"/>
      <c r="B640" s="225"/>
      <c r="C640" s="225"/>
      <c r="D640" s="225"/>
      <c r="E640" s="225"/>
      <c r="F640" s="225"/>
      <c r="G640" s="225"/>
      <c r="H640" s="204"/>
      <c r="I640" s="224"/>
      <c r="J640" s="224"/>
      <c r="K640" s="224"/>
      <c r="L640" s="204"/>
      <c r="M640" s="204"/>
      <c r="N640" s="204"/>
      <c r="O640" s="204"/>
      <c r="P640" s="204"/>
      <c r="Q640" s="204"/>
      <c r="R640" s="204"/>
      <c r="S640" s="204"/>
      <c r="T640" s="204"/>
      <c r="U640" s="204"/>
      <c r="V640" s="204"/>
      <c r="W640" s="204"/>
      <c r="X640" s="204"/>
      <c r="Y640" s="204"/>
      <c r="Z640" s="204"/>
      <c r="AA640" s="204"/>
    </row>
    <row r="641" spans="1:27" ht="15.75" customHeight="1" x14ac:dyDescent="0.2">
      <c r="A641" s="225"/>
      <c r="B641" s="225"/>
      <c r="C641" s="225"/>
      <c r="D641" s="225"/>
      <c r="E641" s="225"/>
      <c r="F641" s="225"/>
      <c r="G641" s="225"/>
      <c r="H641" s="204"/>
      <c r="I641" s="224"/>
      <c r="J641" s="224"/>
      <c r="K641" s="224"/>
      <c r="L641" s="204"/>
      <c r="M641" s="204"/>
      <c r="N641" s="204"/>
      <c r="O641" s="204"/>
      <c r="P641" s="204"/>
      <c r="Q641" s="204"/>
      <c r="R641" s="204"/>
      <c r="S641" s="204"/>
      <c r="T641" s="204"/>
      <c r="U641" s="204"/>
      <c r="V641" s="204"/>
      <c r="W641" s="204"/>
      <c r="X641" s="204"/>
      <c r="Y641" s="204"/>
      <c r="Z641" s="204"/>
      <c r="AA641" s="204"/>
    </row>
    <row r="642" spans="1:27" ht="15.75" customHeight="1" x14ac:dyDescent="0.2">
      <c r="A642" s="225"/>
      <c r="B642" s="225"/>
      <c r="C642" s="225"/>
      <c r="D642" s="225"/>
      <c r="E642" s="225"/>
      <c r="F642" s="225"/>
      <c r="G642" s="225"/>
      <c r="H642" s="204"/>
      <c r="I642" s="224"/>
      <c r="J642" s="224"/>
      <c r="K642" s="224"/>
      <c r="L642" s="204"/>
      <c r="M642" s="204"/>
      <c r="N642" s="204"/>
      <c r="O642" s="204"/>
      <c r="P642" s="204"/>
      <c r="Q642" s="204"/>
      <c r="R642" s="204"/>
      <c r="S642" s="204"/>
      <c r="T642" s="204"/>
      <c r="U642" s="204"/>
      <c r="V642" s="204"/>
      <c r="W642" s="204"/>
      <c r="X642" s="204"/>
      <c r="Y642" s="204"/>
      <c r="Z642" s="204"/>
      <c r="AA642" s="204"/>
    </row>
    <row r="643" spans="1:27" ht="15.75" customHeight="1" x14ac:dyDescent="0.2">
      <c r="A643" s="225"/>
      <c r="B643" s="225"/>
      <c r="C643" s="225"/>
      <c r="D643" s="225"/>
      <c r="E643" s="225"/>
      <c r="F643" s="225"/>
      <c r="G643" s="225"/>
      <c r="H643" s="204"/>
      <c r="I643" s="224"/>
      <c r="J643" s="224"/>
      <c r="K643" s="224"/>
      <c r="L643" s="204"/>
      <c r="M643" s="204"/>
      <c r="N643" s="204"/>
      <c r="O643" s="204"/>
      <c r="P643" s="204"/>
      <c r="Q643" s="204"/>
      <c r="R643" s="204"/>
      <c r="S643" s="204"/>
      <c r="T643" s="204"/>
      <c r="U643" s="204"/>
      <c r="V643" s="204"/>
      <c r="W643" s="204"/>
      <c r="X643" s="204"/>
      <c r="Y643" s="204"/>
      <c r="Z643" s="204"/>
      <c r="AA643" s="204"/>
    </row>
    <row r="644" spans="1:27" ht="15.75" customHeight="1" x14ac:dyDescent="0.2">
      <c r="A644" s="225"/>
      <c r="B644" s="225"/>
      <c r="C644" s="225"/>
      <c r="D644" s="225"/>
      <c r="E644" s="225"/>
      <c r="F644" s="225"/>
      <c r="G644" s="225"/>
      <c r="H644" s="204"/>
      <c r="I644" s="224"/>
      <c r="J644" s="224"/>
      <c r="K644" s="224"/>
      <c r="L644" s="204"/>
      <c r="M644" s="204"/>
      <c r="N644" s="204"/>
      <c r="O644" s="204"/>
      <c r="P644" s="204"/>
      <c r="Q644" s="204"/>
      <c r="R644" s="204"/>
      <c r="S644" s="204"/>
      <c r="T644" s="204"/>
      <c r="U644" s="204"/>
      <c r="V644" s="204"/>
      <c r="W644" s="204"/>
      <c r="X644" s="204"/>
      <c r="Y644" s="204"/>
      <c r="Z644" s="204"/>
      <c r="AA644" s="204"/>
    </row>
    <row r="645" spans="1:27" ht="15.75" customHeight="1" x14ac:dyDescent="0.2">
      <c r="A645" s="225"/>
      <c r="B645" s="225"/>
      <c r="C645" s="225"/>
      <c r="D645" s="225"/>
      <c r="E645" s="225"/>
      <c r="F645" s="225"/>
      <c r="G645" s="225"/>
      <c r="H645" s="204"/>
      <c r="I645" s="224"/>
      <c r="J645" s="224"/>
      <c r="K645" s="224"/>
      <c r="L645" s="204"/>
      <c r="M645" s="204"/>
      <c r="N645" s="204"/>
      <c r="O645" s="204"/>
      <c r="P645" s="204"/>
      <c r="Q645" s="204"/>
      <c r="R645" s="204"/>
      <c r="S645" s="204"/>
      <c r="T645" s="204"/>
      <c r="U645" s="204"/>
      <c r="V645" s="204"/>
      <c r="W645" s="204"/>
      <c r="X645" s="204"/>
      <c r="Y645" s="204"/>
      <c r="Z645" s="204"/>
      <c r="AA645" s="204"/>
    </row>
    <row r="646" spans="1:27" ht="15.75" customHeight="1" x14ac:dyDescent="0.2">
      <c r="A646" s="225"/>
      <c r="B646" s="225"/>
      <c r="C646" s="225"/>
      <c r="D646" s="225"/>
      <c r="E646" s="225"/>
      <c r="F646" s="225"/>
      <c r="G646" s="225"/>
      <c r="H646" s="204"/>
      <c r="I646" s="224"/>
      <c r="J646" s="224"/>
      <c r="K646" s="224"/>
      <c r="L646" s="204"/>
      <c r="M646" s="204"/>
      <c r="N646" s="204"/>
      <c r="O646" s="204"/>
      <c r="P646" s="204"/>
      <c r="Q646" s="204"/>
      <c r="R646" s="204"/>
      <c r="S646" s="204"/>
      <c r="T646" s="204"/>
      <c r="U646" s="204"/>
      <c r="V646" s="204"/>
      <c r="W646" s="204"/>
      <c r="X646" s="204"/>
      <c r="Y646" s="204"/>
      <c r="Z646" s="204"/>
      <c r="AA646" s="204"/>
    </row>
    <row r="647" spans="1:27" ht="15.75" customHeight="1" x14ac:dyDescent="0.2">
      <c r="A647" s="225"/>
      <c r="B647" s="225"/>
      <c r="C647" s="225"/>
      <c r="D647" s="225"/>
      <c r="E647" s="225"/>
      <c r="F647" s="225"/>
      <c r="G647" s="225"/>
      <c r="H647" s="204"/>
      <c r="I647" s="224"/>
      <c r="J647" s="224"/>
      <c r="K647" s="224"/>
      <c r="L647" s="204"/>
      <c r="M647" s="204"/>
      <c r="N647" s="204"/>
      <c r="O647" s="204"/>
      <c r="P647" s="204"/>
      <c r="Q647" s="204"/>
      <c r="R647" s="204"/>
      <c r="S647" s="204"/>
      <c r="T647" s="204"/>
      <c r="U647" s="204"/>
      <c r="V647" s="204"/>
      <c r="W647" s="204"/>
      <c r="X647" s="204"/>
      <c r="Y647" s="204"/>
      <c r="Z647" s="204"/>
      <c r="AA647" s="204"/>
    </row>
    <row r="648" spans="1:27" ht="15.75" customHeight="1" x14ac:dyDescent="0.2">
      <c r="A648" s="225"/>
      <c r="B648" s="225"/>
      <c r="C648" s="225"/>
      <c r="D648" s="225"/>
      <c r="E648" s="225"/>
      <c r="F648" s="225"/>
      <c r="G648" s="225"/>
      <c r="H648" s="204"/>
      <c r="I648" s="224"/>
      <c r="J648" s="224"/>
      <c r="K648" s="224"/>
      <c r="L648" s="204"/>
      <c r="M648" s="204"/>
      <c r="N648" s="204"/>
      <c r="O648" s="204"/>
      <c r="P648" s="204"/>
      <c r="Q648" s="204"/>
      <c r="R648" s="204"/>
      <c r="S648" s="204"/>
      <c r="T648" s="204"/>
      <c r="U648" s="204"/>
      <c r="V648" s="204"/>
      <c r="W648" s="204"/>
      <c r="X648" s="204"/>
      <c r="Y648" s="204"/>
      <c r="Z648" s="204"/>
      <c r="AA648" s="204"/>
    </row>
    <row r="649" spans="1:27" ht="15.75" customHeight="1" x14ac:dyDescent="0.2">
      <c r="A649" s="225"/>
      <c r="B649" s="225"/>
      <c r="C649" s="225"/>
      <c r="D649" s="225"/>
      <c r="E649" s="225"/>
      <c r="F649" s="225"/>
      <c r="G649" s="225"/>
      <c r="H649" s="204"/>
      <c r="I649" s="224"/>
      <c r="J649" s="224"/>
      <c r="K649" s="224"/>
      <c r="L649" s="204"/>
      <c r="M649" s="204"/>
      <c r="N649" s="204"/>
      <c r="O649" s="204"/>
      <c r="P649" s="204"/>
      <c r="Q649" s="204"/>
      <c r="R649" s="204"/>
      <c r="S649" s="204"/>
      <c r="T649" s="204"/>
      <c r="U649" s="204"/>
      <c r="V649" s="204"/>
      <c r="W649" s="204"/>
      <c r="X649" s="204"/>
      <c r="Y649" s="204"/>
      <c r="Z649" s="204"/>
      <c r="AA649" s="204"/>
    </row>
    <row r="650" spans="1:27" ht="15.75" customHeight="1" x14ac:dyDescent="0.2">
      <c r="A650" s="225"/>
      <c r="B650" s="225"/>
      <c r="C650" s="225"/>
      <c r="D650" s="225"/>
      <c r="E650" s="225"/>
      <c r="F650" s="225"/>
      <c r="G650" s="225"/>
      <c r="H650" s="204"/>
      <c r="I650" s="224"/>
      <c r="J650" s="224"/>
      <c r="K650" s="224"/>
      <c r="L650" s="204"/>
      <c r="M650" s="204"/>
      <c r="N650" s="204"/>
      <c r="O650" s="204"/>
      <c r="P650" s="204"/>
      <c r="Q650" s="204"/>
      <c r="R650" s="204"/>
      <c r="S650" s="204"/>
      <c r="T650" s="204"/>
      <c r="U650" s="204"/>
      <c r="V650" s="204"/>
      <c r="W650" s="204"/>
      <c r="X650" s="204"/>
      <c r="Y650" s="204"/>
      <c r="Z650" s="204"/>
      <c r="AA650" s="204"/>
    </row>
    <row r="651" spans="1:27" ht="15.75" customHeight="1" x14ac:dyDescent="0.2">
      <c r="A651" s="225"/>
      <c r="B651" s="225"/>
      <c r="C651" s="225"/>
      <c r="D651" s="225"/>
      <c r="E651" s="225"/>
      <c r="F651" s="225"/>
      <c r="G651" s="225"/>
      <c r="H651" s="204"/>
      <c r="I651" s="224"/>
      <c r="J651" s="224"/>
      <c r="K651" s="224"/>
      <c r="L651" s="204"/>
      <c r="M651" s="204"/>
      <c r="N651" s="204"/>
      <c r="O651" s="204"/>
      <c r="P651" s="204"/>
      <c r="Q651" s="204"/>
      <c r="R651" s="204"/>
      <c r="S651" s="204"/>
      <c r="T651" s="204"/>
      <c r="U651" s="204"/>
      <c r="V651" s="204"/>
      <c r="W651" s="204"/>
      <c r="X651" s="204"/>
      <c r="Y651" s="204"/>
      <c r="Z651" s="204"/>
      <c r="AA651" s="204"/>
    </row>
    <row r="652" spans="1:27" ht="15.75" customHeight="1" x14ac:dyDescent="0.2">
      <c r="A652" s="225"/>
      <c r="B652" s="225"/>
      <c r="C652" s="225"/>
      <c r="D652" s="225"/>
      <c r="E652" s="225"/>
      <c r="F652" s="225"/>
      <c r="G652" s="225"/>
      <c r="H652" s="204"/>
      <c r="I652" s="224"/>
      <c r="J652" s="224"/>
      <c r="K652" s="224"/>
      <c r="L652" s="204"/>
      <c r="M652" s="204"/>
      <c r="N652" s="204"/>
      <c r="O652" s="204"/>
      <c r="P652" s="204"/>
      <c r="Q652" s="204"/>
      <c r="R652" s="204"/>
      <c r="S652" s="204"/>
      <c r="T652" s="204"/>
      <c r="U652" s="204"/>
      <c r="V652" s="204"/>
      <c r="W652" s="204"/>
      <c r="X652" s="204"/>
      <c r="Y652" s="204"/>
      <c r="Z652" s="204"/>
      <c r="AA652" s="204"/>
    </row>
    <row r="653" spans="1:27" ht="15.75" customHeight="1" x14ac:dyDescent="0.2">
      <c r="A653" s="225"/>
      <c r="B653" s="225"/>
      <c r="C653" s="225"/>
      <c r="D653" s="225"/>
      <c r="E653" s="225"/>
      <c r="F653" s="225"/>
      <c r="G653" s="225"/>
      <c r="H653" s="204"/>
      <c r="I653" s="224"/>
      <c r="J653" s="224"/>
      <c r="K653" s="224"/>
      <c r="L653" s="204"/>
      <c r="M653" s="204"/>
      <c r="N653" s="204"/>
      <c r="O653" s="204"/>
      <c r="P653" s="204"/>
      <c r="Q653" s="204"/>
      <c r="R653" s="204"/>
      <c r="S653" s="204"/>
      <c r="T653" s="204"/>
      <c r="U653" s="204"/>
      <c r="V653" s="204"/>
      <c r="W653" s="204"/>
      <c r="X653" s="204"/>
      <c r="Y653" s="204"/>
      <c r="Z653" s="204"/>
      <c r="AA653" s="204"/>
    </row>
    <row r="654" spans="1:27" ht="15.75" customHeight="1" x14ac:dyDescent="0.2">
      <c r="A654" s="225"/>
      <c r="B654" s="225"/>
      <c r="C654" s="225"/>
      <c r="D654" s="225"/>
      <c r="E654" s="225"/>
      <c r="F654" s="225"/>
      <c r="G654" s="225"/>
      <c r="H654" s="204"/>
      <c r="I654" s="224"/>
      <c r="J654" s="224"/>
      <c r="K654" s="224"/>
      <c r="L654" s="204"/>
      <c r="M654" s="204"/>
      <c r="N654" s="204"/>
      <c r="O654" s="204"/>
      <c r="P654" s="204"/>
      <c r="Q654" s="204"/>
      <c r="R654" s="204"/>
      <c r="S654" s="204"/>
      <c r="T654" s="204"/>
      <c r="U654" s="204"/>
      <c r="V654" s="204"/>
      <c r="W654" s="204"/>
      <c r="X654" s="204"/>
      <c r="Y654" s="204"/>
      <c r="Z654" s="204"/>
      <c r="AA654" s="204"/>
    </row>
    <row r="655" spans="1:27" ht="15.75" customHeight="1" x14ac:dyDescent="0.2">
      <c r="A655" s="225"/>
      <c r="B655" s="225"/>
      <c r="C655" s="225"/>
      <c r="D655" s="225"/>
      <c r="E655" s="225"/>
      <c r="F655" s="225"/>
      <c r="G655" s="225"/>
      <c r="H655" s="204"/>
      <c r="I655" s="224"/>
      <c r="J655" s="224"/>
      <c r="K655" s="224"/>
      <c r="L655" s="204"/>
      <c r="M655" s="204"/>
      <c r="N655" s="204"/>
      <c r="O655" s="204"/>
      <c r="P655" s="204"/>
      <c r="Q655" s="204"/>
      <c r="R655" s="204"/>
      <c r="S655" s="204"/>
      <c r="T655" s="204"/>
      <c r="U655" s="204"/>
      <c r="V655" s="204"/>
      <c r="W655" s="204"/>
      <c r="X655" s="204"/>
      <c r="Y655" s="204"/>
      <c r="Z655" s="204"/>
      <c r="AA655" s="204"/>
    </row>
    <row r="656" spans="1:27" ht="15.75" customHeight="1" x14ac:dyDescent="0.2">
      <c r="A656" s="225"/>
      <c r="B656" s="225"/>
      <c r="C656" s="225"/>
      <c r="D656" s="225"/>
      <c r="E656" s="225"/>
      <c r="F656" s="225"/>
      <c r="G656" s="225"/>
      <c r="H656" s="204"/>
      <c r="I656" s="224"/>
      <c r="J656" s="224"/>
      <c r="K656" s="224"/>
      <c r="L656" s="204"/>
      <c r="M656" s="204"/>
      <c r="N656" s="204"/>
      <c r="O656" s="204"/>
      <c r="P656" s="204"/>
      <c r="Q656" s="204"/>
      <c r="R656" s="204"/>
      <c r="S656" s="204"/>
      <c r="T656" s="204"/>
      <c r="U656" s="204"/>
      <c r="V656" s="204"/>
      <c r="W656" s="204"/>
      <c r="X656" s="204"/>
      <c r="Y656" s="204"/>
      <c r="Z656" s="204"/>
      <c r="AA656" s="204"/>
    </row>
    <row r="657" spans="1:27" ht="15.75" customHeight="1" x14ac:dyDescent="0.2">
      <c r="A657" s="225"/>
      <c r="B657" s="225"/>
      <c r="C657" s="225"/>
      <c r="D657" s="225"/>
      <c r="E657" s="225"/>
      <c r="F657" s="225"/>
      <c r="G657" s="225"/>
      <c r="H657" s="204"/>
      <c r="I657" s="224"/>
      <c r="J657" s="224"/>
      <c r="K657" s="224"/>
      <c r="L657" s="204"/>
      <c r="M657" s="204"/>
      <c r="N657" s="204"/>
      <c r="O657" s="204"/>
      <c r="P657" s="204"/>
      <c r="Q657" s="204"/>
      <c r="R657" s="204"/>
      <c r="S657" s="204"/>
      <c r="T657" s="204"/>
      <c r="U657" s="204"/>
      <c r="V657" s="204"/>
      <c r="W657" s="204"/>
      <c r="X657" s="204"/>
      <c r="Y657" s="204"/>
      <c r="Z657" s="204"/>
      <c r="AA657" s="204"/>
    </row>
    <row r="658" spans="1:27" ht="15.75" customHeight="1" x14ac:dyDescent="0.2">
      <c r="A658" s="225"/>
      <c r="B658" s="225"/>
      <c r="C658" s="225"/>
      <c r="D658" s="225"/>
      <c r="E658" s="225"/>
      <c r="F658" s="225"/>
      <c r="G658" s="225"/>
      <c r="H658" s="204"/>
      <c r="I658" s="224"/>
      <c r="J658" s="224"/>
      <c r="K658" s="224"/>
      <c r="L658" s="204"/>
      <c r="M658" s="204"/>
      <c r="N658" s="204"/>
      <c r="O658" s="204"/>
      <c r="P658" s="204"/>
      <c r="Q658" s="204"/>
      <c r="R658" s="204"/>
      <c r="S658" s="204"/>
      <c r="T658" s="204"/>
      <c r="U658" s="204"/>
      <c r="V658" s="204"/>
      <c r="W658" s="204"/>
      <c r="X658" s="204"/>
      <c r="Y658" s="204"/>
      <c r="Z658" s="204"/>
      <c r="AA658" s="204"/>
    </row>
    <row r="659" spans="1:27" ht="15.75" customHeight="1" x14ac:dyDescent="0.2">
      <c r="A659" s="225"/>
      <c r="B659" s="225"/>
      <c r="C659" s="225"/>
      <c r="D659" s="225"/>
      <c r="E659" s="225"/>
      <c r="F659" s="225"/>
      <c r="G659" s="225"/>
      <c r="H659" s="204"/>
      <c r="I659" s="224"/>
      <c r="J659" s="224"/>
      <c r="K659" s="224"/>
      <c r="L659" s="204"/>
      <c r="M659" s="204"/>
      <c r="N659" s="204"/>
      <c r="O659" s="204"/>
      <c r="P659" s="204"/>
      <c r="Q659" s="204"/>
      <c r="R659" s="204"/>
      <c r="S659" s="204"/>
      <c r="T659" s="204"/>
      <c r="U659" s="204"/>
      <c r="V659" s="204"/>
      <c r="W659" s="204"/>
      <c r="X659" s="204"/>
      <c r="Y659" s="204"/>
      <c r="Z659" s="204"/>
      <c r="AA659" s="204"/>
    </row>
    <row r="660" spans="1:27" ht="15.75" customHeight="1" x14ac:dyDescent="0.2">
      <c r="A660" s="225"/>
      <c r="B660" s="225"/>
      <c r="C660" s="225"/>
      <c r="D660" s="225"/>
      <c r="E660" s="225"/>
      <c r="F660" s="225"/>
      <c r="G660" s="225"/>
      <c r="H660" s="204"/>
      <c r="I660" s="224"/>
      <c r="J660" s="224"/>
      <c r="K660" s="224"/>
      <c r="L660" s="204"/>
      <c r="M660" s="204"/>
      <c r="N660" s="204"/>
      <c r="O660" s="204"/>
      <c r="P660" s="204"/>
      <c r="Q660" s="204"/>
      <c r="R660" s="204"/>
      <c r="S660" s="204"/>
      <c r="T660" s="204"/>
      <c r="U660" s="204"/>
      <c r="V660" s="204"/>
      <c r="W660" s="204"/>
      <c r="X660" s="204"/>
      <c r="Y660" s="204"/>
      <c r="Z660" s="204"/>
      <c r="AA660" s="204"/>
    </row>
    <row r="661" spans="1:27" ht="15.75" customHeight="1" x14ac:dyDescent="0.2">
      <c r="A661" s="225"/>
      <c r="B661" s="225"/>
      <c r="C661" s="225"/>
      <c r="D661" s="225"/>
      <c r="E661" s="225"/>
      <c r="F661" s="225"/>
      <c r="G661" s="225"/>
      <c r="H661" s="204"/>
      <c r="I661" s="224"/>
      <c r="J661" s="224"/>
      <c r="K661" s="224"/>
      <c r="L661" s="204"/>
      <c r="M661" s="204"/>
      <c r="N661" s="204"/>
      <c r="O661" s="204"/>
      <c r="P661" s="204"/>
      <c r="Q661" s="204"/>
      <c r="R661" s="204"/>
      <c r="S661" s="204"/>
      <c r="T661" s="204"/>
      <c r="U661" s="204"/>
      <c r="V661" s="204"/>
      <c r="W661" s="204"/>
      <c r="X661" s="204"/>
      <c r="Y661" s="204"/>
      <c r="Z661" s="204"/>
      <c r="AA661" s="204"/>
    </row>
    <row r="662" spans="1:27" ht="15.75" customHeight="1" x14ac:dyDescent="0.2">
      <c r="A662" s="225"/>
      <c r="B662" s="225"/>
      <c r="C662" s="225"/>
      <c r="D662" s="225"/>
      <c r="E662" s="225"/>
      <c r="F662" s="225"/>
      <c r="G662" s="225"/>
      <c r="H662" s="204"/>
      <c r="I662" s="224"/>
      <c r="J662" s="224"/>
      <c r="K662" s="224"/>
      <c r="L662" s="204"/>
      <c r="M662" s="204"/>
      <c r="N662" s="204"/>
      <c r="O662" s="204"/>
      <c r="P662" s="204"/>
      <c r="Q662" s="204"/>
      <c r="R662" s="204"/>
      <c r="S662" s="204"/>
      <c r="T662" s="204"/>
      <c r="U662" s="204"/>
      <c r="V662" s="204"/>
      <c r="W662" s="204"/>
      <c r="X662" s="204"/>
      <c r="Y662" s="204"/>
      <c r="Z662" s="204"/>
      <c r="AA662" s="204"/>
    </row>
    <row r="663" spans="1:27" ht="15.75" customHeight="1" x14ac:dyDescent="0.2">
      <c r="A663" s="225"/>
      <c r="B663" s="225"/>
      <c r="C663" s="225"/>
      <c r="D663" s="225"/>
      <c r="E663" s="225"/>
      <c r="F663" s="225"/>
      <c r="G663" s="225"/>
      <c r="H663" s="204"/>
      <c r="I663" s="224"/>
      <c r="J663" s="224"/>
      <c r="K663" s="224"/>
      <c r="L663" s="204"/>
      <c r="M663" s="204"/>
      <c r="N663" s="204"/>
      <c r="O663" s="204"/>
      <c r="P663" s="204"/>
      <c r="Q663" s="204"/>
      <c r="R663" s="204"/>
      <c r="S663" s="204"/>
      <c r="T663" s="204"/>
      <c r="U663" s="204"/>
      <c r="V663" s="204"/>
      <c r="W663" s="204"/>
      <c r="X663" s="204"/>
      <c r="Y663" s="204"/>
      <c r="Z663" s="204"/>
      <c r="AA663" s="204"/>
    </row>
    <row r="664" spans="1:27" ht="15.75" customHeight="1" x14ac:dyDescent="0.2">
      <c r="A664" s="225"/>
      <c r="B664" s="225"/>
      <c r="C664" s="225"/>
      <c r="D664" s="225"/>
      <c r="E664" s="225"/>
      <c r="F664" s="225"/>
      <c r="G664" s="225"/>
      <c r="H664" s="204"/>
      <c r="I664" s="224"/>
      <c r="J664" s="224"/>
      <c r="K664" s="224"/>
      <c r="L664" s="204"/>
      <c r="M664" s="204"/>
      <c r="N664" s="204"/>
      <c r="O664" s="204"/>
      <c r="P664" s="204"/>
      <c r="Q664" s="204"/>
      <c r="R664" s="204"/>
      <c r="S664" s="204"/>
      <c r="T664" s="204"/>
      <c r="U664" s="204"/>
      <c r="V664" s="204"/>
      <c r="W664" s="204"/>
      <c r="X664" s="204"/>
      <c r="Y664" s="204"/>
      <c r="Z664" s="204"/>
      <c r="AA664" s="204"/>
    </row>
    <row r="665" spans="1:27" ht="15.75" customHeight="1" x14ac:dyDescent="0.2">
      <c r="A665" s="225"/>
      <c r="B665" s="225"/>
      <c r="C665" s="225"/>
      <c r="D665" s="225"/>
      <c r="E665" s="225"/>
      <c r="F665" s="225"/>
      <c r="G665" s="225"/>
      <c r="H665" s="204"/>
      <c r="I665" s="224"/>
      <c r="J665" s="224"/>
      <c r="K665" s="224"/>
      <c r="L665" s="204"/>
      <c r="M665" s="204"/>
      <c r="N665" s="204"/>
      <c r="O665" s="204"/>
      <c r="P665" s="204"/>
      <c r="Q665" s="204"/>
      <c r="R665" s="204"/>
      <c r="S665" s="204"/>
      <c r="T665" s="204"/>
      <c r="U665" s="204"/>
      <c r="V665" s="204"/>
      <c r="W665" s="204"/>
      <c r="X665" s="204"/>
      <c r="Y665" s="204"/>
      <c r="Z665" s="204"/>
      <c r="AA665" s="204"/>
    </row>
    <row r="666" spans="1:27" ht="15.75" customHeight="1" x14ac:dyDescent="0.2">
      <c r="A666" s="225"/>
      <c r="B666" s="225"/>
      <c r="C666" s="225"/>
      <c r="D666" s="225"/>
      <c r="E666" s="225"/>
      <c r="F666" s="225"/>
      <c r="G666" s="225"/>
      <c r="H666" s="204"/>
      <c r="I666" s="224"/>
      <c r="J666" s="224"/>
      <c r="K666" s="224"/>
      <c r="L666" s="204"/>
      <c r="M666" s="204"/>
      <c r="N666" s="204"/>
      <c r="O666" s="204"/>
      <c r="P666" s="204"/>
      <c r="Q666" s="204"/>
      <c r="R666" s="204"/>
      <c r="S666" s="204"/>
      <c r="T666" s="204"/>
      <c r="U666" s="204"/>
      <c r="V666" s="204"/>
      <c r="W666" s="204"/>
      <c r="X666" s="204"/>
      <c r="Y666" s="204"/>
      <c r="Z666" s="204"/>
      <c r="AA666" s="204"/>
    </row>
    <row r="667" spans="1:27" ht="15.75" customHeight="1" x14ac:dyDescent="0.2">
      <c r="A667" s="225"/>
      <c r="B667" s="225"/>
      <c r="C667" s="225"/>
      <c r="D667" s="225"/>
      <c r="E667" s="225"/>
      <c r="F667" s="225"/>
      <c r="G667" s="225"/>
      <c r="H667" s="204"/>
      <c r="I667" s="224"/>
      <c r="J667" s="224"/>
      <c r="K667" s="224"/>
      <c r="L667" s="204"/>
      <c r="M667" s="204"/>
      <c r="N667" s="204"/>
      <c r="O667" s="204"/>
      <c r="P667" s="204"/>
      <c r="Q667" s="204"/>
      <c r="R667" s="204"/>
      <c r="S667" s="204"/>
      <c r="T667" s="204"/>
      <c r="U667" s="204"/>
      <c r="V667" s="204"/>
      <c r="W667" s="204"/>
      <c r="X667" s="204"/>
      <c r="Y667" s="204"/>
      <c r="Z667" s="204"/>
      <c r="AA667" s="204"/>
    </row>
    <row r="668" spans="1:27" ht="15.75" customHeight="1" x14ac:dyDescent="0.2">
      <c r="A668" s="225"/>
      <c r="B668" s="225"/>
      <c r="C668" s="225"/>
      <c r="D668" s="225"/>
      <c r="E668" s="225"/>
      <c r="F668" s="225"/>
      <c r="G668" s="225"/>
      <c r="H668" s="204"/>
      <c r="I668" s="224"/>
      <c r="J668" s="224"/>
      <c r="K668" s="224"/>
      <c r="L668" s="204"/>
      <c r="M668" s="204"/>
      <c r="N668" s="204"/>
      <c r="O668" s="204"/>
      <c r="P668" s="204"/>
      <c r="Q668" s="204"/>
      <c r="R668" s="204"/>
      <c r="S668" s="204"/>
      <c r="T668" s="204"/>
      <c r="U668" s="204"/>
      <c r="V668" s="204"/>
      <c r="W668" s="204"/>
      <c r="X668" s="204"/>
      <c r="Y668" s="204"/>
      <c r="Z668" s="204"/>
      <c r="AA668" s="204"/>
    </row>
    <row r="669" spans="1:27" ht="15.75" customHeight="1" x14ac:dyDescent="0.2">
      <c r="A669" s="225"/>
      <c r="B669" s="225"/>
      <c r="C669" s="225"/>
      <c r="D669" s="225"/>
      <c r="E669" s="225"/>
      <c r="F669" s="225"/>
      <c r="G669" s="225"/>
      <c r="H669" s="204"/>
      <c r="I669" s="224"/>
      <c r="J669" s="224"/>
      <c r="K669" s="224"/>
      <c r="L669" s="204"/>
      <c r="M669" s="204"/>
      <c r="N669" s="204"/>
      <c r="O669" s="204"/>
      <c r="P669" s="204"/>
      <c r="Q669" s="204"/>
      <c r="R669" s="204"/>
      <c r="S669" s="204"/>
      <c r="T669" s="204"/>
      <c r="U669" s="204"/>
      <c r="V669" s="204"/>
      <c r="W669" s="204"/>
      <c r="X669" s="204"/>
      <c r="Y669" s="204"/>
      <c r="Z669" s="204"/>
      <c r="AA669" s="204"/>
    </row>
    <row r="670" spans="1:27" ht="15.75" customHeight="1" x14ac:dyDescent="0.2">
      <c r="A670" s="225"/>
      <c r="B670" s="225"/>
      <c r="C670" s="225"/>
      <c r="D670" s="225"/>
      <c r="E670" s="225"/>
      <c r="F670" s="225"/>
      <c r="G670" s="225"/>
      <c r="H670" s="204"/>
      <c r="I670" s="224"/>
      <c r="J670" s="224"/>
      <c r="K670" s="224"/>
      <c r="L670" s="204"/>
      <c r="M670" s="204"/>
      <c r="N670" s="204"/>
      <c r="O670" s="204"/>
      <c r="P670" s="204"/>
      <c r="Q670" s="204"/>
      <c r="R670" s="204"/>
      <c r="S670" s="204"/>
      <c r="T670" s="204"/>
      <c r="U670" s="204"/>
      <c r="V670" s="204"/>
      <c r="W670" s="204"/>
      <c r="X670" s="204"/>
      <c r="Y670" s="204"/>
      <c r="Z670" s="204"/>
      <c r="AA670" s="204"/>
    </row>
    <row r="671" spans="1:27" ht="15.75" customHeight="1" x14ac:dyDescent="0.2">
      <c r="A671" s="225"/>
      <c r="B671" s="225"/>
      <c r="C671" s="225"/>
      <c r="D671" s="225"/>
      <c r="E671" s="225"/>
      <c r="F671" s="225"/>
      <c r="G671" s="225"/>
      <c r="H671" s="204"/>
      <c r="I671" s="224"/>
      <c r="J671" s="224"/>
      <c r="K671" s="224"/>
      <c r="L671" s="204"/>
      <c r="M671" s="204"/>
      <c r="N671" s="204"/>
      <c r="O671" s="204"/>
      <c r="P671" s="204"/>
      <c r="Q671" s="204"/>
      <c r="R671" s="204"/>
      <c r="S671" s="204"/>
      <c r="T671" s="204"/>
      <c r="U671" s="204"/>
      <c r="V671" s="204"/>
      <c r="W671" s="204"/>
      <c r="X671" s="204"/>
      <c r="Y671" s="204"/>
      <c r="Z671" s="204"/>
      <c r="AA671" s="204"/>
    </row>
    <row r="672" spans="1:27" ht="15.75" customHeight="1" x14ac:dyDescent="0.2">
      <c r="A672" s="225"/>
      <c r="B672" s="225"/>
      <c r="C672" s="225"/>
      <c r="D672" s="225"/>
      <c r="E672" s="225"/>
      <c r="F672" s="225"/>
      <c r="G672" s="225"/>
      <c r="H672" s="204"/>
      <c r="I672" s="224"/>
      <c r="J672" s="224"/>
      <c r="K672" s="224"/>
      <c r="L672" s="204"/>
      <c r="M672" s="204"/>
      <c r="N672" s="204"/>
      <c r="O672" s="204"/>
      <c r="P672" s="204"/>
      <c r="Q672" s="204"/>
      <c r="R672" s="204"/>
      <c r="S672" s="204"/>
      <c r="T672" s="204"/>
      <c r="U672" s="204"/>
      <c r="V672" s="204"/>
      <c r="W672" s="204"/>
      <c r="X672" s="204"/>
      <c r="Y672" s="204"/>
      <c r="Z672" s="204"/>
      <c r="AA672" s="204"/>
    </row>
    <row r="673" spans="1:27" ht="15.75" customHeight="1" x14ac:dyDescent="0.2">
      <c r="A673" s="225"/>
      <c r="B673" s="225"/>
      <c r="C673" s="225"/>
      <c r="D673" s="225"/>
      <c r="E673" s="225"/>
      <c r="F673" s="225"/>
      <c r="G673" s="225"/>
      <c r="H673" s="204"/>
      <c r="I673" s="224"/>
      <c r="J673" s="224"/>
      <c r="K673" s="224"/>
      <c r="L673" s="204"/>
      <c r="M673" s="204"/>
      <c r="N673" s="204"/>
      <c r="O673" s="204"/>
      <c r="P673" s="204"/>
      <c r="Q673" s="204"/>
      <c r="R673" s="204"/>
      <c r="S673" s="204"/>
      <c r="T673" s="204"/>
      <c r="U673" s="204"/>
      <c r="V673" s="204"/>
      <c r="W673" s="204"/>
      <c r="X673" s="204"/>
      <c r="Y673" s="204"/>
      <c r="Z673" s="204"/>
      <c r="AA673" s="204"/>
    </row>
    <row r="674" spans="1:27" ht="15.75" customHeight="1" x14ac:dyDescent="0.2">
      <c r="A674" s="225"/>
      <c r="B674" s="225"/>
      <c r="C674" s="225"/>
      <c r="D674" s="225"/>
      <c r="E674" s="225"/>
      <c r="F674" s="225"/>
      <c r="G674" s="225"/>
      <c r="H674" s="204"/>
      <c r="I674" s="224"/>
      <c r="J674" s="224"/>
      <c r="K674" s="224"/>
      <c r="L674" s="204"/>
      <c r="M674" s="204"/>
      <c r="N674" s="204"/>
      <c r="O674" s="204"/>
      <c r="P674" s="204"/>
      <c r="Q674" s="204"/>
      <c r="R674" s="204"/>
      <c r="S674" s="204"/>
      <c r="T674" s="204"/>
      <c r="U674" s="204"/>
      <c r="V674" s="204"/>
      <c r="W674" s="204"/>
      <c r="X674" s="204"/>
      <c r="Y674" s="204"/>
      <c r="Z674" s="204"/>
      <c r="AA674" s="204"/>
    </row>
    <row r="675" spans="1:27" ht="15.75" customHeight="1" x14ac:dyDescent="0.2">
      <c r="A675" s="225"/>
      <c r="B675" s="225"/>
      <c r="C675" s="225"/>
      <c r="D675" s="225"/>
      <c r="E675" s="225"/>
      <c r="F675" s="225"/>
      <c r="G675" s="225"/>
      <c r="H675" s="204"/>
      <c r="I675" s="224"/>
      <c r="J675" s="224"/>
      <c r="K675" s="224"/>
      <c r="L675" s="204"/>
      <c r="M675" s="204"/>
      <c r="N675" s="204"/>
      <c r="O675" s="204"/>
      <c r="P675" s="204"/>
      <c r="Q675" s="204"/>
      <c r="R675" s="204"/>
      <c r="S675" s="204"/>
      <c r="T675" s="204"/>
      <c r="U675" s="204"/>
      <c r="V675" s="204"/>
      <c r="W675" s="204"/>
      <c r="X675" s="204"/>
      <c r="Y675" s="204"/>
      <c r="Z675" s="204"/>
      <c r="AA675" s="204"/>
    </row>
    <row r="676" spans="1:27" ht="15.75" customHeight="1" x14ac:dyDescent="0.2">
      <c r="A676" s="225"/>
      <c r="B676" s="225"/>
      <c r="C676" s="225"/>
      <c r="D676" s="225"/>
      <c r="E676" s="225"/>
      <c r="F676" s="225"/>
      <c r="G676" s="225"/>
      <c r="H676" s="204"/>
      <c r="I676" s="224"/>
      <c r="J676" s="224"/>
      <c r="K676" s="224"/>
      <c r="L676" s="204"/>
      <c r="M676" s="204"/>
      <c r="N676" s="204"/>
      <c r="O676" s="204"/>
      <c r="P676" s="204"/>
      <c r="Q676" s="204"/>
      <c r="R676" s="204"/>
      <c r="S676" s="204"/>
      <c r="T676" s="204"/>
      <c r="U676" s="204"/>
      <c r="V676" s="204"/>
      <c r="W676" s="204"/>
      <c r="X676" s="204"/>
      <c r="Y676" s="204"/>
      <c r="Z676" s="204"/>
      <c r="AA676" s="204"/>
    </row>
    <row r="677" spans="1:27" ht="15.75" customHeight="1" x14ac:dyDescent="0.2">
      <c r="A677" s="225"/>
      <c r="B677" s="225"/>
      <c r="C677" s="225"/>
      <c r="D677" s="225"/>
      <c r="E677" s="225"/>
      <c r="F677" s="225"/>
      <c r="G677" s="225"/>
      <c r="H677" s="204"/>
      <c r="I677" s="224"/>
      <c r="J677" s="224"/>
      <c r="K677" s="224"/>
      <c r="L677" s="204"/>
      <c r="M677" s="204"/>
      <c r="N677" s="204"/>
      <c r="O677" s="204"/>
      <c r="P677" s="204"/>
      <c r="Q677" s="204"/>
      <c r="R677" s="204"/>
      <c r="S677" s="204"/>
      <c r="T677" s="204"/>
      <c r="U677" s="204"/>
      <c r="V677" s="204"/>
      <c r="W677" s="204"/>
      <c r="X677" s="204"/>
      <c r="Y677" s="204"/>
      <c r="Z677" s="204"/>
      <c r="AA677" s="204"/>
    </row>
    <row r="678" spans="1:27" ht="15.75" customHeight="1" x14ac:dyDescent="0.2">
      <c r="A678" s="225"/>
      <c r="B678" s="225"/>
      <c r="C678" s="225"/>
      <c r="D678" s="225"/>
      <c r="E678" s="225"/>
      <c r="F678" s="225"/>
      <c r="G678" s="225"/>
      <c r="H678" s="204"/>
      <c r="I678" s="224"/>
      <c r="J678" s="224"/>
      <c r="K678" s="224"/>
      <c r="L678" s="204"/>
      <c r="M678" s="204"/>
      <c r="N678" s="204"/>
      <c r="O678" s="204"/>
      <c r="P678" s="204"/>
      <c r="Q678" s="204"/>
      <c r="R678" s="204"/>
      <c r="S678" s="204"/>
      <c r="T678" s="204"/>
      <c r="U678" s="204"/>
      <c r="V678" s="204"/>
      <c r="W678" s="204"/>
      <c r="X678" s="204"/>
      <c r="Y678" s="204"/>
      <c r="Z678" s="204"/>
      <c r="AA678" s="204"/>
    </row>
    <row r="679" spans="1:27" ht="15.75" customHeight="1" x14ac:dyDescent="0.2">
      <c r="A679" s="225"/>
      <c r="B679" s="225"/>
      <c r="C679" s="225"/>
      <c r="D679" s="225"/>
      <c r="E679" s="225"/>
      <c r="F679" s="225"/>
      <c r="G679" s="225"/>
      <c r="H679" s="204"/>
      <c r="I679" s="224"/>
      <c r="J679" s="224"/>
      <c r="K679" s="224"/>
      <c r="L679" s="204"/>
      <c r="M679" s="204"/>
      <c r="N679" s="204"/>
      <c r="O679" s="204"/>
      <c r="P679" s="204"/>
      <c r="Q679" s="204"/>
      <c r="R679" s="204"/>
      <c r="S679" s="204"/>
      <c r="T679" s="204"/>
      <c r="U679" s="204"/>
      <c r="V679" s="204"/>
      <c r="W679" s="204"/>
      <c r="X679" s="204"/>
      <c r="Y679" s="204"/>
      <c r="Z679" s="204"/>
      <c r="AA679" s="204"/>
    </row>
    <row r="680" spans="1:27" ht="15.75" customHeight="1" x14ac:dyDescent="0.2">
      <c r="A680" s="225"/>
      <c r="B680" s="225"/>
      <c r="C680" s="225"/>
      <c r="D680" s="225"/>
      <c r="E680" s="225"/>
      <c r="F680" s="225"/>
      <c r="G680" s="225"/>
      <c r="H680" s="204"/>
      <c r="I680" s="224"/>
      <c r="J680" s="224"/>
      <c r="K680" s="224"/>
      <c r="L680" s="204"/>
      <c r="M680" s="204"/>
      <c r="N680" s="204"/>
      <c r="O680" s="204"/>
      <c r="P680" s="204"/>
      <c r="Q680" s="204"/>
      <c r="R680" s="204"/>
      <c r="S680" s="204"/>
      <c r="T680" s="204"/>
      <c r="U680" s="204"/>
      <c r="V680" s="204"/>
      <c r="W680" s="204"/>
      <c r="X680" s="204"/>
      <c r="Y680" s="204"/>
      <c r="Z680" s="204"/>
      <c r="AA680" s="204"/>
    </row>
    <row r="681" spans="1:27" ht="15.75" customHeight="1" x14ac:dyDescent="0.2">
      <c r="A681" s="225"/>
      <c r="B681" s="225"/>
      <c r="C681" s="225"/>
      <c r="D681" s="225"/>
      <c r="E681" s="225"/>
      <c r="F681" s="225"/>
      <c r="G681" s="225"/>
      <c r="H681" s="204"/>
      <c r="I681" s="224"/>
      <c r="J681" s="224"/>
      <c r="K681" s="224"/>
      <c r="L681" s="204"/>
      <c r="M681" s="204"/>
      <c r="N681" s="204"/>
      <c r="O681" s="204"/>
      <c r="P681" s="204"/>
      <c r="Q681" s="204"/>
      <c r="R681" s="204"/>
      <c r="S681" s="204"/>
      <c r="T681" s="204"/>
      <c r="U681" s="204"/>
      <c r="V681" s="204"/>
      <c r="W681" s="204"/>
      <c r="X681" s="204"/>
      <c r="Y681" s="204"/>
      <c r="Z681" s="204"/>
      <c r="AA681" s="204"/>
    </row>
    <row r="682" spans="1:27" ht="15.75" customHeight="1" x14ac:dyDescent="0.2">
      <c r="A682" s="225"/>
      <c r="B682" s="225"/>
      <c r="C682" s="225"/>
      <c r="D682" s="225"/>
      <c r="E682" s="225"/>
      <c r="F682" s="225"/>
      <c r="G682" s="225"/>
      <c r="H682" s="204"/>
      <c r="I682" s="224"/>
      <c r="J682" s="224"/>
      <c r="K682" s="224"/>
      <c r="L682" s="204"/>
      <c r="M682" s="204"/>
      <c r="N682" s="204"/>
      <c r="O682" s="204"/>
      <c r="P682" s="204"/>
      <c r="Q682" s="204"/>
      <c r="R682" s="204"/>
      <c r="S682" s="204"/>
      <c r="T682" s="204"/>
      <c r="U682" s="204"/>
      <c r="V682" s="204"/>
      <c r="W682" s="204"/>
      <c r="X682" s="204"/>
      <c r="Y682" s="204"/>
      <c r="Z682" s="204"/>
      <c r="AA682" s="204"/>
    </row>
    <row r="683" spans="1:27" ht="15.75" customHeight="1" x14ac:dyDescent="0.2">
      <c r="A683" s="225"/>
      <c r="B683" s="225"/>
      <c r="C683" s="225"/>
      <c r="D683" s="225"/>
      <c r="E683" s="225"/>
      <c r="F683" s="225"/>
      <c r="G683" s="225"/>
      <c r="H683" s="204"/>
      <c r="I683" s="224"/>
      <c r="J683" s="224"/>
      <c r="K683" s="224"/>
      <c r="L683" s="204"/>
      <c r="M683" s="204"/>
      <c r="N683" s="204"/>
      <c r="O683" s="204"/>
      <c r="P683" s="204"/>
      <c r="Q683" s="204"/>
      <c r="R683" s="204"/>
      <c r="S683" s="204"/>
      <c r="T683" s="204"/>
      <c r="U683" s="204"/>
      <c r="V683" s="204"/>
      <c r="W683" s="204"/>
      <c r="X683" s="204"/>
      <c r="Y683" s="204"/>
      <c r="Z683" s="204"/>
      <c r="AA683" s="204"/>
    </row>
    <row r="684" spans="1:27" ht="15.75" customHeight="1" x14ac:dyDescent="0.2">
      <c r="A684" s="225"/>
      <c r="B684" s="225"/>
      <c r="C684" s="225"/>
      <c r="D684" s="225"/>
      <c r="E684" s="225"/>
      <c r="F684" s="225"/>
      <c r="G684" s="225"/>
      <c r="H684" s="204"/>
      <c r="I684" s="224"/>
      <c r="J684" s="224"/>
      <c r="K684" s="224"/>
      <c r="L684" s="204"/>
      <c r="M684" s="204"/>
      <c r="N684" s="204"/>
      <c r="O684" s="204"/>
      <c r="P684" s="204"/>
      <c r="Q684" s="204"/>
      <c r="R684" s="204"/>
      <c r="S684" s="204"/>
      <c r="T684" s="204"/>
      <c r="U684" s="204"/>
      <c r="V684" s="204"/>
      <c r="W684" s="204"/>
      <c r="X684" s="204"/>
      <c r="Y684" s="204"/>
      <c r="Z684" s="204"/>
      <c r="AA684" s="204"/>
    </row>
    <row r="685" spans="1:27" ht="15.75" customHeight="1" x14ac:dyDescent="0.2">
      <c r="A685" s="225"/>
      <c r="B685" s="225"/>
      <c r="C685" s="225"/>
      <c r="D685" s="225"/>
      <c r="E685" s="225"/>
      <c r="F685" s="225"/>
      <c r="G685" s="225"/>
      <c r="H685" s="204"/>
      <c r="I685" s="224"/>
      <c r="J685" s="224"/>
      <c r="K685" s="224"/>
      <c r="L685" s="204"/>
      <c r="M685" s="204"/>
      <c r="N685" s="204"/>
      <c r="O685" s="204"/>
      <c r="P685" s="204"/>
      <c r="Q685" s="204"/>
      <c r="R685" s="204"/>
      <c r="S685" s="204"/>
      <c r="T685" s="204"/>
      <c r="U685" s="204"/>
      <c r="V685" s="204"/>
      <c r="W685" s="204"/>
      <c r="X685" s="204"/>
      <c r="Y685" s="204"/>
      <c r="Z685" s="204"/>
      <c r="AA685" s="204"/>
    </row>
    <row r="686" spans="1:27" ht="15.75" customHeight="1" x14ac:dyDescent="0.2">
      <c r="A686" s="225"/>
      <c r="B686" s="225"/>
      <c r="C686" s="225"/>
      <c r="D686" s="225"/>
      <c r="E686" s="225"/>
      <c r="F686" s="225"/>
      <c r="G686" s="225"/>
      <c r="H686" s="204"/>
      <c r="I686" s="224"/>
      <c r="J686" s="224"/>
      <c r="K686" s="224"/>
      <c r="L686" s="204"/>
      <c r="M686" s="204"/>
      <c r="N686" s="204"/>
      <c r="O686" s="204"/>
      <c r="P686" s="204"/>
      <c r="Q686" s="204"/>
      <c r="R686" s="204"/>
      <c r="S686" s="204"/>
      <c r="T686" s="204"/>
      <c r="U686" s="204"/>
      <c r="V686" s="204"/>
      <c r="W686" s="204"/>
      <c r="X686" s="204"/>
      <c r="Y686" s="204"/>
      <c r="Z686" s="204"/>
      <c r="AA686" s="204"/>
    </row>
    <row r="687" spans="1:27" ht="15.75" customHeight="1" x14ac:dyDescent="0.2">
      <c r="A687" s="225"/>
      <c r="B687" s="225"/>
      <c r="C687" s="225"/>
      <c r="D687" s="225"/>
      <c r="E687" s="225"/>
      <c r="F687" s="225"/>
      <c r="G687" s="225"/>
      <c r="H687" s="204"/>
      <c r="I687" s="224"/>
      <c r="J687" s="224"/>
      <c r="K687" s="224"/>
      <c r="L687" s="204"/>
      <c r="M687" s="204"/>
      <c r="N687" s="204"/>
      <c r="O687" s="204"/>
      <c r="P687" s="204"/>
      <c r="Q687" s="204"/>
      <c r="R687" s="204"/>
      <c r="S687" s="204"/>
      <c r="T687" s="204"/>
      <c r="U687" s="204"/>
      <c r="V687" s="204"/>
      <c r="W687" s="204"/>
      <c r="X687" s="204"/>
      <c r="Y687" s="204"/>
      <c r="Z687" s="204"/>
      <c r="AA687" s="204"/>
    </row>
    <row r="688" spans="1:27" ht="15.75" customHeight="1" x14ac:dyDescent="0.2">
      <c r="A688" s="225"/>
      <c r="B688" s="225"/>
      <c r="C688" s="225"/>
      <c r="D688" s="225"/>
      <c r="E688" s="225"/>
      <c r="F688" s="225"/>
      <c r="G688" s="225"/>
      <c r="H688" s="204"/>
      <c r="I688" s="224"/>
      <c r="J688" s="224"/>
      <c r="K688" s="224"/>
      <c r="L688" s="204"/>
      <c r="M688" s="204"/>
      <c r="N688" s="204"/>
      <c r="O688" s="204"/>
      <c r="P688" s="204"/>
      <c r="Q688" s="204"/>
      <c r="R688" s="204"/>
      <c r="S688" s="204"/>
      <c r="T688" s="204"/>
      <c r="U688" s="204"/>
      <c r="V688" s="204"/>
      <c r="W688" s="204"/>
      <c r="X688" s="204"/>
      <c r="Y688" s="204"/>
      <c r="Z688" s="204"/>
      <c r="AA688" s="204"/>
    </row>
    <row r="689" spans="1:27" ht="15.75" customHeight="1" x14ac:dyDescent="0.2">
      <c r="A689" s="225"/>
      <c r="B689" s="225"/>
      <c r="C689" s="225"/>
      <c r="D689" s="225"/>
      <c r="E689" s="225"/>
      <c r="F689" s="225"/>
      <c r="G689" s="225"/>
      <c r="H689" s="204"/>
      <c r="I689" s="224"/>
      <c r="J689" s="224"/>
      <c r="K689" s="224"/>
      <c r="L689" s="204"/>
      <c r="M689" s="204"/>
      <c r="N689" s="204"/>
      <c r="O689" s="204"/>
      <c r="P689" s="204"/>
      <c r="Q689" s="204"/>
      <c r="R689" s="204"/>
      <c r="S689" s="204"/>
      <c r="T689" s="204"/>
      <c r="U689" s="204"/>
      <c r="V689" s="204"/>
      <c r="W689" s="204"/>
      <c r="X689" s="204"/>
      <c r="Y689" s="204"/>
      <c r="Z689" s="204"/>
      <c r="AA689" s="204"/>
    </row>
    <row r="690" spans="1:27" ht="15.75" customHeight="1" x14ac:dyDescent="0.2">
      <c r="A690" s="225"/>
      <c r="B690" s="225"/>
      <c r="C690" s="225"/>
      <c r="D690" s="225"/>
      <c r="E690" s="225"/>
      <c r="F690" s="225"/>
      <c r="G690" s="225"/>
      <c r="H690" s="204"/>
      <c r="I690" s="224"/>
      <c r="J690" s="224"/>
      <c r="K690" s="224"/>
      <c r="L690" s="204"/>
      <c r="M690" s="204"/>
      <c r="N690" s="204"/>
      <c r="O690" s="204"/>
      <c r="P690" s="204"/>
      <c r="Q690" s="204"/>
      <c r="R690" s="204"/>
      <c r="S690" s="204"/>
      <c r="T690" s="204"/>
      <c r="U690" s="204"/>
      <c r="V690" s="204"/>
      <c r="W690" s="204"/>
      <c r="X690" s="204"/>
      <c r="Y690" s="204"/>
      <c r="Z690" s="204"/>
      <c r="AA690" s="204"/>
    </row>
    <row r="691" spans="1:27" ht="15.75" customHeight="1" x14ac:dyDescent="0.2">
      <c r="A691" s="225"/>
      <c r="B691" s="225"/>
      <c r="C691" s="225"/>
      <c r="D691" s="225"/>
      <c r="E691" s="225"/>
      <c r="F691" s="225"/>
      <c r="G691" s="225"/>
      <c r="H691" s="204"/>
      <c r="I691" s="224"/>
      <c r="J691" s="224"/>
      <c r="K691" s="224"/>
      <c r="L691" s="204"/>
      <c r="M691" s="204"/>
      <c r="N691" s="204"/>
      <c r="O691" s="204"/>
      <c r="P691" s="204"/>
      <c r="Q691" s="204"/>
      <c r="R691" s="204"/>
      <c r="S691" s="204"/>
      <c r="T691" s="204"/>
      <c r="U691" s="204"/>
      <c r="V691" s="204"/>
      <c r="W691" s="204"/>
      <c r="X691" s="204"/>
      <c r="Y691" s="204"/>
      <c r="Z691" s="204"/>
      <c r="AA691" s="204"/>
    </row>
    <row r="692" spans="1:27" ht="15.75" customHeight="1" x14ac:dyDescent="0.2">
      <c r="A692" s="225"/>
      <c r="B692" s="225"/>
      <c r="C692" s="225"/>
      <c r="D692" s="225"/>
      <c r="E692" s="225"/>
      <c r="F692" s="225"/>
      <c r="G692" s="225"/>
      <c r="H692" s="204"/>
      <c r="I692" s="224"/>
      <c r="J692" s="224"/>
      <c r="K692" s="224"/>
      <c r="L692" s="204"/>
      <c r="M692" s="204"/>
      <c r="N692" s="204"/>
      <c r="O692" s="204"/>
      <c r="P692" s="204"/>
      <c r="Q692" s="204"/>
      <c r="R692" s="204"/>
      <c r="S692" s="204"/>
      <c r="T692" s="204"/>
      <c r="U692" s="204"/>
      <c r="V692" s="204"/>
      <c r="W692" s="204"/>
      <c r="X692" s="204"/>
      <c r="Y692" s="204"/>
      <c r="Z692" s="204"/>
      <c r="AA692" s="204"/>
    </row>
    <row r="693" spans="1:27" ht="15.75" customHeight="1" x14ac:dyDescent="0.2">
      <c r="A693" s="225"/>
      <c r="B693" s="225"/>
      <c r="C693" s="225"/>
      <c r="D693" s="225"/>
      <c r="E693" s="225"/>
      <c r="F693" s="225"/>
      <c r="G693" s="225"/>
      <c r="H693" s="204"/>
      <c r="I693" s="224"/>
      <c r="J693" s="224"/>
      <c r="K693" s="224"/>
      <c r="L693" s="204"/>
      <c r="M693" s="204"/>
      <c r="N693" s="204"/>
      <c r="O693" s="204"/>
      <c r="P693" s="204"/>
      <c r="Q693" s="204"/>
      <c r="R693" s="204"/>
      <c r="S693" s="204"/>
      <c r="T693" s="204"/>
      <c r="U693" s="204"/>
      <c r="V693" s="204"/>
      <c r="W693" s="204"/>
      <c r="X693" s="204"/>
      <c r="Y693" s="204"/>
      <c r="Z693" s="204"/>
      <c r="AA693" s="204"/>
    </row>
    <row r="694" spans="1:27" ht="15.75" customHeight="1" x14ac:dyDescent="0.2">
      <c r="A694" s="225"/>
      <c r="B694" s="225"/>
      <c r="C694" s="225"/>
      <c r="D694" s="225"/>
      <c r="E694" s="225"/>
      <c r="F694" s="225"/>
      <c r="G694" s="225"/>
      <c r="H694" s="204"/>
      <c r="I694" s="224"/>
      <c r="J694" s="224"/>
      <c r="K694" s="224"/>
      <c r="L694" s="204"/>
      <c r="M694" s="204"/>
      <c r="N694" s="204"/>
      <c r="O694" s="204"/>
      <c r="P694" s="204"/>
      <c r="Q694" s="204"/>
      <c r="R694" s="204"/>
      <c r="S694" s="204"/>
      <c r="T694" s="204"/>
      <c r="U694" s="204"/>
      <c r="V694" s="204"/>
      <c r="W694" s="204"/>
      <c r="X694" s="204"/>
      <c r="Y694" s="204"/>
      <c r="Z694" s="204"/>
      <c r="AA694" s="204"/>
    </row>
    <row r="695" spans="1:27" ht="15.75" customHeight="1" x14ac:dyDescent="0.2">
      <c r="A695" s="225"/>
      <c r="B695" s="225"/>
      <c r="C695" s="225"/>
      <c r="D695" s="225"/>
      <c r="E695" s="225"/>
      <c r="F695" s="225"/>
      <c r="G695" s="225"/>
      <c r="H695" s="204"/>
      <c r="I695" s="224"/>
      <c r="J695" s="224"/>
      <c r="K695" s="224"/>
      <c r="L695" s="204"/>
      <c r="M695" s="204"/>
      <c r="N695" s="204"/>
      <c r="O695" s="204"/>
      <c r="P695" s="204"/>
      <c r="Q695" s="204"/>
      <c r="R695" s="204"/>
      <c r="S695" s="204"/>
      <c r="T695" s="204"/>
      <c r="U695" s="204"/>
      <c r="V695" s="204"/>
      <c r="W695" s="204"/>
      <c r="X695" s="204"/>
      <c r="Y695" s="204"/>
      <c r="Z695" s="204"/>
      <c r="AA695" s="204"/>
    </row>
    <row r="696" spans="1:27" ht="15.75" customHeight="1" x14ac:dyDescent="0.2">
      <c r="A696" s="225"/>
      <c r="B696" s="225"/>
      <c r="C696" s="225"/>
      <c r="D696" s="225"/>
      <c r="E696" s="225"/>
      <c r="F696" s="225"/>
      <c r="G696" s="225"/>
      <c r="H696" s="204"/>
      <c r="I696" s="224"/>
      <c r="J696" s="224"/>
      <c r="K696" s="224"/>
      <c r="L696" s="204"/>
      <c r="M696" s="204"/>
      <c r="N696" s="204"/>
      <c r="O696" s="204"/>
      <c r="P696" s="204"/>
      <c r="Q696" s="204"/>
      <c r="R696" s="204"/>
      <c r="S696" s="204"/>
      <c r="T696" s="204"/>
      <c r="U696" s="204"/>
      <c r="V696" s="204"/>
      <c r="W696" s="204"/>
      <c r="X696" s="204"/>
      <c r="Y696" s="204"/>
      <c r="Z696" s="204"/>
      <c r="AA696" s="204"/>
    </row>
    <row r="697" spans="1:27" ht="15.75" customHeight="1" x14ac:dyDescent="0.2">
      <c r="A697" s="225"/>
      <c r="B697" s="225"/>
      <c r="C697" s="225"/>
      <c r="D697" s="225"/>
      <c r="E697" s="225"/>
      <c r="F697" s="225"/>
      <c r="G697" s="225"/>
      <c r="H697" s="204"/>
      <c r="I697" s="224"/>
      <c r="J697" s="224"/>
      <c r="K697" s="224"/>
      <c r="L697" s="204"/>
      <c r="M697" s="204"/>
      <c r="N697" s="204"/>
      <c r="O697" s="204"/>
      <c r="P697" s="204"/>
      <c r="Q697" s="204"/>
      <c r="R697" s="204"/>
      <c r="S697" s="204"/>
      <c r="T697" s="204"/>
      <c r="U697" s="204"/>
      <c r="V697" s="204"/>
      <c r="W697" s="204"/>
      <c r="X697" s="204"/>
      <c r="Y697" s="204"/>
      <c r="Z697" s="204"/>
      <c r="AA697" s="204"/>
    </row>
    <row r="698" spans="1:27" ht="15.75" customHeight="1" x14ac:dyDescent="0.2">
      <c r="A698" s="225"/>
      <c r="B698" s="225"/>
      <c r="C698" s="225"/>
      <c r="D698" s="225"/>
      <c r="E698" s="225"/>
      <c r="F698" s="225"/>
      <c r="G698" s="225"/>
      <c r="H698" s="204"/>
      <c r="I698" s="224"/>
      <c r="J698" s="224"/>
      <c r="K698" s="224"/>
      <c r="L698" s="204"/>
      <c r="M698" s="204"/>
      <c r="N698" s="204"/>
      <c r="O698" s="204"/>
      <c r="P698" s="204"/>
      <c r="Q698" s="204"/>
      <c r="R698" s="204"/>
      <c r="S698" s="204"/>
      <c r="T698" s="204"/>
      <c r="U698" s="204"/>
      <c r="V698" s="204"/>
      <c r="W698" s="204"/>
      <c r="X698" s="204"/>
      <c r="Y698" s="204"/>
      <c r="Z698" s="204"/>
      <c r="AA698" s="204"/>
    </row>
    <row r="699" spans="1:27" ht="15.75" customHeight="1" x14ac:dyDescent="0.2">
      <c r="A699" s="225"/>
      <c r="B699" s="225"/>
      <c r="C699" s="225"/>
      <c r="D699" s="225"/>
      <c r="E699" s="225"/>
      <c r="F699" s="225"/>
      <c r="G699" s="225"/>
      <c r="H699" s="204"/>
      <c r="I699" s="224"/>
      <c r="J699" s="224"/>
      <c r="K699" s="224"/>
      <c r="L699" s="204"/>
      <c r="M699" s="204"/>
      <c r="N699" s="204"/>
      <c r="O699" s="204"/>
      <c r="P699" s="204"/>
      <c r="Q699" s="204"/>
      <c r="R699" s="204"/>
      <c r="S699" s="204"/>
      <c r="T699" s="204"/>
      <c r="U699" s="204"/>
      <c r="V699" s="204"/>
      <c r="W699" s="204"/>
      <c r="X699" s="204"/>
      <c r="Y699" s="204"/>
      <c r="Z699" s="204"/>
      <c r="AA699" s="204"/>
    </row>
    <row r="700" spans="1:27" ht="15.75" customHeight="1" x14ac:dyDescent="0.2">
      <c r="A700" s="225"/>
      <c r="B700" s="225"/>
      <c r="C700" s="225"/>
      <c r="D700" s="225"/>
      <c r="E700" s="225"/>
      <c r="F700" s="225"/>
      <c r="G700" s="225"/>
      <c r="H700" s="204"/>
      <c r="I700" s="224"/>
      <c r="J700" s="224"/>
      <c r="K700" s="224"/>
      <c r="L700" s="204"/>
      <c r="M700" s="204"/>
      <c r="N700" s="204"/>
      <c r="O700" s="204"/>
      <c r="P700" s="204"/>
      <c r="Q700" s="204"/>
      <c r="R700" s="204"/>
      <c r="S700" s="204"/>
      <c r="T700" s="204"/>
      <c r="U700" s="204"/>
      <c r="V700" s="204"/>
      <c r="W700" s="204"/>
      <c r="X700" s="204"/>
      <c r="Y700" s="204"/>
      <c r="Z700" s="204"/>
      <c r="AA700" s="204"/>
    </row>
    <row r="701" spans="1:27" ht="15.75" customHeight="1" x14ac:dyDescent="0.2">
      <c r="A701" s="225"/>
      <c r="B701" s="225"/>
      <c r="C701" s="225"/>
      <c r="D701" s="225"/>
      <c r="E701" s="225"/>
      <c r="F701" s="225"/>
      <c r="G701" s="225"/>
      <c r="H701" s="204"/>
      <c r="I701" s="224"/>
      <c r="J701" s="224"/>
      <c r="K701" s="224"/>
      <c r="L701" s="204"/>
      <c r="M701" s="204"/>
      <c r="N701" s="204"/>
      <c r="O701" s="204"/>
      <c r="P701" s="204"/>
      <c r="Q701" s="204"/>
      <c r="R701" s="204"/>
      <c r="S701" s="204"/>
      <c r="T701" s="204"/>
      <c r="U701" s="204"/>
      <c r="V701" s="204"/>
      <c r="W701" s="204"/>
      <c r="X701" s="204"/>
      <c r="Y701" s="204"/>
      <c r="Z701" s="204"/>
      <c r="AA701" s="204"/>
    </row>
    <row r="702" spans="1:27" ht="15.75" customHeight="1" x14ac:dyDescent="0.2">
      <c r="A702" s="225"/>
      <c r="B702" s="225"/>
      <c r="C702" s="225"/>
      <c r="D702" s="225"/>
      <c r="E702" s="225"/>
      <c r="F702" s="225"/>
      <c r="G702" s="225"/>
      <c r="H702" s="204"/>
      <c r="I702" s="224"/>
      <c r="J702" s="224"/>
      <c r="K702" s="224"/>
      <c r="L702" s="204"/>
      <c r="M702" s="204"/>
      <c r="N702" s="204"/>
      <c r="O702" s="204"/>
      <c r="P702" s="204"/>
      <c r="Q702" s="204"/>
      <c r="R702" s="204"/>
      <c r="S702" s="204"/>
      <c r="T702" s="204"/>
      <c r="U702" s="204"/>
      <c r="V702" s="204"/>
      <c r="W702" s="204"/>
      <c r="X702" s="204"/>
      <c r="Y702" s="204"/>
      <c r="Z702" s="204"/>
      <c r="AA702" s="204"/>
    </row>
    <row r="703" spans="1:27" ht="15.75" customHeight="1" x14ac:dyDescent="0.2">
      <c r="A703" s="225"/>
      <c r="B703" s="225"/>
      <c r="C703" s="225"/>
      <c r="D703" s="225"/>
      <c r="E703" s="225"/>
      <c r="F703" s="225"/>
      <c r="G703" s="225"/>
      <c r="H703" s="204"/>
      <c r="I703" s="224"/>
      <c r="J703" s="224"/>
      <c r="K703" s="224"/>
      <c r="L703" s="204"/>
      <c r="M703" s="204"/>
      <c r="N703" s="204"/>
      <c r="O703" s="204"/>
      <c r="P703" s="204"/>
      <c r="Q703" s="204"/>
      <c r="R703" s="204"/>
      <c r="S703" s="204"/>
      <c r="T703" s="204"/>
      <c r="U703" s="204"/>
      <c r="V703" s="204"/>
      <c r="W703" s="204"/>
      <c r="X703" s="204"/>
      <c r="Y703" s="204"/>
      <c r="Z703" s="204"/>
      <c r="AA703" s="204"/>
    </row>
    <row r="704" spans="1:27" ht="15.75" customHeight="1" x14ac:dyDescent="0.2">
      <c r="A704" s="225"/>
      <c r="B704" s="225"/>
      <c r="C704" s="225"/>
      <c r="D704" s="225"/>
      <c r="E704" s="225"/>
      <c r="F704" s="225"/>
      <c r="G704" s="225"/>
      <c r="H704" s="204"/>
      <c r="I704" s="224"/>
      <c r="J704" s="224"/>
      <c r="K704" s="224"/>
      <c r="L704" s="204"/>
      <c r="M704" s="204"/>
      <c r="N704" s="204"/>
      <c r="O704" s="204"/>
      <c r="P704" s="204"/>
      <c r="Q704" s="204"/>
      <c r="R704" s="204"/>
      <c r="S704" s="204"/>
      <c r="T704" s="204"/>
      <c r="U704" s="204"/>
      <c r="V704" s="204"/>
      <c r="W704" s="204"/>
      <c r="X704" s="204"/>
      <c r="Y704" s="204"/>
      <c r="Z704" s="204"/>
      <c r="AA704" s="204"/>
    </row>
    <row r="705" spans="1:27" ht="15.75" customHeight="1" x14ac:dyDescent="0.2">
      <c r="A705" s="225"/>
      <c r="B705" s="225"/>
      <c r="C705" s="225"/>
      <c r="D705" s="225"/>
      <c r="E705" s="225"/>
      <c r="F705" s="225"/>
      <c r="G705" s="225"/>
      <c r="H705" s="204"/>
      <c r="I705" s="224"/>
      <c r="J705" s="224"/>
      <c r="K705" s="224"/>
      <c r="L705" s="204"/>
      <c r="M705" s="204"/>
      <c r="N705" s="204"/>
      <c r="O705" s="204"/>
      <c r="P705" s="204"/>
      <c r="Q705" s="204"/>
      <c r="R705" s="204"/>
      <c r="S705" s="204"/>
      <c r="T705" s="204"/>
      <c r="U705" s="204"/>
      <c r="V705" s="204"/>
      <c r="W705" s="204"/>
      <c r="X705" s="204"/>
      <c r="Y705" s="204"/>
      <c r="Z705" s="204"/>
      <c r="AA705" s="204"/>
    </row>
    <row r="706" spans="1:27" ht="15.75" customHeight="1" x14ac:dyDescent="0.2">
      <c r="A706" s="225"/>
      <c r="B706" s="225"/>
      <c r="C706" s="225"/>
      <c r="D706" s="225"/>
      <c r="E706" s="225"/>
      <c r="F706" s="225"/>
      <c r="G706" s="225"/>
      <c r="H706" s="204"/>
      <c r="I706" s="224"/>
      <c r="J706" s="224"/>
      <c r="K706" s="224"/>
      <c r="L706" s="204"/>
      <c r="M706" s="204"/>
      <c r="N706" s="204"/>
      <c r="O706" s="204"/>
      <c r="P706" s="204"/>
      <c r="Q706" s="204"/>
      <c r="R706" s="204"/>
      <c r="S706" s="204"/>
      <c r="T706" s="204"/>
      <c r="U706" s="204"/>
      <c r="V706" s="204"/>
      <c r="W706" s="204"/>
      <c r="X706" s="204"/>
      <c r="Y706" s="204"/>
      <c r="Z706" s="204"/>
      <c r="AA706" s="204"/>
    </row>
    <row r="707" spans="1:27" ht="15.75" customHeight="1" x14ac:dyDescent="0.2">
      <c r="A707" s="225"/>
      <c r="B707" s="225"/>
      <c r="C707" s="225"/>
      <c r="D707" s="225"/>
      <c r="E707" s="225"/>
      <c r="F707" s="225"/>
      <c r="G707" s="225"/>
      <c r="H707" s="204"/>
      <c r="I707" s="224"/>
      <c r="J707" s="224"/>
      <c r="K707" s="224"/>
      <c r="L707" s="204"/>
      <c r="M707" s="204"/>
      <c r="N707" s="204"/>
      <c r="O707" s="204"/>
      <c r="P707" s="204"/>
      <c r="Q707" s="204"/>
      <c r="R707" s="204"/>
      <c r="S707" s="204"/>
      <c r="T707" s="204"/>
      <c r="U707" s="204"/>
      <c r="V707" s="204"/>
      <c r="W707" s="204"/>
      <c r="X707" s="204"/>
      <c r="Y707" s="204"/>
      <c r="Z707" s="204"/>
      <c r="AA707" s="204"/>
    </row>
    <row r="708" spans="1:27" ht="15.75" customHeight="1" x14ac:dyDescent="0.2">
      <c r="A708" s="225"/>
      <c r="B708" s="225"/>
      <c r="C708" s="225"/>
      <c r="D708" s="225"/>
      <c r="E708" s="225"/>
      <c r="F708" s="225"/>
      <c r="G708" s="225"/>
      <c r="H708" s="204"/>
      <c r="I708" s="224"/>
      <c r="J708" s="224"/>
      <c r="K708" s="224"/>
      <c r="L708" s="204"/>
      <c r="M708" s="204"/>
      <c r="N708" s="204"/>
      <c r="O708" s="204"/>
      <c r="P708" s="204"/>
      <c r="Q708" s="204"/>
      <c r="R708" s="204"/>
      <c r="S708" s="204"/>
      <c r="T708" s="204"/>
      <c r="U708" s="204"/>
      <c r="V708" s="204"/>
      <c r="W708" s="204"/>
      <c r="X708" s="204"/>
      <c r="Y708" s="204"/>
      <c r="Z708" s="204"/>
      <c r="AA708" s="204"/>
    </row>
    <row r="709" spans="1:27" ht="15.75" customHeight="1" x14ac:dyDescent="0.2">
      <c r="A709" s="225"/>
      <c r="B709" s="225"/>
      <c r="C709" s="225"/>
      <c r="D709" s="225"/>
      <c r="E709" s="225"/>
      <c r="F709" s="225"/>
      <c r="G709" s="225"/>
      <c r="H709" s="204"/>
      <c r="I709" s="224"/>
      <c r="J709" s="224"/>
      <c r="K709" s="224"/>
      <c r="L709" s="204"/>
      <c r="M709" s="204"/>
      <c r="N709" s="204"/>
      <c r="O709" s="204"/>
      <c r="P709" s="204"/>
      <c r="Q709" s="204"/>
      <c r="R709" s="204"/>
      <c r="S709" s="204"/>
      <c r="T709" s="204"/>
      <c r="U709" s="204"/>
      <c r="V709" s="204"/>
      <c r="W709" s="204"/>
      <c r="X709" s="204"/>
      <c r="Y709" s="204"/>
      <c r="Z709" s="204"/>
      <c r="AA709" s="204"/>
    </row>
    <row r="710" spans="1:27" ht="15.75" customHeight="1" x14ac:dyDescent="0.2">
      <c r="A710" s="225"/>
      <c r="B710" s="225"/>
      <c r="C710" s="225"/>
      <c r="D710" s="225"/>
      <c r="E710" s="225"/>
      <c r="F710" s="225"/>
      <c r="G710" s="225"/>
      <c r="H710" s="204"/>
      <c r="I710" s="224"/>
      <c r="J710" s="224"/>
      <c r="K710" s="224"/>
      <c r="L710" s="204"/>
      <c r="M710" s="204"/>
      <c r="N710" s="204"/>
      <c r="O710" s="204"/>
      <c r="P710" s="204"/>
      <c r="Q710" s="204"/>
      <c r="R710" s="204"/>
      <c r="S710" s="204"/>
      <c r="T710" s="204"/>
      <c r="U710" s="204"/>
      <c r="V710" s="204"/>
      <c r="W710" s="204"/>
      <c r="X710" s="204"/>
      <c r="Y710" s="204"/>
      <c r="Z710" s="204"/>
      <c r="AA710" s="204"/>
    </row>
    <row r="711" spans="1:27" ht="15.75" customHeight="1" x14ac:dyDescent="0.2">
      <c r="A711" s="225"/>
      <c r="B711" s="225"/>
      <c r="C711" s="225"/>
      <c r="D711" s="225"/>
      <c r="E711" s="225"/>
      <c r="F711" s="225"/>
      <c r="G711" s="225"/>
      <c r="H711" s="204"/>
      <c r="I711" s="224"/>
      <c r="J711" s="224"/>
      <c r="K711" s="224"/>
      <c r="L711" s="204"/>
      <c r="M711" s="204"/>
      <c r="N711" s="204"/>
      <c r="O711" s="204"/>
      <c r="P711" s="204"/>
      <c r="Q711" s="204"/>
      <c r="R711" s="204"/>
      <c r="S711" s="204"/>
      <c r="T711" s="204"/>
      <c r="U711" s="204"/>
      <c r="V711" s="204"/>
      <c r="W711" s="204"/>
      <c r="X711" s="204"/>
      <c r="Y711" s="204"/>
      <c r="Z711" s="204"/>
      <c r="AA711" s="204"/>
    </row>
    <row r="712" spans="1:27" ht="15.75" customHeight="1" x14ac:dyDescent="0.2">
      <c r="A712" s="225"/>
      <c r="B712" s="225"/>
      <c r="C712" s="225"/>
      <c r="D712" s="225"/>
      <c r="E712" s="225"/>
      <c r="F712" s="225"/>
      <c r="G712" s="225"/>
      <c r="H712" s="204"/>
      <c r="I712" s="224"/>
      <c r="J712" s="224"/>
      <c r="K712" s="224"/>
      <c r="L712" s="204"/>
      <c r="M712" s="204"/>
      <c r="N712" s="204"/>
      <c r="O712" s="204"/>
      <c r="P712" s="204"/>
      <c r="Q712" s="204"/>
      <c r="R712" s="204"/>
      <c r="S712" s="204"/>
      <c r="T712" s="204"/>
      <c r="U712" s="204"/>
      <c r="V712" s="204"/>
      <c r="W712" s="204"/>
      <c r="X712" s="204"/>
      <c r="Y712" s="204"/>
      <c r="Z712" s="204"/>
      <c r="AA712" s="204"/>
    </row>
    <row r="713" spans="1:27" ht="15.75" customHeight="1" x14ac:dyDescent="0.2">
      <c r="A713" s="225"/>
      <c r="B713" s="225"/>
      <c r="C713" s="225"/>
      <c r="D713" s="225"/>
      <c r="E713" s="225"/>
      <c r="F713" s="225"/>
      <c r="G713" s="225"/>
      <c r="H713" s="204"/>
      <c r="I713" s="224"/>
      <c r="J713" s="224"/>
      <c r="K713" s="224"/>
      <c r="L713" s="204"/>
      <c r="M713" s="204"/>
      <c r="N713" s="204"/>
      <c r="O713" s="204"/>
      <c r="P713" s="204"/>
      <c r="Q713" s="204"/>
      <c r="R713" s="204"/>
      <c r="S713" s="204"/>
      <c r="T713" s="204"/>
      <c r="U713" s="204"/>
      <c r="V713" s="204"/>
      <c r="W713" s="204"/>
      <c r="X713" s="204"/>
      <c r="Y713" s="204"/>
      <c r="Z713" s="204"/>
      <c r="AA713" s="204"/>
    </row>
    <row r="714" spans="1:27" ht="15.75" customHeight="1" x14ac:dyDescent="0.2">
      <c r="A714" s="225"/>
      <c r="B714" s="225"/>
      <c r="C714" s="225"/>
      <c r="D714" s="225"/>
      <c r="E714" s="225"/>
      <c r="F714" s="225"/>
      <c r="G714" s="225"/>
      <c r="H714" s="204"/>
      <c r="I714" s="224"/>
      <c r="J714" s="224"/>
      <c r="K714" s="224"/>
      <c r="L714" s="204"/>
      <c r="M714" s="204"/>
      <c r="N714" s="204"/>
      <c r="O714" s="204"/>
      <c r="P714" s="204"/>
      <c r="Q714" s="204"/>
      <c r="R714" s="204"/>
      <c r="S714" s="204"/>
      <c r="T714" s="204"/>
      <c r="U714" s="204"/>
      <c r="V714" s="204"/>
      <c r="W714" s="204"/>
      <c r="X714" s="204"/>
      <c r="Y714" s="204"/>
      <c r="Z714" s="204"/>
      <c r="AA714" s="204"/>
    </row>
    <row r="715" spans="1:27" ht="15.75" customHeight="1" x14ac:dyDescent="0.2">
      <c r="A715" s="225"/>
      <c r="B715" s="225"/>
      <c r="C715" s="225"/>
      <c r="D715" s="225"/>
      <c r="E715" s="225"/>
      <c r="F715" s="225"/>
      <c r="G715" s="225"/>
      <c r="H715" s="204"/>
      <c r="I715" s="224"/>
      <c r="J715" s="224"/>
      <c r="K715" s="224"/>
      <c r="L715" s="204"/>
      <c r="M715" s="204"/>
      <c r="N715" s="204"/>
      <c r="O715" s="204"/>
      <c r="P715" s="204"/>
      <c r="Q715" s="204"/>
      <c r="R715" s="204"/>
      <c r="S715" s="204"/>
      <c r="T715" s="204"/>
      <c r="U715" s="204"/>
      <c r="V715" s="204"/>
      <c r="W715" s="204"/>
      <c r="X715" s="204"/>
      <c r="Y715" s="204"/>
      <c r="Z715" s="204"/>
      <c r="AA715" s="204"/>
    </row>
    <row r="716" spans="1:27" ht="15.75" customHeight="1" x14ac:dyDescent="0.2">
      <c r="A716" s="225"/>
      <c r="B716" s="225"/>
      <c r="C716" s="225"/>
      <c r="D716" s="225"/>
      <c r="E716" s="225"/>
      <c r="F716" s="225"/>
      <c r="G716" s="225"/>
      <c r="H716" s="204"/>
      <c r="I716" s="224"/>
      <c r="J716" s="224"/>
      <c r="K716" s="224"/>
      <c r="L716" s="204"/>
      <c r="M716" s="204"/>
      <c r="N716" s="204"/>
      <c r="O716" s="204"/>
      <c r="P716" s="204"/>
      <c r="Q716" s="204"/>
      <c r="R716" s="204"/>
      <c r="S716" s="204"/>
      <c r="T716" s="204"/>
      <c r="U716" s="204"/>
      <c r="V716" s="204"/>
      <c r="W716" s="204"/>
      <c r="X716" s="204"/>
      <c r="Y716" s="204"/>
      <c r="Z716" s="204"/>
      <c r="AA716" s="204"/>
    </row>
    <row r="717" spans="1:27" ht="15.75" customHeight="1" x14ac:dyDescent="0.2">
      <c r="A717" s="225"/>
      <c r="B717" s="225"/>
      <c r="C717" s="225"/>
      <c r="D717" s="225"/>
      <c r="E717" s="225"/>
      <c r="F717" s="225"/>
      <c r="G717" s="225"/>
      <c r="H717" s="204"/>
      <c r="I717" s="224"/>
      <c r="J717" s="224"/>
      <c r="K717" s="224"/>
      <c r="L717" s="204"/>
      <c r="M717" s="204"/>
      <c r="N717" s="204"/>
      <c r="O717" s="204"/>
      <c r="P717" s="204"/>
      <c r="Q717" s="204"/>
      <c r="R717" s="204"/>
      <c r="S717" s="204"/>
      <c r="T717" s="204"/>
      <c r="U717" s="204"/>
      <c r="V717" s="204"/>
      <c r="W717" s="204"/>
      <c r="X717" s="204"/>
      <c r="Y717" s="204"/>
      <c r="Z717" s="204"/>
      <c r="AA717" s="204"/>
    </row>
    <row r="718" spans="1:27" ht="15.75" customHeight="1" x14ac:dyDescent="0.2">
      <c r="A718" s="225"/>
      <c r="B718" s="225"/>
      <c r="C718" s="225"/>
      <c r="D718" s="225"/>
      <c r="E718" s="225"/>
      <c r="F718" s="225"/>
      <c r="G718" s="225"/>
      <c r="H718" s="204"/>
      <c r="I718" s="224"/>
      <c r="J718" s="224"/>
      <c r="K718" s="224"/>
      <c r="L718" s="204"/>
      <c r="M718" s="204"/>
      <c r="N718" s="204"/>
      <c r="O718" s="204"/>
      <c r="P718" s="204"/>
      <c r="Q718" s="204"/>
      <c r="R718" s="204"/>
      <c r="S718" s="204"/>
      <c r="T718" s="204"/>
      <c r="U718" s="204"/>
      <c r="V718" s="204"/>
      <c r="W718" s="204"/>
      <c r="X718" s="204"/>
      <c r="Y718" s="204"/>
      <c r="Z718" s="204"/>
      <c r="AA718" s="204"/>
    </row>
    <row r="719" spans="1:27" ht="15.75" customHeight="1" x14ac:dyDescent="0.2">
      <c r="A719" s="225"/>
      <c r="B719" s="225"/>
      <c r="C719" s="225"/>
      <c r="D719" s="225"/>
      <c r="E719" s="225"/>
      <c r="F719" s="225"/>
      <c r="G719" s="225"/>
      <c r="H719" s="204"/>
      <c r="I719" s="224"/>
      <c r="J719" s="224"/>
      <c r="K719" s="224"/>
      <c r="L719" s="204"/>
      <c r="M719" s="204"/>
      <c r="N719" s="204"/>
      <c r="O719" s="204"/>
      <c r="P719" s="204"/>
      <c r="Q719" s="204"/>
      <c r="R719" s="204"/>
      <c r="S719" s="204"/>
      <c r="T719" s="204"/>
      <c r="U719" s="204"/>
      <c r="V719" s="204"/>
      <c r="W719" s="204"/>
      <c r="X719" s="204"/>
      <c r="Y719" s="204"/>
      <c r="Z719" s="204"/>
      <c r="AA719" s="204"/>
    </row>
    <row r="720" spans="1:27" ht="15.75" customHeight="1" x14ac:dyDescent="0.2">
      <c r="A720" s="225"/>
      <c r="B720" s="225"/>
      <c r="C720" s="225"/>
      <c r="D720" s="225"/>
      <c r="E720" s="225"/>
      <c r="F720" s="225"/>
      <c r="G720" s="225"/>
      <c r="H720" s="204"/>
      <c r="I720" s="224"/>
      <c r="J720" s="224"/>
      <c r="K720" s="224"/>
      <c r="L720" s="204"/>
      <c r="M720" s="204"/>
      <c r="N720" s="204"/>
      <c r="O720" s="204"/>
      <c r="P720" s="204"/>
      <c r="Q720" s="204"/>
      <c r="R720" s="204"/>
      <c r="S720" s="204"/>
      <c r="T720" s="204"/>
      <c r="U720" s="204"/>
      <c r="V720" s="204"/>
      <c r="W720" s="204"/>
      <c r="X720" s="204"/>
      <c r="Y720" s="204"/>
      <c r="Z720" s="204"/>
      <c r="AA720" s="204"/>
    </row>
    <row r="721" spans="1:27" ht="15.75" customHeight="1" x14ac:dyDescent="0.2">
      <c r="A721" s="225"/>
      <c r="B721" s="225"/>
      <c r="C721" s="225"/>
      <c r="D721" s="225"/>
      <c r="E721" s="225"/>
      <c r="F721" s="225"/>
      <c r="G721" s="225"/>
      <c r="H721" s="204"/>
      <c r="I721" s="224"/>
      <c r="J721" s="224"/>
      <c r="K721" s="224"/>
      <c r="L721" s="204"/>
      <c r="M721" s="204"/>
      <c r="N721" s="204"/>
      <c r="O721" s="204"/>
      <c r="P721" s="204"/>
      <c r="Q721" s="204"/>
      <c r="R721" s="204"/>
      <c r="S721" s="204"/>
      <c r="T721" s="204"/>
      <c r="U721" s="204"/>
      <c r="V721" s="204"/>
      <c r="W721" s="204"/>
      <c r="X721" s="204"/>
      <c r="Y721" s="204"/>
      <c r="Z721" s="204"/>
      <c r="AA721" s="204"/>
    </row>
    <row r="722" spans="1:27" ht="15.75" customHeight="1" x14ac:dyDescent="0.2">
      <c r="A722" s="225"/>
      <c r="B722" s="225"/>
      <c r="C722" s="225"/>
      <c r="D722" s="225"/>
      <c r="E722" s="225"/>
      <c r="F722" s="225"/>
      <c r="G722" s="225"/>
      <c r="H722" s="204"/>
      <c r="I722" s="224"/>
      <c r="J722" s="224"/>
      <c r="K722" s="224"/>
      <c r="L722" s="204"/>
      <c r="M722" s="204"/>
      <c r="N722" s="204"/>
      <c r="O722" s="204"/>
      <c r="P722" s="204"/>
      <c r="Q722" s="204"/>
      <c r="R722" s="204"/>
      <c r="S722" s="204"/>
      <c r="T722" s="204"/>
      <c r="U722" s="204"/>
      <c r="V722" s="204"/>
      <c r="W722" s="204"/>
      <c r="X722" s="204"/>
      <c r="Y722" s="204"/>
      <c r="Z722" s="204"/>
      <c r="AA722" s="204"/>
    </row>
    <row r="723" spans="1:27" ht="15.75" customHeight="1" x14ac:dyDescent="0.2">
      <c r="A723" s="225"/>
      <c r="B723" s="225"/>
      <c r="C723" s="225"/>
      <c r="D723" s="225"/>
      <c r="E723" s="225"/>
      <c r="F723" s="225"/>
      <c r="G723" s="225"/>
      <c r="H723" s="204"/>
      <c r="I723" s="224"/>
      <c r="J723" s="224"/>
      <c r="K723" s="224"/>
      <c r="L723" s="204"/>
      <c r="M723" s="204"/>
      <c r="N723" s="204"/>
      <c r="O723" s="204"/>
      <c r="P723" s="204"/>
      <c r="Q723" s="204"/>
      <c r="R723" s="204"/>
      <c r="S723" s="204"/>
      <c r="T723" s="204"/>
      <c r="U723" s="204"/>
      <c r="V723" s="204"/>
      <c r="W723" s="204"/>
      <c r="X723" s="204"/>
      <c r="Y723" s="204"/>
      <c r="Z723" s="204"/>
      <c r="AA723" s="204"/>
    </row>
    <row r="724" spans="1:27" ht="15.75" customHeight="1" x14ac:dyDescent="0.2">
      <c r="A724" s="225"/>
      <c r="B724" s="225"/>
      <c r="C724" s="225"/>
      <c r="D724" s="225"/>
      <c r="E724" s="225"/>
      <c r="F724" s="225"/>
      <c r="G724" s="225"/>
      <c r="H724" s="204"/>
      <c r="I724" s="224"/>
      <c r="J724" s="224"/>
      <c r="K724" s="224"/>
      <c r="L724" s="204"/>
      <c r="M724" s="204"/>
      <c r="N724" s="204"/>
      <c r="O724" s="204"/>
      <c r="P724" s="204"/>
      <c r="Q724" s="204"/>
      <c r="R724" s="204"/>
      <c r="S724" s="204"/>
      <c r="T724" s="204"/>
      <c r="U724" s="204"/>
      <c r="V724" s="204"/>
      <c r="W724" s="204"/>
      <c r="X724" s="204"/>
      <c r="Y724" s="204"/>
      <c r="Z724" s="204"/>
      <c r="AA724" s="204"/>
    </row>
    <row r="725" spans="1:27" ht="15.75" customHeight="1" x14ac:dyDescent="0.2">
      <c r="A725" s="225"/>
      <c r="B725" s="225"/>
      <c r="C725" s="225"/>
      <c r="D725" s="225"/>
      <c r="E725" s="225"/>
      <c r="F725" s="225"/>
      <c r="G725" s="225"/>
      <c r="H725" s="204"/>
      <c r="I725" s="224"/>
      <c r="J725" s="224"/>
      <c r="K725" s="224"/>
      <c r="L725" s="204"/>
      <c r="M725" s="204"/>
      <c r="N725" s="204"/>
      <c r="O725" s="204"/>
      <c r="P725" s="204"/>
      <c r="Q725" s="204"/>
      <c r="R725" s="204"/>
      <c r="S725" s="204"/>
      <c r="T725" s="204"/>
      <c r="U725" s="204"/>
      <c r="V725" s="204"/>
      <c r="W725" s="204"/>
      <c r="X725" s="204"/>
      <c r="Y725" s="204"/>
      <c r="Z725" s="204"/>
      <c r="AA725" s="204"/>
    </row>
    <row r="726" spans="1:27" ht="15.75" customHeight="1" x14ac:dyDescent="0.2">
      <c r="A726" s="225"/>
      <c r="B726" s="225"/>
      <c r="C726" s="225"/>
      <c r="D726" s="225"/>
      <c r="E726" s="225"/>
      <c r="F726" s="225"/>
      <c r="G726" s="225"/>
      <c r="H726" s="204"/>
      <c r="I726" s="224"/>
      <c r="J726" s="224"/>
      <c r="K726" s="224"/>
      <c r="L726" s="204"/>
      <c r="M726" s="204"/>
      <c r="N726" s="204"/>
      <c r="O726" s="204"/>
      <c r="P726" s="204"/>
      <c r="Q726" s="204"/>
      <c r="R726" s="204"/>
      <c r="S726" s="204"/>
      <c r="T726" s="204"/>
      <c r="U726" s="204"/>
      <c r="V726" s="204"/>
      <c r="W726" s="204"/>
      <c r="X726" s="204"/>
      <c r="Y726" s="204"/>
      <c r="Z726" s="204"/>
      <c r="AA726" s="204"/>
    </row>
    <row r="727" spans="1:27" ht="15.75" customHeight="1" x14ac:dyDescent="0.2">
      <c r="A727" s="225"/>
      <c r="B727" s="225"/>
      <c r="C727" s="225"/>
      <c r="D727" s="225"/>
      <c r="E727" s="225"/>
      <c r="F727" s="225"/>
      <c r="G727" s="225"/>
      <c r="H727" s="204"/>
      <c r="I727" s="224"/>
      <c r="J727" s="224"/>
      <c r="K727" s="224"/>
      <c r="L727" s="204"/>
      <c r="M727" s="204"/>
      <c r="N727" s="204"/>
      <c r="O727" s="204"/>
      <c r="P727" s="204"/>
      <c r="Q727" s="204"/>
      <c r="R727" s="204"/>
      <c r="S727" s="204"/>
      <c r="T727" s="204"/>
      <c r="U727" s="204"/>
      <c r="V727" s="204"/>
      <c r="W727" s="204"/>
      <c r="X727" s="204"/>
      <c r="Y727" s="204"/>
      <c r="Z727" s="204"/>
      <c r="AA727" s="204"/>
    </row>
    <row r="728" spans="1:27" ht="15.75" customHeight="1" x14ac:dyDescent="0.2">
      <c r="A728" s="225"/>
      <c r="B728" s="225"/>
      <c r="C728" s="225"/>
      <c r="D728" s="225"/>
      <c r="E728" s="225"/>
      <c r="F728" s="225"/>
      <c r="G728" s="225"/>
      <c r="H728" s="204"/>
      <c r="I728" s="224"/>
      <c r="J728" s="224"/>
      <c r="K728" s="224"/>
      <c r="L728" s="204"/>
      <c r="M728" s="204"/>
      <c r="N728" s="204"/>
      <c r="O728" s="204"/>
      <c r="P728" s="204"/>
      <c r="Q728" s="204"/>
      <c r="R728" s="204"/>
      <c r="S728" s="204"/>
      <c r="T728" s="204"/>
      <c r="U728" s="204"/>
      <c r="V728" s="204"/>
      <c r="W728" s="204"/>
      <c r="X728" s="204"/>
      <c r="Y728" s="204"/>
      <c r="Z728" s="204"/>
      <c r="AA728" s="204"/>
    </row>
    <row r="729" spans="1:27" ht="15.75" customHeight="1" x14ac:dyDescent="0.2">
      <c r="A729" s="225"/>
      <c r="B729" s="225"/>
      <c r="C729" s="225"/>
      <c r="D729" s="225"/>
      <c r="E729" s="225"/>
      <c r="F729" s="225"/>
      <c r="G729" s="225"/>
      <c r="H729" s="204"/>
      <c r="I729" s="224"/>
      <c r="J729" s="224"/>
      <c r="K729" s="224"/>
      <c r="L729" s="204"/>
      <c r="M729" s="204"/>
      <c r="N729" s="204"/>
      <c r="O729" s="204"/>
      <c r="P729" s="204"/>
      <c r="Q729" s="204"/>
      <c r="R729" s="204"/>
      <c r="S729" s="204"/>
      <c r="T729" s="204"/>
      <c r="U729" s="204"/>
      <c r="V729" s="204"/>
      <c r="W729" s="204"/>
      <c r="X729" s="204"/>
      <c r="Y729" s="204"/>
      <c r="Z729" s="204"/>
      <c r="AA729" s="204"/>
    </row>
    <row r="730" spans="1:27" ht="15.75" customHeight="1" x14ac:dyDescent="0.2">
      <c r="A730" s="225"/>
      <c r="B730" s="225"/>
      <c r="C730" s="225"/>
      <c r="D730" s="225"/>
      <c r="E730" s="225"/>
      <c r="F730" s="225"/>
      <c r="G730" s="225"/>
      <c r="H730" s="204"/>
      <c r="I730" s="224"/>
      <c r="J730" s="224"/>
      <c r="K730" s="224"/>
      <c r="L730" s="204"/>
      <c r="M730" s="204"/>
      <c r="N730" s="204"/>
      <c r="O730" s="204"/>
      <c r="P730" s="204"/>
      <c r="Q730" s="204"/>
      <c r="R730" s="204"/>
      <c r="S730" s="204"/>
      <c r="T730" s="204"/>
      <c r="U730" s="204"/>
      <c r="V730" s="204"/>
      <c r="W730" s="204"/>
      <c r="X730" s="204"/>
      <c r="Y730" s="204"/>
      <c r="Z730" s="204"/>
      <c r="AA730" s="204"/>
    </row>
    <row r="731" spans="1:27" ht="15.75" customHeight="1" x14ac:dyDescent="0.2">
      <c r="A731" s="225"/>
      <c r="B731" s="225"/>
      <c r="C731" s="225"/>
      <c r="D731" s="225"/>
      <c r="E731" s="225"/>
      <c r="F731" s="225"/>
      <c r="G731" s="225"/>
      <c r="H731" s="204"/>
      <c r="I731" s="224"/>
      <c r="J731" s="224"/>
      <c r="K731" s="224"/>
      <c r="L731" s="204"/>
      <c r="M731" s="204"/>
      <c r="N731" s="204"/>
      <c r="O731" s="204"/>
      <c r="P731" s="204"/>
      <c r="Q731" s="204"/>
      <c r="R731" s="204"/>
      <c r="S731" s="204"/>
      <c r="T731" s="204"/>
      <c r="U731" s="204"/>
      <c r="V731" s="204"/>
      <c r="W731" s="204"/>
      <c r="X731" s="204"/>
      <c r="Y731" s="204"/>
      <c r="Z731" s="204"/>
      <c r="AA731" s="204"/>
    </row>
    <row r="732" spans="1:27" ht="15.75" customHeight="1" x14ac:dyDescent="0.2">
      <c r="A732" s="225"/>
      <c r="B732" s="225"/>
      <c r="C732" s="225"/>
      <c r="D732" s="225"/>
      <c r="E732" s="225"/>
      <c r="F732" s="225"/>
      <c r="G732" s="225"/>
      <c r="H732" s="204"/>
      <c r="I732" s="224"/>
      <c r="J732" s="224"/>
      <c r="K732" s="224"/>
      <c r="L732" s="204"/>
      <c r="M732" s="204"/>
      <c r="N732" s="204"/>
      <c r="O732" s="204"/>
      <c r="P732" s="204"/>
      <c r="Q732" s="204"/>
      <c r="R732" s="204"/>
      <c r="S732" s="204"/>
      <c r="T732" s="204"/>
      <c r="U732" s="204"/>
      <c r="V732" s="204"/>
      <c r="W732" s="204"/>
      <c r="X732" s="204"/>
      <c r="Y732" s="204"/>
      <c r="Z732" s="204"/>
      <c r="AA732" s="204"/>
    </row>
    <row r="733" spans="1:27" ht="15.75" customHeight="1" x14ac:dyDescent="0.2">
      <c r="A733" s="225"/>
      <c r="B733" s="225"/>
      <c r="C733" s="225"/>
      <c r="D733" s="225"/>
      <c r="E733" s="225"/>
      <c r="F733" s="225"/>
      <c r="G733" s="225"/>
      <c r="H733" s="204"/>
      <c r="I733" s="224"/>
      <c r="J733" s="224"/>
      <c r="K733" s="224"/>
      <c r="L733" s="204"/>
      <c r="M733" s="204"/>
      <c r="N733" s="204"/>
      <c r="O733" s="204"/>
      <c r="P733" s="204"/>
      <c r="Q733" s="204"/>
      <c r="R733" s="204"/>
      <c r="S733" s="204"/>
      <c r="T733" s="204"/>
      <c r="U733" s="204"/>
      <c r="V733" s="204"/>
      <c r="W733" s="204"/>
      <c r="X733" s="204"/>
      <c r="Y733" s="204"/>
      <c r="Z733" s="204"/>
      <c r="AA733" s="204"/>
    </row>
    <row r="734" spans="1:27" ht="15.75" customHeight="1" x14ac:dyDescent="0.2">
      <c r="A734" s="225"/>
      <c r="B734" s="225"/>
      <c r="C734" s="225"/>
      <c r="D734" s="225"/>
      <c r="E734" s="225"/>
      <c r="F734" s="225"/>
      <c r="G734" s="225"/>
      <c r="H734" s="204"/>
      <c r="I734" s="224"/>
      <c r="J734" s="224"/>
      <c r="K734" s="224"/>
      <c r="L734" s="204"/>
      <c r="M734" s="204"/>
      <c r="N734" s="204"/>
      <c r="O734" s="204"/>
      <c r="P734" s="204"/>
      <c r="Q734" s="204"/>
      <c r="R734" s="204"/>
      <c r="S734" s="204"/>
      <c r="T734" s="204"/>
      <c r="U734" s="204"/>
      <c r="V734" s="204"/>
      <c r="W734" s="204"/>
      <c r="X734" s="204"/>
      <c r="Y734" s="204"/>
      <c r="Z734" s="204"/>
      <c r="AA734" s="204"/>
    </row>
    <row r="735" spans="1:27" ht="15.75" customHeight="1" x14ac:dyDescent="0.2">
      <c r="A735" s="225"/>
      <c r="B735" s="225"/>
      <c r="C735" s="225"/>
      <c r="D735" s="225"/>
      <c r="E735" s="225"/>
      <c r="F735" s="225"/>
      <c r="G735" s="225"/>
      <c r="H735" s="204"/>
      <c r="I735" s="224"/>
      <c r="J735" s="224"/>
      <c r="K735" s="224"/>
      <c r="L735" s="204"/>
      <c r="M735" s="204"/>
      <c r="N735" s="204"/>
      <c r="O735" s="204"/>
      <c r="P735" s="204"/>
      <c r="Q735" s="204"/>
      <c r="R735" s="204"/>
      <c r="S735" s="204"/>
      <c r="T735" s="204"/>
      <c r="U735" s="204"/>
      <c r="V735" s="204"/>
      <c r="W735" s="204"/>
      <c r="X735" s="204"/>
      <c r="Y735" s="204"/>
      <c r="Z735" s="204"/>
      <c r="AA735" s="204"/>
    </row>
    <row r="736" spans="1:27" ht="15.75" customHeight="1" x14ac:dyDescent="0.2">
      <c r="A736" s="225"/>
      <c r="B736" s="225"/>
      <c r="C736" s="225"/>
      <c r="D736" s="225"/>
      <c r="E736" s="225"/>
      <c r="F736" s="225"/>
      <c r="G736" s="225"/>
      <c r="H736" s="204"/>
      <c r="I736" s="224"/>
      <c r="J736" s="224"/>
      <c r="K736" s="224"/>
      <c r="L736" s="204"/>
      <c r="M736" s="204"/>
      <c r="N736" s="204"/>
      <c r="O736" s="204"/>
      <c r="P736" s="204"/>
      <c r="Q736" s="204"/>
      <c r="R736" s="204"/>
      <c r="S736" s="204"/>
      <c r="T736" s="204"/>
      <c r="U736" s="204"/>
      <c r="V736" s="204"/>
      <c r="W736" s="204"/>
      <c r="X736" s="204"/>
      <c r="Y736" s="204"/>
      <c r="Z736" s="204"/>
      <c r="AA736" s="204"/>
    </row>
    <row r="737" spans="1:27" ht="15.75" customHeight="1" x14ac:dyDescent="0.2">
      <c r="A737" s="225"/>
      <c r="B737" s="225"/>
      <c r="C737" s="225"/>
      <c r="D737" s="225"/>
      <c r="E737" s="225"/>
      <c r="F737" s="225"/>
      <c r="G737" s="225"/>
      <c r="H737" s="204"/>
      <c r="I737" s="224"/>
      <c r="J737" s="224"/>
      <c r="K737" s="224"/>
      <c r="L737" s="204"/>
      <c r="M737" s="204"/>
      <c r="N737" s="204"/>
      <c r="O737" s="204"/>
      <c r="P737" s="204"/>
      <c r="Q737" s="204"/>
      <c r="R737" s="204"/>
      <c r="S737" s="204"/>
      <c r="T737" s="204"/>
      <c r="U737" s="204"/>
      <c r="V737" s="204"/>
      <c r="W737" s="204"/>
      <c r="X737" s="204"/>
      <c r="Y737" s="204"/>
      <c r="Z737" s="204"/>
      <c r="AA737" s="204"/>
    </row>
    <row r="738" spans="1:27" ht="15.75" customHeight="1" x14ac:dyDescent="0.2">
      <c r="A738" s="225"/>
      <c r="B738" s="225"/>
      <c r="C738" s="225"/>
      <c r="D738" s="225"/>
      <c r="E738" s="225"/>
      <c r="F738" s="225"/>
      <c r="G738" s="225"/>
      <c r="H738" s="204"/>
      <c r="I738" s="224"/>
      <c r="J738" s="224"/>
      <c r="K738" s="224"/>
      <c r="L738" s="204"/>
      <c r="M738" s="204"/>
      <c r="N738" s="204"/>
      <c r="O738" s="204"/>
      <c r="P738" s="204"/>
      <c r="Q738" s="204"/>
      <c r="R738" s="204"/>
      <c r="S738" s="204"/>
      <c r="T738" s="204"/>
      <c r="U738" s="204"/>
      <c r="V738" s="204"/>
      <c r="W738" s="204"/>
      <c r="X738" s="204"/>
      <c r="Y738" s="204"/>
      <c r="Z738" s="204"/>
      <c r="AA738" s="204"/>
    </row>
    <row r="739" spans="1:27" ht="15.75" customHeight="1" x14ac:dyDescent="0.2">
      <c r="A739" s="225"/>
      <c r="B739" s="225"/>
      <c r="C739" s="225"/>
      <c r="D739" s="225"/>
      <c r="E739" s="225"/>
      <c r="F739" s="225"/>
      <c r="G739" s="225"/>
      <c r="H739" s="204"/>
      <c r="I739" s="224"/>
      <c r="J739" s="224"/>
      <c r="K739" s="224"/>
      <c r="L739" s="204"/>
      <c r="M739" s="204"/>
      <c r="N739" s="204"/>
      <c r="O739" s="204"/>
      <c r="P739" s="204"/>
      <c r="Q739" s="204"/>
      <c r="R739" s="204"/>
      <c r="S739" s="204"/>
      <c r="T739" s="204"/>
      <c r="U739" s="204"/>
      <c r="V739" s="204"/>
      <c r="W739" s="204"/>
      <c r="X739" s="204"/>
      <c r="Y739" s="204"/>
      <c r="Z739" s="204"/>
      <c r="AA739" s="204"/>
    </row>
    <row r="740" spans="1:27" ht="15.75" customHeight="1" x14ac:dyDescent="0.2">
      <c r="A740" s="225"/>
      <c r="B740" s="225"/>
      <c r="C740" s="225"/>
      <c r="D740" s="225"/>
      <c r="E740" s="225"/>
      <c r="F740" s="225"/>
      <c r="G740" s="225"/>
      <c r="H740" s="204"/>
      <c r="I740" s="224"/>
      <c r="J740" s="224"/>
      <c r="K740" s="224"/>
      <c r="L740" s="204"/>
      <c r="M740" s="204"/>
      <c r="N740" s="204"/>
      <c r="O740" s="204"/>
      <c r="P740" s="204"/>
      <c r="Q740" s="204"/>
      <c r="R740" s="204"/>
      <c r="S740" s="204"/>
      <c r="T740" s="204"/>
      <c r="U740" s="204"/>
      <c r="V740" s="204"/>
      <c r="W740" s="204"/>
      <c r="X740" s="204"/>
      <c r="Y740" s="204"/>
      <c r="Z740" s="204"/>
      <c r="AA740" s="204"/>
    </row>
    <row r="741" spans="1:27" ht="15.75" customHeight="1" x14ac:dyDescent="0.2">
      <c r="A741" s="225"/>
      <c r="B741" s="225"/>
      <c r="C741" s="225"/>
      <c r="D741" s="225"/>
      <c r="E741" s="225"/>
      <c r="F741" s="225"/>
      <c r="G741" s="225"/>
      <c r="H741" s="204"/>
      <c r="I741" s="224"/>
      <c r="J741" s="224"/>
      <c r="K741" s="224"/>
      <c r="L741" s="204"/>
      <c r="M741" s="204"/>
      <c r="N741" s="204"/>
      <c r="O741" s="204"/>
      <c r="P741" s="204"/>
      <c r="Q741" s="204"/>
      <c r="R741" s="204"/>
      <c r="S741" s="204"/>
      <c r="T741" s="204"/>
      <c r="U741" s="204"/>
      <c r="V741" s="204"/>
      <c r="W741" s="204"/>
      <c r="X741" s="204"/>
      <c r="Y741" s="204"/>
      <c r="Z741" s="204"/>
      <c r="AA741" s="204"/>
    </row>
    <row r="742" spans="1:27" ht="15.75" customHeight="1" x14ac:dyDescent="0.2">
      <c r="A742" s="225"/>
      <c r="B742" s="225"/>
      <c r="C742" s="225"/>
      <c r="D742" s="225"/>
      <c r="E742" s="225"/>
      <c r="F742" s="225"/>
      <c r="G742" s="225"/>
      <c r="H742" s="204"/>
      <c r="I742" s="224"/>
      <c r="J742" s="224"/>
      <c r="K742" s="224"/>
      <c r="L742" s="204"/>
      <c r="M742" s="204"/>
      <c r="N742" s="204"/>
      <c r="O742" s="204"/>
      <c r="P742" s="204"/>
      <c r="Q742" s="204"/>
      <c r="R742" s="204"/>
      <c r="S742" s="204"/>
      <c r="T742" s="204"/>
      <c r="U742" s="204"/>
      <c r="V742" s="204"/>
      <c r="W742" s="204"/>
      <c r="X742" s="204"/>
      <c r="Y742" s="204"/>
      <c r="Z742" s="204"/>
      <c r="AA742" s="204"/>
    </row>
    <row r="743" spans="1:27" ht="15.75" customHeight="1" x14ac:dyDescent="0.2">
      <c r="A743" s="225"/>
      <c r="B743" s="225"/>
      <c r="C743" s="225"/>
      <c r="D743" s="225"/>
      <c r="E743" s="225"/>
      <c r="F743" s="225"/>
      <c r="G743" s="225"/>
      <c r="H743" s="204"/>
      <c r="I743" s="224"/>
      <c r="J743" s="224"/>
      <c r="K743" s="224"/>
      <c r="L743" s="204"/>
      <c r="M743" s="204"/>
      <c r="N743" s="204"/>
      <c r="O743" s="204"/>
      <c r="P743" s="204"/>
      <c r="Q743" s="204"/>
      <c r="R743" s="204"/>
      <c r="S743" s="204"/>
      <c r="T743" s="204"/>
      <c r="U743" s="204"/>
      <c r="V743" s="204"/>
      <c r="W743" s="204"/>
      <c r="X743" s="204"/>
      <c r="Y743" s="204"/>
      <c r="Z743" s="204"/>
      <c r="AA743" s="204"/>
    </row>
    <row r="744" spans="1:27" ht="15.75" customHeight="1" x14ac:dyDescent="0.2">
      <c r="A744" s="225"/>
      <c r="B744" s="225"/>
      <c r="C744" s="225"/>
      <c r="D744" s="225"/>
      <c r="E744" s="225"/>
      <c r="F744" s="225"/>
      <c r="G744" s="225"/>
      <c r="H744" s="204"/>
      <c r="I744" s="224"/>
      <c r="J744" s="224"/>
      <c r="K744" s="224"/>
      <c r="L744" s="204"/>
      <c r="M744" s="204"/>
      <c r="N744" s="204"/>
      <c r="O744" s="204"/>
      <c r="P744" s="204"/>
      <c r="Q744" s="204"/>
      <c r="R744" s="204"/>
      <c r="S744" s="204"/>
      <c r="T744" s="204"/>
      <c r="U744" s="204"/>
      <c r="V744" s="204"/>
      <c r="W744" s="204"/>
      <c r="X744" s="204"/>
      <c r="Y744" s="204"/>
      <c r="Z744" s="204"/>
      <c r="AA744" s="204"/>
    </row>
    <row r="745" spans="1:27" ht="15.75" customHeight="1" x14ac:dyDescent="0.2">
      <c r="A745" s="225"/>
      <c r="B745" s="225"/>
      <c r="C745" s="225"/>
      <c r="D745" s="225"/>
      <c r="E745" s="225"/>
      <c r="F745" s="225"/>
      <c r="G745" s="225"/>
      <c r="H745" s="204"/>
      <c r="I745" s="224"/>
      <c r="J745" s="224"/>
      <c r="K745" s="224"/>
      <c r="L745" s="204"/>
      <c r="M745" s="204"/>
      <c r="N745" s="204"/>
      <c r="O745" s="204"/>
      <c r="P745" s="204"/>
      <c r="Q745" s="204"/>
      <c r="R745" s="204"/>
      <c r="S745" s="204"/>
      <c r="T745" s="204"/>
      <c r="U745" s="204"/>
      <c r="V745" s="204"/>
      <c r="W745" s="204"/>
      <c r="X745" s="204"/>
      <c r="Y745" s="204"/>
      <c r="Z745" s="204"/>
      <c r="AA745" s="204"/>
    </row>
    <row r="746" spans="1:27" ht="15.75" customHeight="1" x14ac:dyDescent="0.2">
      <c r="A746" s="225"/>
      <c r="B746" s="225"/>
      <c r="C746" s="225"/>
      <c r="D746" s="225"/>
      <c r="E746" s="225"/>
      <c r="F746" s="225"/>
      <c r="G746" s="225"/>
      <c r="H746" s="204"/>
      <c r="I746" s="224"/>
      <c r="J746" s="224"/>
      <c r="K746" s="224"/>
      <c r="L746" s="204"/>
      <c r="M746" s="204"/>
      <c r="N746" s="204"/>
      <c r="O746" s="204"/>
      <c r="P746" s="204"/>
      <c r="Q746" s="204"/>
      <c r="R746" s="204"/>
      <c r="S746" s="204"/>
      <c r="T746" s="204"/>
      <c r="U746" s="204"/>
      <c r="V746" s="204"/>
      <c r="W746" s="204"/>
      <c r="X746" s="204"/>
      <c r="Y746" s="204"/>
      <c r="Z746" s="204"/>
      <c r="AA746" s="204"/>
    </row>
    <row r="747" spans="1:27" ht="15.75" customHeight="1" x14ac:dyDescent="0.2">
      <c r="A747" s="225"/>
      <c r="B747" s="225"/>
      <c r="C747" s="225"/>
      <c r="D747" s="225"/>
      <c r="E747" s="225"/>
      <c r="F747" s="225"/>
      <c r="G747" s="225"/>
      <c r="H747" s="204"/>
      <c r="I747" s="224"/>
      <c r="J747" s="224"/>
      <c r="K747" s="224"/>
      <c r="L747" s="204"/>
      <c r="M747" s="204"/>
      <c r="N747" s="204"/>
      <c r="O747" s="204"/>
      <c r="P747" s="204"/>
      <c r="Q747" s="204"/>
      <c r="R747" s="204"/>
      <c r="S747" s="204"/>
      <c r="T747" s="204"/>
      <c r="U747" s="204"/>
      <c r="V747" s="204"/>
      <c r="W747" s="204"/>
      <c r="X747" s="204"/>
      <c r="Y747" s="204"/>
      <c r="Z747" s="204"/>
      <c r="AA747" s="204"/>
    </row>
    <row r="748" spans="1:27" ht="15.75" customHeight="1" x14ac:dyDescent="0.2">
      <c r="A748" s="225"/>
      <c r="B748" s="225"/>
      <c r="C748" s="225"/>
      <c r="D748" s="225"/>
      <c r="E748" s="225"/>
      <c r="F748" s="225"/>
      <c r="G748" s="225"/>
      <c r="H748" s="204"/>
      <c r="I748" s="224"/>
      <c r="J748" s="224"/>
      <c r="K748" s="224"/>
      <c r="L748" s="204"/>
      <c r="M748" s="204"/>
      <c r="N748" s="204"/>
      <c r="O748" s="204"/>
      <c r="P748" s="204"/>
      <c r="Q748" s="204"/>
      <c r="R748" s="204"/>
      <c r="S748" s="204"/>
      <c r="T748" s="204"/>
      <c r="U748" s="204"/>
      <c r="V748" s="204"/>
      <c r="W748" s="204"/>
      <c r="X748" s="204"/>
      <c r="Y748" s="204"/>
      <c r="Z748" s="204"/>
      <c r="AA748" s="204"/>
    </row>
    <row r="749" spans="1:27" ht="15.75" customHeight="1" x14ac:dyDescent="0.2">
      <c r="A749" s="225"/>
      <c r="B749" s="225"/>
      <c r="C749" s="225"/>
      <c r="D749" s="225"/>
      <c r="E749" s="225"/>
      <c r="F749" s="225"/>
      <c r="G749" s="225"/>
      <c r="H749" s="204"/>
      <c r="I749" s="224"/>
      <c r="J749" s="224"/>
      <c r="K749" s="224"/>
      <c r="L749" s="204"/>
      <c r="M749" s="204"/>
      <c r="N749" s="204"/>
      <c r="O749" s="204"/>
      <c r="P749" s="204"/>
      <c r="Q749" s="204"/>
      <c r="R749" s="204"/>
      <c r="S749" s="204"/>
      <c r="T749" s="204"/>
      <c r="U749" s="204"/>
      <c r="V749" s="204"/>
      <c r="W749" s="204"/>
      <c r="X749" s="204"/>
      <c r="Y749" s="204"/>
      <c r="Z749" s="204"/>
      <c r="AA749" s="204"/>
    </row>
    <row r="750" spans="1:27" ht="15.75" customHeight="1" x14ac:dyDescent="0.2">
      <c r="A750" s="225"/>
      <c r="B750" s="225"/>
      <c r="C750" s="225"/>
      <c r="D750" s="225"/>
      <c r="E750" s="225"/>
      <c r="F750" s="225"/>
      <c r="G750" s="225"/>
      <c r="H750" s="204"/>
      <c r="I750" s="224"/>
      <c r="J750" s="224"/>
      <c r="K750" s="224"/>
      <c r="L750" s="204"/>
      <c r="M750" s="204"/>
      <c r="N750" s="204"/>
      <c r="O750" s="204"/>
      <c r="P750" s="204"/>
      <c r="Q750" s="204"/>
      <c r="R750" s="204"/>
      <c r="S750" s="204"/>
      <c r="T750" s="204"/>
      <c r="U750" s="204"/>
      <c r="V750" s="204"/>
      <c r="W750" s="204"/>
      <c r="X750" s="204"/>
      <c r="Y750" s="204"/>
      <c r="Z750" s="204"/>
      <c r="AA750" s="204"/>
    </row>
    <row r="751" spans="1:27" ht="15.75" customHeight="1" x14ac:dyDescent="0.2">
      <c r="A751" s="225"/>
      <c r="B751" s="225"/>
      <c r="C751" s="225"/>
      <c r="D751" s="225"/>
      <c r="E751" s="225"/>
      <c r="F751" s="225"/>
      <c r="G751" s="225"/>
      <c r="H751" s="204"/>
      <c r="I751" s="224"/>
      <c r="J751" s="224"/>
      <c r="K751" s="224"/>
      <c r="L751" s="204"/>
      <c r="M751" s="204"/>
      <c r="N751" s="204"/>
      <c r="O751" s="204"/>
      <c r="P751" s="204"/>
      <c r="Q751" s="204"/>
      <c r="R751" s="204"/>
      <c r="S751" s="204"/>
      <c r="T751" s="204"/>
      <c r="U751" s="204"/>
      <c r="V751" s="204"/>
      <c r="W751" s="204"/>
      <c r="X751" s="204"/>
      <c r="Y751" s="204"/>
      <c r="Z751" s="204"/>
      <c r="AA751" s="204"/>
    </row>
    <row r="752" spans="1:27" ht="15.75" customHeight="1" x14ac:dyDescent="0.2">
      <c r="A752" s="225"/>
      <c r="B752" s="225"/>
      <c r="C752" s="225"/>
      <c r="D752" s="225"/>
      <c r="E752" s="225"/>
      <c r="F752" s="225"/>
      <c r="G752" s="225"/>
      <c r="H752" s="204"/>
      <c r="I752" s="224"/>
      <c r="J752" s="224"/>
      <c r="K752" s="224"/>
      <c r="L752" s="204"/>
      <c r="M752" s="204"/>
      <c r="N752" s="204"/>
      <c r="O752" s="204"/>
      <c r="P752" s="204"/>
      <c r="Q752" s="204"/>
      <c r="R752" s="204"/>
      <c r="S752" s="204"/>
      <c r="T752" s="204"/>
      <c r="U752" s="204"/>
      <c r="V752" s="204"/>
      <c r="W752" s="204"/>
      <c r="X752" s="204"/>
      <c r="Y752" s="204"/>
      <c r="Z752" s="204"/>
      <c r="AA752" s="204"/>
    </row>
    <row r="753" spans="1:27" ht="15.75" customHeight="1" x14ac:dyDescent="0.2">
      <c r="A753" s="225"/>
      <c r="B753" s="225"/>
      <c r="C753" s="225"/>
      <c r="D753" s="225"/>
      <c r="E753" s="225"/>
      <c r="F753" s="225"/>
      <c r="G753" s="225"/>
      <c r="H753" s="204"/>
      <c r="I753" s="224"/>
      <c r="J753" s="224"/>
      <c r="K753" s="224"/>
      <c r="L753" s="204"/>
      <c r="M753" s="204"/>
      <c r="N753" s="204"/>
      <c r="O753" s="204"/>
      <c r="P753" s="204"/>
      <c r="Q753" s="204"/>
      <c r="R753" s="204"/>
      <c r="S753" s="204"/>
      <c r="T753" s="204"/>
      <c r="U753" s="204"/>
      <c r="V753" s="204"/>
      <c r="W753" s="204"/>
      <c r="X753" s="204"/>
      <c r="Y753" s="204"/>
      <c r="Z753" s="204"/>
      <c r="AA753" s="204"/>
    </row>
    <row r="754" spans="1:27" ht="15.75" customHeight="1" x14ac:dyDescent="0.2">
      <c r="A754" s="225"/>
      <c r="B754" s="225"/>
      <c r="C754" s="225"/>
      <c r="D754" s="225"/>
      <c r="E754" s="225"/>
      <c r="F754" s="225"/>
      <c r="G754" s="225"/>
      <c r="H754" s="204"/>
      <c r="I754" s="224"/>
      <c r="J754" s="224"/>
      <c r="K754" s="224"/>
      <c r="L754" s="204"/>
      <c r="M754" s="204"/>
      <c r="N754" s="204"/>
      <c r="O754" s="204"/>
      <c r="P754" s="204"/>
      <c r="Q754" s="204"/>
      <c r="R754" s="204"/>
      <c r="S754" s="204"/>
      <c r="T754" s="204"/>
      <c r="U754" s="204"/>
      <c r="V754" s="204"/>
      <c r="W754" s="204"/>
      <c r="X754" s="204"/>
      <c r="Y754" s="204"/>
      <c r="Z754" s="204"/>
      <c r="AA754" s="204"/>
    </row>
    <row r="755" spans="1:27" ht="15.75" customHeight="1" x14ac:dyDescent="0.2">
      <c r="A755" s="225"/>
      <c r="B755" s="225"/>
      <c r="C755" s="225"/>
      <c r="D755" s="225"/>
      <c r="E755" s="225"/>
      <c r="F755" s="225"/>
      <c r="G755" s="225"/>
      <c r="H755" s="204"/>
      <c r="I755" s="224"/>
      <c r="J755" s="224"/>
      <c r="K755" s="224"/>
      <c r="L755" s="204"/>
      <c r="M755" s="204"/>
      <c r="N755" s="204"/>
      <c r="O755" s="204"/>
      <c r="P755" s="204"/>
      <c r="Q755" s="204"/>
      <c r="R755" s="204"/>
      <c r="S755" s="204"/>
      <c r="T755" s="204"/>
      <c r="U755" s="204"/>
      <c r="V755" s="204"/>
      <c r="W755" s="204"/>
      <c r="X755" s="204"/>
      <c r="Y755" s="204"/>
      <c r="Z755" s="204"/>
      <c r="AA755" s="204"/>
    </row>
    <row r="756" spans="1:27" ht="15.75" customHeight="1" x14ac:dyDescent="0.2">
      <c r="A756" s="225"/>
      <c r="B756" s="225"/>
      <c r="C756" s="225"/>
      <c r="D756" s="225"/>
      <c r="E756" s="225"/>
      <c r="F756" s="225"/>
      <c r="G756" s="225"/>
      <c r="H756" s="204"/>
      <c r="I756" s="224"/>
      <c r="J756" s="224"/>
      <c r="K756" s="224"/>
      <c r="L756" s="204"/>
      <c r="M756" s="204"/>
      <c r="N756" s="204"/>
      <c r="O756" s="204"/>
      <c r="P756" s="204"/>
      <c r="Q756" s="204"/>
      <c r="R756" s="204"/>
      <c r="S756" s="204"/>
      <c r="T756" s="204"/>
      <c r="U756" s="204"/>
      <c r="V756" s="204"/>
      <c r="W756" s="204"/>
      <c r="X756" s="204"/>
      <c r="Y756" s="204"/>
      <c r="Z756" s="204"/>
      <c r="AA756" s="204"/>
    </row>
    <row r="757" spans="1:27" ht="15.75" customHeight="1" x14ac:dyDescent="0.2">
      <c r="A757" s="225"/>
      <c r="B757" s="225"/>
      <c r="C757" s="225"/>
      <c r="D757" s="225"/>
      <c r="E757" s="225"/>
      <c r="F757" s="225"/>
      <c r="G757" s="225"/>
      <c r="H757" s="204"/>
      <c r="I757" s="224"/>
      <c r="J757" s="224"/>
      <c r="K757" s="224"/>
      <c r="L757" s="204"/>
      <c r="M757" s="204"/>
      <c r="N757" s="204"/>
      <c r="O757" s="204"/>
      <c r="P757" s="204"/>
      <c r="Q757" s="204"/>
      <c r="R757" s="204"/>
      <c r="S757" s="204"/>
      <c r="T757" s="204"/>
      <c r="U757" s="204"/>
      <c r="V757" s="204"/>
      <c r="W757" s="204"/>
      <c r="X757" s="204"/>
      <c r="Y757" s="204"/>
      <c r="Z757" s="204"/>
      <c r="AA757" s="204"/>
    </row>
    <row r="758" spans="1:27" ht="15.75" customHeight="1" x14ac:dyDescent="0.2">
      <c r="A758" s="225"/>
      <c r="B758" s="225"/>
      <c r="C758" s="225"/>
      <c r="D758" s="225"/>
      <c r="E758" s="225"/>
      <c r="F758" s="225"/>
      <c r="G758" s="225"/>
      <c r="H758" s="204"/>
      <c r="I758" s="224"/>
      <c r="J758" s="224"/>
      <c r="K758" s="224"/>
      <c r="L758" s="204"/>
      <c r="M758" s="204"/>
      <c r="N758" s="204"/>
      <c r="O758" s="204"/>
      <c r="P758" s="204"/>
      <c r="Q758" s="204"/>
      <c r="R758" s="204"/>
      <c r="S758" s="204"/>
      <c r="T758" s="204"/>
      <c r="U758" s="204"/>
      <c r="V758" s="204"/>
      <c r="W758" s="204"/>
      <c r="X758" s="204"/>
      <c r="Y758" s="204"/>
      <c r="Z758" s="204"/>
      <c r="AA758" s="204"/>
    </row>
    <row r="759" spans="1:27" ht="15.75" customHeight="1" x14ac:dyDescent="0.2">
      <c r="A759" s="225"/>
      <c r="B759" s="225"/>
      <c r="C759" s="225"/>
      <c r="D759" s="225"/>
      <c r="E759" s="225"/>
      <c r="F759" s="225"/>
      <c r="G759" s="225"/>
      <c r="H759" s="204"/>
      <c r="I759" s="224"/>
      <c r="J759" s="224"/>
      <c r="K759" s="224"/>
      <c r="L759" s="204"/>
      <c r="M759" s="204"/>
      <c r="N759" s="204"/>
      <c r="O759" s="204"/>
      <c r="P759" s="204"/>
      <c r="Q759" s="204"/>
      <c r="R759" s="204"/>
      <c r="S759" s="204"/>
      <c r="T759" s="204"/>
      <c r="U759" s="204"/>
      <c r="V759" s="204"/>
      <c r="W759" s="204"/>
      <c r="X759" s="204"/>
      <c r="Y759" s="204"/>
      <c r="Z759" s="204"/>
      <c r="AA759" s="204"/>
    </row>
    <row r="760" spans="1:27" ht="15.75" customHeight="1" x14ac:dyDescent="0.2">
      <c r="A760" s="225"/>
      <c r="B760" s="225"/>
      <c r="C760" s="225"/>
      <c r="D760" s="225"/>
      <c r="E760" s="225"/>
      <c r="F760" s="225"/>
      <c r="G760" s="225"/>
      <c r="H760" s="204"/>
      <c r="I760" s="224"/>
      <c r="J760" s="224"/>
      <c r="K760" s="224"/>
      <c r="L760" s="204"/>
      <c r="M760" s="204"/>
      <c r="N760" s="204"/>
      <c r="O760" s="204"/>
      <c r="P760" s="204"/>
      <c r="Q760" s="204"/>
      <c r="R760" s="204"/>
      <c r="S760" s="204"/>
      <c r="T760" s="204"/>
      <c r="U760" s="204"/>
      <c r="V760" s="204"/>
      <c r="W760" s="204"/>
      <c r="X760" s="204"/>
      <c r="Y760" s="204"/>
      <c r="Z760" s="204"/>
      <c r="AA760" s="204"/>
    </row>
    <row r="761" spans="1:27" ht="15.75" customHeight="1" x14ac:dyDescent="0.2">
      <c r="A761" s="225"/>
      <c r="B761" s="225"/>
      <c r="C761" s="225"/>
      <c r="D761" s="225"/>
      <c r="E761" s="225"/>
      <c r="F761" s="225"/>
      <c r="G761" s="225"/>
      <c r="H761" s="204"/>
      <c r="I761" s="224"/>
      <c r="J761" s="224"/>
      <c r="K761" s="224"/>
      <c r="L761" s="204"/>
      <c r="M761" s="204"/>
      <c r="N761" s="204"/>
      <c r="O761" s="204"/>
      <c r="P761" s="204"/>
      <c r="Q761" s="204"/>
      <c r="R761" s="204"/>
      <c r="S761" s="204"/>
      <c r="T761" s="204"/>
      <c r="U761" s="204"/>
      <c r="V761" s="204"/>
      <c r="W761" s="204"/>
      <c r="X761" s="204"/>
      <c r="Y761" s="204"/>
      <c r="Z761" s="204"/>
      <c r="AA761" s="204"/>
    </row>
    <row r="762" spans="1:27" ht="15.75" customHeight="1" x14ac:dyDescent="0.2">
      <c r="A762" s="225"/>
      <c r="B762" s="225"/>
      <c r="C762" s="225"/>
      <c r="D762" s="225"/>
      <c r="E762" s="225"/>
      <c r="F762" s="225"/>
      <c r="G762" s="225"/>
      <c r="H762" s="204"/>
      <c r="I762" s="224"/>
      <c r="J762" s="224"/>
      <c r="K762" s="224"/>
      <c r="L762" s="204"/>
      <c r="M762" s="204"/>
      <c r="N762" s="204"/>
      <c r="O762" s="204"/>
      <c r="P762" s="204"/>
      <c r="Q762" s="204"/>
      <c r="R762" s="204"/>
      <c r="S762" s="204"/>
      <c r="T762" s="204"/>
      <c r="U762" s="204"/>
      <c r="V762" s="204"/>
      <c r="W762" s="204"/>
      <c r="X762" s="204"/>
      <c r="Y762" s="204"/>
      <c r="Z762" s="204"/>
      <c r="AA762" s="204"/>
    </row>
    <row r="763" spans="1:27" ht="15.75" customHeight="1" x14ac:dyDescent="0.2">
      <c r="A763" s="225"/>
      <c r="B763" s="225"/>
      <c r="C763" s="225"/>
      <c r="D763" s="225"/>
      <c r="E763" s="225"/>
      <c r="F763" s="225"/>
      <c r="G763" s="225"/>
      <c r="H763" s="204"/>
      <c r="I763" s="224"/>
      <c r="J763" s="224"/>
      <c r="K763" s="224"/>
      <c r="L763" s="204"/>
      <c r="M763" s="204"/>
      <c r="N763" s="204"/>
      <c r="O763" s="204"/>
      <c r="P763" s="204"/>
      <c r="Q763" s="204"/>
      <c r="R763" s="204"/>
      <c r="S763" s="204"/>
      <c r="T763" s="204"/>
      <c r="U763" s="204"/>
      <c r="V763" s="204"/>
      <c r="W763" s="204"/>
      <c r="X763" s="204"/>
      <c r="Y763" s="204"/>
      <c r="Z763" s="204"/>
      <c r="AA763" s="204"/>
    </row>
    <row r="764" spans="1:27" ht="15.75" customHeight="1" x14ac:dyDescent="0.2">
      <c r="A764" s="225"/>
      <c r="B764" s="225"/>
      <c r="C764" s="225"/>
      <c r="D764" s="225"/>
      <c r="E764" s="225"/>
      <c r="F764" s="225"/>
      <c r="G764" s="225"/>
      <c r="H764" s="204"/>
      <c r="I764" s="224"/>
      <c r="J764" s="224"/>
      <c r="K764" s="224"/>
      <c r="L764" s="204"/>
      <c r="M764" s="204"/>
      <c r="N764" s="204"/>
      <c r="O764" s="204"/>
      <c r="P764" s="204"/>
      <c r="Q764" s="204"/>
      <c r="R764" s="204"/>
      <c r="S764" s="204"/>
      <c r="T764" s="204"/>
      <c r="U764" s="204"/>
      <c r="V764" s="204"/>
      <c r="W764" s="204"/>
      <c r="X764" s="204"/>
      <c r="Y764" s="204"/>
      <c r="Z764" s="204"/>
      <c r="AA764" s="204"/>
    </row>
    <row r="765" spans="1:27" ht="15.75" customHeight="1" x14ac:dyDescent="0.2">
      <c r="A765" s="225"/>
      <c r="B765" s="225"/>
      <c r="C765" s="225"/>
      <c r="D765" s="225"/>
      <c r="E765" s="225"/>
      <c r="F765" s="225"/>
      <c r="G765" s="225"/>
      <c r="H765" s="204"/>
      <c r="I765" s="224"/>
      <c r="J765" s="224"/>
      <c r="K765" s="224"/>
      <c r="L765" s="204"/>
      <c r="M765" s="204"/>
      <c r="N765" s="204"/>
      <c r="O765" s="204"/>
      <c r="P765" s="204"/>
      <c r="Q765" s="204"/>
      <c r="R765" s="204"/>
      <c r="S765" s="204"/>
      <c r="T765" s="204"/>
      <c r="U765" s="204"/>
      <c r="V765" s="204"/>
      <c r="W765" s="204"/>
      <c r="X765" s="204"/>
      <c r="Y765" s="204"/>
      <c r="Z765" s="204"/>
      <c r="AA765" s="204"/>
    </row>
    <row r="766" spans="1:27" ht="15.75" customHeight="1" x14ac:dyDescent="0.2">
      <c r="A766" s="225"/>
      <c r="B766" s="225"/>
      <c r="C766" s="225"/>
      <c r="D766" s="225"/>
      <c r="E766" s="225"/>
      <c r="F766" s="225"/>
      <c r="G766" s="225"/>
      <c r="H766" s="204"/>
      <c r="I766" s="224"/>
      <c r="J766" s="224"/>
      <c r="K766" s="224"/>
      <c r="L766" s="204"/>
      <c r="M766" s="204"/>
      <c r="N766" s="204"/>
      <c r="O766" s="204"/>
      <c r="P766" s="204"/>
      <c r="Q766" s="204"/>
      <c r="R766" s="204"/>
      <c r="S766" s="204"/>
      <c r="T766" s="204"/>
      <c r="U766" s="204"/>
      <c r="V766" s="204"/>
      <c r="W766" s="204"/>
      <c r="X766" s="204"/>
      <c r="Y766" s="204"/>
      <c r="Z766" s="204"/>
      <c r="AA766" s="204"/>
    </row>
    <row r="767" spans="1:27" ht="15.75" customHeight="1" x14ac:dyDescent="0.2">
      <c r="A767" s="225"/>
      <c r="B767" s="225"/>
      <c r="C767" s="225"/>
      <c r="D767" s="225"/>
      <c r="E767" s="225"/>
      <c r="F767" s="225"/>
      <c r="G767" s="225"/>
      <c r="H767" s="204"/>
      <c r="I767" s="224"/>
      <c r="J767" s="224"/>
      <c r="K767" s="224"/>
      <c r="L767" s="204"/>
      <c r="M767" s="204"/>
      <c r="N767" s="204"/>
      <c r="O767" s="204"/>
      <c r="P767" s="204"/>
      <c r="Q767" s="204"/>
      <c r="R767" s="204"/>
      <c r="S767" s="204"/>
      <c r="T767" s="204"/>
      <c r="U767" s="204"/>
      <c r="V767" s="204"/>
      <c r="W767" s="204"/>
      <c r="X767" s="204"/>
      <c r="Y767" s="204"/>
      <c r="Z767" s="204"/>
      <c r="AA767" s="204"/>
    </row>
    <row r="768" spans="1:27" ht="15.75" customHeight="1" x14ac:dyDescent="0.2">
      <c r="A768" s="225"/>
      <c r="B768" s="225"/>
      <c r="C768" s="225"/>
      <c r="D768" s="225"/>
      <c r="E768" s="225"/>
      <c r="F768" s="225"/>
      <c r="G768" s="225"/>
      <c r="H768" s="204"/>
      <c r="I768" s="224"/>
      <c r="J768" s="224"/>
      <c r="K768" s="224"/>
      <c r="L768" s="204"/>
      <c r="M768" s="204"/>
      <c r="N768" s="204"/>
      <c r="O768" s="204"/>
      <c r="P768" s="204"/>
      <c r="Q768" s="204"/>
      <c r="R768" s="204"/>
      <c r="S768" s="204"/>
      <c r="T768" s="204"/>
      <c r="U768" s="204"/>
      <c r="V768" s="204"/>
      <c r="W768" s="204"/>
      <c r="X768" s="204"/>
      <c r="Y768" s="204"/>
      <c r="Z768" s="204"/>
      <c r="AA768" s="204"/>
    </row>
    <row r="769" spans="1:27" ht="15.75" customHeight="1" x14ac:dyDescent="0.2">
      <c r="A769" s="225"/>
      <c r="B769" s="225"/>
      <c r="C769" s="225"/>
      <c r="D769" s="225"/>
      <c r="E769" s="225"/>
      <c r="F769" s="225"/>
      <c r="G769" s="225"/>
      <c r="H769" s="204"/>
      <c r="I769" s="224"/>
      <c r="J769" s="224"/>
      <c r="K769" s="224"/>
      <c r="L769" s="204"/>
      <c r="M769" s="204"/>
      <c r="N769" s="204"/>
      <c r="O769" s="204"/>
      <c r="P769" s="204"/>
      <c r="Q769" s="204"/>
      <c r="R769" s="204"/>
      <c r="S769" s="204"/>
      <c r="T769" s="204"/>
      <c r="U769" s="204"/>
      <c r="V769" s="204"/>
      <c r="W769" s="204"/>
      <c r="X769" s="204"/>
      <c r="Y769" s="204"/>
      <c r="Z769" s="204"/>
      <c r="AA769" s="204"/>
    </row>
    <row r="770" spans="1:27" ht="15.75" customHeight="1" x14ac:dyDescent="0.2">
      <c r="A770" s="225"/>
      <c r="B770" s="225"/>
      <c r="C770" s="225"/>
      <c r="D770" s="225"/>
      <c r="E770" s="225"/>
      <c r="F770" s="225"/>
      <c r="G770" s="225"/>
      <c r="H770" s="204"/>
      <c r="I770" s="224"/>
      <c r="J770" s="224"/>
      <c r="K770" s="224"/>
      <c r="L770" s="204"/>
      <c r="M770" s="204"/>
      <c r="N770" s="204"/>
      <c r="O770" s="204"/>
      <c r="P770" s="204"/>
      <c r="Q770" s="204"/>
      <c r="R770" s="204"/>
      <c r="S770" s="204"/>
      <c r="T770" s="204"/>
      <c r="U770" s="204"/>
      <c r="V770" s="204"/>
      <c r="W770" s="204"/>
      <c r="X770" s="204"/>
      <c r="Y770" s="204"/>
      <c r="Z770" s="204"/>
      <c r="AA770" s="204"/>
    </row>
    <row r="771" spans="1:27" ht="15.75" customHeight="1" x14ac:dyDescent="0.2">
      <c r="A771" s="225"/>
      <c r="B771" s="225"/>
      <c r="C771" s="225"/>
      <c r="D771" s="225"/>
      <c r="E771" s="225"/>
      <c r="F771" s="225"/>
      <c r="G771" s="225"/>
      <c r="H771" s="204"/>
      <c r="I771" s="224"/>
      <c r="J771" s="224"/>
      <c r="K771" s="224"/>
      <c r="L771" s="204"/>
      <c r="M771" s="204"/>
      <c r="N771" s="204"/>
      <c r="O771" s="204"/>
      <c r="P771" s="204"/>
      <c r="Q771" s="204"/>
      <c r="R771" s="204"/>
      <c r="S771" s="204"/>
      <c r="T771" s="204"/>
      <c r="U771" s="204"/>
      <c r="V771" s="204"/>
      <c r="W771" s="204"/>
      <c r="X771" s="204"/>
      <c r="Y771" s="204"/>
      <c r="Z771" s="204"/>
      <c r="AA771" s="204"/>
    </row>
    <row r="772" spans="1:27" ht="15.75" customHeight="1" x14ac:dyDescent="0.2">
      <c r="A772" s="225"/>
      <c r="B772" s="225"/>
      <c r="C772" s="225"/>
      <c r="D772" s="225"/>
      <c r="E772" s="225"/>
      <c r="F772" s="225"/>
      <c r="G772" s="225"/>
      <c r="H772" s="204"/>
      <c r="I772" s="224"/>
      <c r="J772" s="224"/>
      <c r="K772" s="224"/>
      <c r="L772" s="204"/>
      <c r="M772" s="204"/>
      <c r="N772" s="204"/>
      <c r="O772" s="204"/>
      <c r="P772" s="204"/>
      <c r="Q772" s="204"/>
      <c r="R772" s="204"/>
      <c r="S772" s="204"/>
      <c r="T772" s="204"/>
      <c r="U772" s="204"/>
      <c r="V772" s="204"/>
      <c r="W772" s="204"/>
      <c r="X772" s="204"/>
      <c r="Y772" s="204"/>
      <c r="Z772" s="204"/>
      <c r="AA772" s="204"/>
    </row>
    <row r="773" spans="1:27" ht="15.75" customHeight="1" x14ac:dyDescent="0.2">
      <c r="A773" s="225"/>
      <c r="B773" s="225"/>
      <c r="C773" s="225"/>
      <c r="D773" s="225"/>
      <c r="E773" s="225"/>
      <c r="F773" s="225"/>
      <c r="G773" s="225"/>
      <c r="H773" s="204"/>
      <c r="I773" s="224"/>
      <c r="J773" s="224"/>
      <c r="K773" s="224"/>
      <c r="L773" s="204"/>
      <c r="M773" s="204"/>
      <c r="N773" s="204"/>
      <c r="O773" s="204"/>
      <c r="P773" s="204"/>
      <c r="Q773" s="204"/>
      <c r="R773" s="204"/>
      <c r="S773" s="204"/>
      <c r="T773" s="204"/>
      <c r="U773" s="204"/>
      <c r="V773" s="204"/>
      <c r="W773" s="204"/>
      <c r="X773" s="204"/>
      <c r="Y773" s="204"/>
      <c r="Z773" s="204"/>
      <c r="AA773" s="204"/>
    </row>
    <row r="774" spans="1:27" ht="15.75" customHeight="1" x14ac:dyDescent="0.2">
      <c r="A774" s="225"/>
      <c r="B774" s="225"/>
      <c r="C774" s="225"/>
      <c r="D774" s="225"/>
      <c r="E774" s="225"/>
      <c r="F774" s="225"/>
      <c r="G774" s="225"/>
      <c r="H774" s="204"/>
      <c r="I774" s="224"/>
      <c r="J774" s="224"/>
      <c r="K774" s="224"/>
      <c r="L774" s="204"/>
      <c r="M774" s="204"/>
      <c r="N774" s="204"/>
      <c r="O774" s="204"/>
      <c r="P774" s="204"/>
      <c r="Q774" s="204"/>
      <c r="R774" s="204"/>
      <c r="S774" s="204"/>
      <c r="T774" s="204"/>
      <c r="U774" s="204"/>
      <c r="V774" s="204"/>
      <c r="W774" s="204"/>
      <c r="X774" s="204"/>
      <c r="Y774" s="204"/>
      <c r="Z774" s="204"/>
      <c r="AA774" s="204"/>
    </row>
    <row r="775" spans="1:27" ht="15.75" customHeight="1" x14ac:dyDescent="0.2">
      <c r="A775" s="225"/>
      <c r="B775" s="225"/>
      <c r="C775" s="225"/>
      <c r="D775" s="225"/>
      <c r="E775" s="225"/>
      <c r="F775" s="225"/>
      <c r="G775" s="225"/>
      <c r="H775" s="204"/>
      <c r="I775" s="224"/>
      <c r="J775" s="224"/>
      <c r="K775" s="224"/>
      <c r="L775" s="204"/>
      <c r="M775" s="204"/>
      <c r="N775" s="204"/>
      <c r="O775" s="204"/>
      <c r="P775" s="204"/>
      <c r="Q775" s="204"/>
      <c r="R775" s="204"/>
      <c r="S775" s="204"/>
      <c r="T775" s="204"/>
      <c r="U775" s="204"/>
      <c r="V775" s="204"/>
      <c r="W775" s="204"/>
      <c r="X775" s="204"/>
      <c r="Y775" s="204"/>
      <c r="Z775" s="204"/>
      <c r="AA775" s="204"/>
    </row>
    <row r="776" spans="1:27" ht="15.75" customHeight="1" x14ac:dyDescent="0.2">
      <c r="A776" s="225"/>
      <c r="B776" s="225"/>
      <c r="C776" s="225"/>
      <c r="D776" s="225"/>
      <c r="E776" s="225"/>
      <c r="F776" s="225"/>
      <c r="G776" s="225"/>
      <c r="H776" s="204"/>
      <c r="I776" s="224"/>
      <c r="J776" s="224"/>
      <c r="K776" s="224"/>
      <c r="L776" s="204"/>
      <c r="M776" s="204"/>
      <c r="N776" s="204"/>
      <c r="O776" s="204"/>
      <c r="P776" s="204"/>
      <c r="Q776" s="204"/>
      <c r="R776" s="204"/>
      <c r="S776" s="204"/>
      <c r="T776" s="204"/>
      <c r="U776" s="204"/>
      <c r="V776" s="204"/>
      <c r="W776" s="204"/>
      <c r="X776" s="204"/>
      <c r="Y776" s="204"/>
      <c r="Z776" s="204"/>
      <c r="AA776" s="204"/>
    </row>
    <row r="777" spans="1:27" ht="15.75" customHeight="1" x14ac:dyDescent="0.2">
      <c r="A777" s="225"/>
      <c r="B777" s="225"/>
      <c r="C777" s="225"/>
      <c r="D777" s="225"/>
      <c r="E777" s="225"/>
      <c r="F777" s="225"/>
      <c r="G777" s="225"/>
      <c r="H777" s="204"/>
      <c r="I777" s="224"/>
      <c r="J777" s="224"/>
      <c r="K777" s="224"/>
      <c r="L777" s="204"/>
      <c r="M777" s="204"/>
      <c r="N777" s="204"/>
      <c r="O777" s="204"/>
      <c r="P777" s="204"/>
      <c r="Q777" s="204"/>
      <c r="R777" s="204"/>
      <c r="S777" s="204"/>
      <c r="T777" s="204"/>
      <c r="U777" s="204"/>
      <c r="V777" s="204"/>
      <c r="W777" s="204"/>
      <c r="X777" s="204"/>
      <c r="Y777" s="204"/>
      <c r="Z777" s="204"/>
      <c r="AA777" s="204"/>
    </row>
    <row r="778" spans="1:27" ht="15.75" customHeight="1" x14ac:dyDescent="0.2">
      <c r="A778" s="225"/>
      <c r="B778" s="225"/>
      <c r="C778" s="225"/>
      <c r="D778" s="225"/>
      <c r="E778" s="225"/>
      <c r="F778" s="225"/>
      <c r="G778" s="225"/>
      <c r="H778" s="204"/>
      <c r="I778" s="224"/>
      <c r="J778" s="224"/>
      <c r="K778" s="224"/>
      <c r="L778" s="204"/>
      <c r="M778" s="204"/>
      <c r="N778" s="204"/>
      <c r="O778" s="204"/>
      <c r="P778" s="204"/>
      <c r="Q778" s="204"/>
      <c r="R778" s="204"/>
      <c r="S778" s="204"/>
      <c r="T778" s="204"/>
      <c r="U778" s="204"/>
      <c r="V778" s="204"/>
      <c r="W778" s="204"/>
      <c r="X778" s="204"/>
      <c r="Y778" s="204"/>
      <c r="Z778" s="204"/>
      <c r="AA778" s="204"/>
    </row>
    <row r="779" spans="1:27" ht="15.75" customHeight="1" x14ac:dyDescent="0.2">
      <c r="A779" s="225"/>
      <c r="B779" s="225"/>
      <c r="C779" s="225"/>
      <c r="D779" s="225"/>
      <c r="E779" s="225"/>
      <c r="F779" s="225"/>
      <c r="G779" s="225"/>
      <c r="H779" s="204"/>
      <c r="I779" s="224"/>
      <c r="J779" s="224"/>
      <c r="K779" s="224"/>
      <c r="L779" s="204"/>
      <c r="M779" s="204"/>
      <c r="N779" s="204"/>
      <c r="O779" s="204"/>
      <c r="P779" s="204"/>
      <c r="Q779" s="204"/>
      <c r="R779" s="204"/>
      <c r="S779" s="204"/>
      <c r="T779" s="204"/>
      <c r="U779" s="204"/>
      <c r="V779" s="204"/>
      <c r="W779" s="204"/>
      <c r="X779" s="204"/>
      <c r="Y779" s="204"/>
      <c r="Z779" s="204"/>
      <c r="AA779" s="204"/>
    </row>
    <row r="780" spans="1:27" ht="15.75" customHeight="1" x14ac:dyDescent="0.2">
      <c r="A780" s="225"/>
      <c r="B780" s="225"/>
      <c r="C780" s="225"/>
      <c r="D780" s="225"/>
      <c r="E780" s="225"/>
      <c r="F780" s="225"/>
      <c r="G780" s="225"/>
      <c r="H780" s="204"/>
      <c r="I780" s="224"/>
      <c r="J780" s="224"/>
      <c r="K780" s="224"/>
      <c r="L780" s="204"/>
      <c r="M780" s="204"/>
      <c r="N780" s="204"/>
      <c r="O780" s="204"/>
      <c r="P780" s="204"/>
      <c r="Q780" s="204"/>
      <c r="R780" s="204"/>
      <c r="S780" s="204"/>
      <c r="T780" s="204"/>
      <c r="U780" s="204"/>
      <c r="V780" s="204"/>
      <c r="W780" s="204"/>
      <c r="X780" s="204"/>
      <c r="Y780" s="204"/>
      <c r="Z780" s="204"/>
      <c r="AA780" s="204"/>
    </row>
    <row r="781" spans="1:27" ht="15.75" customHeight="1" x14ac:dyDescent="0.2">
      <c r="A781" s="225"/>
      <c r="B781" s="225"/>
      <c r="C781" s="225"/>
      <c r="D781" s="225"/>
      <c r="E781" s="225"/>
      <c r="F781" s="225"/>
      <c r="G781" s="225"/>
      <c r="H781" s="204"/>
      <c r="I781" s="224"/>
      <c r="J781" s="224"/>
      <c r="K781" s="224"/>
      <c r="L781" s="204"/>
      <c r="M781" s="204"/>
      <c r="N781" s="204"/>
      <c r="O781" s="204"/>
      <c r="P781" s="204"/>
      <c r="Q781" s="204"/>
      <c r="R781" s="204"/>
      <c r="S781" s="204"/>
      <c r="T781" s="204"/>
      <c r="U781" s="204"/>
      <c r="V781" s="204"/>
      <c r="W781" s="204"/>
      <c r="X781" s="204"/>
      <c r="Y781" s="204"/>
      <c r="Z781" s="204"/>
      <c r="AA781" s="204"/>
    </row>
    <row r="782" spans="1:27" ht="15.75" customHeight="1" x14ac:dyDescent="0.2">
      <c r="A782" s="225"/>
      <c r="B782" s="225"/>
      <c r="C782" s="225"/>
      <c r="D782" s="225"/>
      <c r="E782" s="225"/>
      <c r="F782" s="225"/>
      <c r="G782" s="225"/>
      <c r="H782" s="204"/>
      <c r="I782" s="224"/>
      <c r="J782" s="224"/>
      <c r="K782" s="224"/>
      <c r="L782" s="204"/>
      <c r="M782" s="204"/>
      <c r="N782" s="204"/>
      <c r="O782" s="204"/>
      <c r="P782" s="204"/>
      <c r="Q782" s="204"/>
      <c r="R782" s="204"/>
      <c r="S782" s="204"/>
      <c r="T782" s="204"/>
      <c r="U782" s="204"/>
      <c r="V782" s="204"/>
      <c r="W782" s="204"/>
      <c r="X782" s="204"/>
      <c r="Y782" s="204"/>
      <c r="Z782" s="204"/>
      <c r="AA782" s="204"/>
    </row>
    <row r="783" spans="1:27" ht="15.75" customHeight="1" x14ac:dyDescent="0.2">
      <c r="A783" s="225"/>
      <c r="B783" s="225"/>
      <c r="C783" s="225"/>
      <c r="D783" s="225"/>
      <c r="E783" s="225"/>
      <c r="F783" s="225"/>
      <c r="G783" s="225"/>
      <c r="H783" s="204"/>
      <c r="I783" s="224"/>
      <c r="J783" s="224"/>
      <c r="K783" s="224"/>
      <c r="L783" s="204"/>
      <c r="M783" s="204"/>
      <c r="N783" s="204"/>
      <c r="O783" s="204"/>
      <c r="P783" s="204"/>
      <c r="Q783" s="204"/>
      <c r="R783" s="204"/>
      <c r="S783" s="204"/>
      <c r="T783" s="204"/>
      <c r="U783" s="204"/>
      <c r="V783" s="204"/>
      <c r="W783" s="204"/>
      <c r="X783" s="204"/>
      <c r="Y783" s="204"/>
      <c r="Z783" s="204"/>
      <c r="AA783" s="204"/>
    </row>
    <row r="784" spans="1:27" ht="15.75" customHeight="1" x14ac:dyDescent="0.2">
      <c r="A784" s="225"/>
      <c r="B784" s="225"/>
      <c r="C784" s="225"/>
      <c r="D784" s="225"/>
      <c r="E784" s="225"/>
      <c r="F784" s="225"/>
      <c r="G784" s="225"/>
      <c r="H784" s="204"/>
      <c r="I784" s="224"/>
      <c r="J784" s="224"/>
      <c r="K784" s="224"/>
      <c r="L784" s="204"/>
      <c r="M784" s="204"/>
      <c r="N784" s="204"/>
      <c r="O784" s="204"/>
      <c r="P784" s="204"/>
      <c r="Q784" s="204"/>
      <c r="R784" s="204"/>
      <c r="S784" s="204"/>
      <c r="T784" s="204"/>
      <c r="U784" s="204"/>
      <c r="V784" s="204"/>
      <c r="W784" s="204"/>
      <c r="X784" s="204"/>
      <c r="Y784" s="204"/>
      <c r="Z784" s="204"/>
      <c r="AA784" s="204"/>
    </row>
    <row r="785" spans="1:27" ht="15.75" customHeight="1" x14ac:dyDescent="0.2">
      <c r="A785" s="225"/>
      <c r="B785" s="225"/>
      <c r="C785" s="225"/>
      <c r="D785" s="225"/>
      <c r="E785" s="225"/>
      <c r="F785" s="225"/>
      <c r="G785" s="225"/>
      <c r="H785" s="204"/>
      <c r="I785" s="224"/>
      <c r="J785" s="224"/>
      <c r="K785" s="224"/>
      <c r="L785" s="204"/>
      <c r="M785" s="204"/>
      <c r="N785" s="204"/>
      <c r="O785" s="204"/>
      <c r="P785" s="204"/>
      <c r="Q785" s="204"/>
      <c r="R785" s="204"/>
      <c r="S785" s="204"/>
      <c r="T785" s="204"/>
      <c r="U785" s="204"/>
      <c r="V785" s="204"/>
      <c r="W785" s="204"/>
      <c r="X785" s="204"/>
      <c r="Y785" s="204"/>
      <c r="Z785" s="204"/>
      <c r="AA785" s="204"/>
    </row>
    <row r="786" spans="1:27" ht="15.75" customHeight="1" x14ac:dyDescent="0.2">
      <c r="A786" s="225"/>
      <c r="B786" s="225"/>
      <c r="C786" s="225"/>
      <c r="D786" s="225"/>
      <c r="E786" s="225"/>
      <c r="F786" s="225"/>
      <c r="G786" s="225"/>
      <c r="H786" s="204"/>
      <c r="I786" s="224"/>
      <c r="J786" s="224"/>
      <c r="K786" s="224"/>
      <c r="L786" s="204"/>
      <c r="M786" s="204"/>
      <c r="N786" s="204"/>
      <c r="O786" s="204"/>
      <c r="P786" s="204"/>
      <c r="Q786" s="204"/>
      <c r="R786" s="204"/>
      <c r="S786" s="204"/>
      <c r="T786" s="204"/>
      <c r="U786" s="204"/>
      <c r="V786" s="204"/>
      <c r="W786" s="204"/>
      <c r="X786" s="204"/>
      <c r="Y786" s="204"/>
      <c r="Z786" s="204"/>
      <c r="AA786" s="204"/>
    </row>
    <row r="787" spans="1:27" ht="15.75" customHeight="1" x14ac:dyDescent="0.2">
      <c r="A787" s="225"/>
      <c r="B787" s="225"/>
      <c r="C787" s="225"/>
      <c r="D787" s="225"/>
      <c r="E787" s="225"/>
      <c r="F787" s="225"/>
      <c r="G787" s="225"/>
      <c r="H787" s="204"/>
      <c r="I787" s="224"/>
      <c r="J787" s="224"/>
      <c r="K787" s="224"/>
      <c r="L787" s="204"/>
      <c r="M787" s="204"/>
      <c r="N787" s="204"/>
      <c r="O787" s="204"/>
      <c r="P787" s="204"/>
      <c r="Q787" s="204"/>
      <c r="R787" s="204"/>
      <c r="S787" s="204"/>
      <c r="T787" s="204"/>
      <c r="U787" s="204"/>
      <c r="V787" s="204"/>
      <c r="W787" s="204"/>
      <c r="X787" s="204"/>
      <c r="Y787" s="204"/>
      <c r="Z787" s="204"/>
      <c r="AA787" s="204"/>
    </row>
    <row r="788" spans="1:27" ht="15.75" customHeight="1" x14ac:dyDescent="0.2">
      <c r="A788" s="225"/>
      <c r="B788" s="225"/>
      <c r="C788" s="225"/>
      <c r="D788" s="225"/>
      <c r="E788" s="225"/>
      <c r="F788" s="225"/>
      <c r="G788" s="225"/>
      <c r="H788" s="204"/>
      <c r="I788" s="224"/>
      <c r="J788" s="224"/>
      <c r="K788" s="224"/>
      <c r="L788" s="204"/>
      <c r="M788" s="204"/>
      <c r="N788" s="204"/>
      <c r="O788" s="204"/>
      <c r="P788" s="204"/>
      <c r="Q788" s="204"/>
      <c r="R788" s="204"/>
      <c r="S788" s="204"/>
      <c r="T788" s="204"/>
      <c r="U788" s="204"/>
      <c r="V788" s="204"/>
      <c r="W788" s="204"/>
      <c r="X788" s="204"/>
      <c r="Y788" s="204"/>
      <c r="Z788" s="204"/>
      <c r="AA788" s="204"/>
    </row>
    <row r="789" spans="1:27" ht="15.75" customHeight="1" x14ac:dyDescent="0.2">
      <c r="A789" s="225"/>
      <c r="B789" s="225"/>
      <c r="C789" s="225"/>
      <c r="D789" s="225"/>
      <c r="E789" s="225"/>
      <c r="F789" s="225"/>
      <c r="G789" s="225"/>
      <c r="H789" s="204"/>
      <c r="I789" s="224"/>
      <c r="J789" s="224"/>
      <c r="K789" s="224"/>
      <c r="L789" s="204"/>
      <c r="M789" s="204"/>
      <c r="N789" s="204"/>
      <c r="O789" s="204"/>
      <c r="P789" s="204"/>
      <c r="Q789" s="204"/>
      <c r="R789" s="204"/>
      <c r="S789" s="204"/>
      <c r="T789" s="204"/>
      <c r="U789" s="204"/>
      <c r="V789" s="204"/>
      <c r="W789" s="204"/>
      <c r="X789" s="204"/>
      <c r="Y789" s="204"/>
      <c r="Z789" s="204"/>
      <c r="AA789" s="204"/>
    </row>
    <row r="790" spans="1:27" ht="15.75" customHeight="1" x14ac:dyDescent="0.2">
      <c r="A790" s="225"/>
      <c r="B790" s="225"/>
      <c r="C790" s="225"/>
      <c r="D790" s="225"/>
      <c r="E790" s="225"/>
      <c r="F790" s="225"/>
      <c r="G790" s="225"/>
      <c r="H790" s="204"/>
      <c r="I790" s="224"/>
      <c r="J790" s="224"/>
      <c r="K790" s="224"/>
      <c r="L790" s="204"/>
      <c r="M790" s="204"/>
      <c r="N790" s="204"/>
      <c r="O790" s="204"/>
      <c r="P790" s="204"/>
      <c r="Q790" s="204"/>
      <c r="R790" s="204"/>
      <c r="S790" s="204"/>
      <c r="T790" s="204"/>
      <c r="U790" s="204"/>
      <c r="V790" s="204"/>
      <c r="W790" s="204"/>
      <c r="X790" s="204"/>
      <c r="Y790" s="204"/>
      <c r="Z790" s="204"/>
      <c r="AA790" s="204"/>
    </row>
    <row r="791" spans="1:27" ht="15.75" customHeight="1" x14ac:dyDescent="0.2">
      <c r="A791" s="225"/>
      <c r="B791" s="225"/>
      <c r="C791" s="225"/>
      <c r="D791" s="225"/>
      <c r="E791" s="225"/>
      <c r="F791" s="225"/>
      <c r="G791" s="225"/>
      <c r="H791" s="204"/>
      <c r="I791" s="224"/>
      <c r="J791" s="224"/>
      <c r="K791" s="224"/>
      <c r="L791" s="204"/>
      <c r="M791" s="204"/>
      <c r="N791" s="204"/>
      <c r="O791" s="204"/>
      <c r="P791" s="204"/>
      <c r="Q791" s="204"/>
      <c r="R791" s="204"/>
      <c r="S791" s="204"/>
      <c r="T791" s="204"/>
      <c r="U791" s="204"/>
      <c r="V791" s="204"/>
      <c r="W791" s="204"/>
      <c r="X791" s="204"/>
      <c r="Y791" s="204"/>
      <c r="Z791" s="204"/>
      <c r="AA791" s="204"/>
    </row>
    <row r="792" spans="1:27" ht="15.75" customHeight="1" x14ac:dyDescent="0.2">
      <c r="A792" s="225"/>
      <c r="B792" s="225"/>
      <c r="C792" s="225"/>
      <c r="D792" s="225"/>
      <c r="E792" s="225"/>
      <c r="F792" s="225"/>
      <c r="G792" s="225"/>
      <c r="H792" s="204"/>
      <c r="I792" s="224"/>
      <c r="J792" s="224"/>
      <c r="K792" s="224"/>
      <c r="L792" s="204"/>
      <c r="M792" s="204"/>
      <c r="N792" s="204"/>
      <c r="O792" s="204"/>
      <c r="P792" s="204"/>
      <c r="Q792" s="204"/>
      <c r="R792" s="204"/>
      <c r="S792" s="204"/>
      <c r="T792" s="204"/>
      <c r="U792" s="204"/>
      <c r="V792" s="204"/>
      <c r="W792" s="204"/>
      <c r="X792" s="204"/>
      <c r="Y792" s="204"/>
      <c r="Z792" s="204"/>
      <c r="AA792" s="204"/>
    </row>
    <row r="793" spans="1:27" ht="15.75" customHeight="1" x14ac:dyDescent="0.2">
      <c r="A793" s="225"/>
      <c r="B793" s="225"/>
      <c r="C793" s="225"/>
      <c r="D793" s="225"/>
      <c r="E793" s="225"/>
      <c r="F793" s="225"/>
      <c r="G793" s="225"/>
      <c r="H793" s="204"/>
      <c r="I793" s="224"/>
      <c r="J793" s="224"/>
      <c r="K793" s="224"/>
      <c r="L793" s="204"/>
      <c r="M793" s="204"/>
      <c r="N793" s="204"/>
      <c r="O793" s="204"/>
      <c r="P793" s="204"/>
      <c r="Q793" s="204"/>
      <c r="R793" s="204"/>
      <c r="S793" s="204"/>
      <c r="T793" s="204"/>
      <c r="U793" s="204"/>
      <c r="V793" s="204"/>
      <c r="W793" s="204"/>
      <c r="X793" s="204"/>
      <c r="Y793" s="204"/>
      <c r="Z793" s="204"/>
      <c r="AA793" s="204"/>
    </row>
    <row r="794" spans="1:27" ht="15.75" customHeight="1" x14ac:dyDescent="0.2">
      <c r="A794" s="225"/>
      <c r="B794" s="225"/>
      <c r="C794" s="225"/>
      <c r="D794" s="225"/>
      <c r="E794" s="225"/>
      <c r="F794" s="225"/>
      <c r="G794" s="225"/>
      <c r="H794" s="204"/>
      <c r="I794" s="224"/>
      <c r="J794" s="224"/>
      <c r="K794" s="224"/>
      <c r="L794" s="204"/>
      <c r="M794" s="204"/>
      <c r="N794" s="204"/>
      <c r="O794" s="204"/>
      <c r="P794" s="204"/>
      <c r="Q794" s="204"/>
      <c r="R794" s="204"/>
      <c r="S794" s="204"/>
      <c r="T794" s="204"/>
      <c r="U794" s="204"/>
      <c r="V794" s="204"/>
      <c r="W794" s="204"/>
      <c r="X794" s="204"/>
      <c r="Y794" s="204"/>
      <c r="Z794" s="204"/>
      <c r="AA794" s="204"/>
    </row>
    <row r="795" spans="1:27" ht="15.75" customHeight="1" x14ac:dyDescent="0.2">
      <c r="A795" s="225"/>
      <c r="B795" s="225"/>
      <c r="C795" s="225"/>
      <c r="D795" s="225"/>
      <c r="E795" s="225"/>
      <c r="F795" s="225"/>
      <c r="G795" s="225"/>
      <c r="H795" s="204"/>
      <c r="I795" s="224"/>
      <c r="J795" s="224"/>
      <c r="K795" s="224"/>
      <c r="L795" s="204"/>
      <c r="M795" s="204"/>
      <c r="N795" s="204"/>
      <c r="O795" s="204"/>
      <c r="P795" s="204"/>
      <c r="Q795" s="204"/>
      <c r="R795" s="204"/>
      <c r="S795" s="204"/>
      <c r="T795" s="204"/>
      <c r="U795" s="204"/>
      <c r="V795" s="204"/>
      <c r="W795" s="204"/>
      <c r="X795" s="204"/>
      <c r="Y795" s="204"/>
      <c r="Z795" s="204"/>
      <c r="AA795" s="204"/>
    </row>
    <row r="796" spans="1:27" ht="15.75" customHeight="1" x14ac:dyDescent="0.2">
      <c r="A796" s="225"/>
      <c r="B796" s="225"/>
      <c r="C796" s="225"/>
      <c r="D796" s="225"/>
      <c r="E796" s="225"/>
      <c r="F796" s="225"/>
      <c r="G796" s="225"/>
      <c r="H796" s="204"/>
      <c r="I796" s="224"/>
      <c r="J796" s="224"/>
      <c r="K796" s="224"/>
      <c r="L796" s="204"/>
      <c r="M796" s="204"/>
      <c r="N796" s="204"/>
      <c r="O796" s="204"/>
      <c r="P796" s="204"/>
      <c r="Q796" s="204"/>
      <c r="R796" s="204"/>
      <c r="S796" s="204"/>
      <c r="T796" s="204"/>
      <c r="U796" s="204"/>
      <c r="V796" s="204"/>
      <c r="W796" s="204"/>
      <c r="X796" s="204"/>
      <c r="Y796" s="204"/>
      <c r="Z796" s="204"/>
      <c r="AA796" s="204"/>
    </row>
    <row r="797" spans="1:27" ht="15.75" customHeight="1" x14ac:dyDescent="0.2">
      <c r="A797" s="225"/>
      <c r="B797" s="225"/>
      <c r="C797" s="225"/>
      <c r="D797" s="225"/>
      <c r="E797" s="225"/>
      <c r="F797" s="225"/>
      <c r="G797" s="225"/>
      <c r="H797" s="204"/>
      <c r="I797" s="224"/>
      <c r="J797" s="224"/>
      <c r="K797" s="224"/>
      <c r="L797" s="204"/>
      <c r="M797" s="204"/>
      <c r="N797" s="204"/>
      <c r="O797" s="204"/>
      <c r="P797" s="204"/>
      <c r="Q797" s="204"/>
      <c r="R797" s="204"/>
      <c r="S797" s="204"/>
      <c r="T797" s="204"/>
      <c r="U797" s="204"/>
      <c r="V797" s="204"/>
      <c r="W797" s="204"/>
      <c r="X797" s="204"/>
      <c r="Y797" s="204"/>
      <c r="Z797" s="204"/>
      <c r="AA797" s="204"/>
    </row>
    <row r="798" spans="1:27" ht="15.75" customHeight="1" x14ac:dyDescent="0.2">
      <c r="A798" s="225"/>
      <c r="B798" s="225"/>
      <c r="C798" s="225"/>
      <c r="D798" s="225"/>
      <c r="E798" s="225"/>
      <c r="F798" s="225"/>
      <c r="G798" s="225"/>
      <c r="H798" s="204"/>
      <c r="I798" s="224"/>
      <c r="J798" s="224"/>
      <c r="K798" s="224"/>
      <c r="L798" s="204"/>
      <c r="M798" s="204"/>
      <c r="N798" s="204"/>
      <c r="O798" s="204"/>
      <c r="P798" s="204"/>
      <c r="Q798" s="204"/>
      <c r="R798" s="204"/>
      <c r="S798" s="204"/>
      <c r="T798" s="204"/>
      <c r="U798" s="204"/>
      <c r="V798" s="204"/>
      <c r="W798" s="204"/>
      <c r="X798" s="204"/>
      <c r="Y798" s="204"/>
      <c r="Z798" s="204"/>
      <c r="AA798" s="204"/>
    </row>
    <row r="799" spans="1:27" ht="15.75" customHeight="1" x14ac:dyDescent="0.2">
      <c r="A799" s="225"/>
      <c r="B799" s="225"/>
      <c r="C799" s="225"/>
      <c r="D799" s="225"/>
      <c r="E799" s="225"/>
      <c r="F799" s="225"/>
      <c r="G799" s="225"/>
      <c r="H799" s="204"/>
      <c r="I799" s="224"/>
      <c r="J799" s="224"/>
      <c r="K799" s="224"/>
      <c r="L799" s="204"/>
      <c r="M799" s="204"/>
      <c r="N799" s="204"/>
      <c r="O799" s="204"/>
      <c r="P799" s="204"/>
      <c r="Q799" s="204"/>
      <c r="R799" s="204"/>
      <c r="S799" s="204"/>
      <c r="T799" s="204"/>
      <c r="U799" s="204"/>
      <c r="V799" s="204"/>
      <c r="W799" s="204"/>
      <c r="X799" s="204"/>
      <c r="Y799" s="204"/>
      <c r="Z799" s="204"/>
      <c r="AA799" s="204"/>
    </row>
    <row r="800" spans="1:27" ht="15.75" customHeight="1" x14ac:dyDescent="0.2">
      <c r="A800" s="225"/>
      <c r="B800" s="225"/>
      <c r="C800" s="225"/>
      <c r="D800" s="225"/>
      <c r="E800" s="225"/>
      <c r="F800" s="225"/>
      <c r="G800" s="225"/>
      <c r="H800" s="204"/>
      <c r="I800" s="224"/>
      <c r="J800" s="224"/>
      <c r="K800" s="224"/>
      <c r="L800" s="204"/>
      <c r="M800" s="204"/>
      <c r="N800" s="204"/>
      <c r="O800" s="204"/>
      <c r="P800" s="204"/>
      <c r="Q800" s="204"/>
      <c r="R800" s="204"/>
      <c r="S800" s="204"/>
      <c r="T800" s="204"/>
      <c r="U800" s="204"/>
      <c r="V800" s="204"/>
      <c r="W800" s="204"/>
      <c r="X800" s="204"/>
      <c r="Y800" s="204"/>
      <c r="Z800" s="204"/>
      <c r="AA800" s="204"/>
    </row>
    <row r="801" spans="1:27" ht="15.75" customHeight="1" x14ac:dyDescent="0.2">
      <c r="A801" s="225"/>
      <c r="B801" s="225"/>
      <c r="C801" s="225"/>
      <c r="D801" s="225"/>
      <c r="E801" s="225"/>
      <c r="F801" s="225"/>
      <c r="G801" s="225"/>
      <c r="H801" s="204"/>
      <c r="I801" s="224"/>
      <c r="J801" s="224"/>
      <c r="K801" s="224"/>
      <c r="L801" s="204"/>
      <c r="M801" s="204"/>
      <c r="N801" s="204"/>
      <c r="O801" s="204"/>
      <c r="P801" s="204"/>
      <c r="Q801" s="204"/>
      <c r="R801" s="204"/>
      <c r="S801" s="204"/>
      <c r="T801" s="204"/>
      <c r="U801" s="204"/>
      <c r="V801" s="204"/>
      <c r="W801" s="204"/>
      <c r="X801" s="204"/>
      <c r="Y801" s="204"/>
      <c r="Z801" s="204"/>
      <c r="AA801" s="204"/>
    </row>
    <row r="802" spans="1:27" ht="15.75" customHeight="1" x14ac:dyDescent="0.2">
      <c r="A802" s="225"/>
      <c r="B802" s="225"/>
      <c r="C802" s="225"/>
      <c r="D802" s="225"/>
      <c r="E802" s="225"/>
      <c r="F802" s="225"/>
      <c r="G802" s="225"/>
      <c r="H802" s="204"/>
      <c r="I802" s="224"/>
      <c r="J802" s="224"/>
      <c r="K802" s="224"/>
      <c r="L802" s="204"/>
      <c r="M802" s="204"/>
      <c r="N802" s="204"/>
      <c r="O802" s="204"/>
      <c r="P802" s="204"/>
      <c r="Q802" s="204"/>
      <c r="R802" s="204"/>
      <c r="S802" s="204"/>
      <c r="T802" s="204"/>
      <c r="U802" s="204"/>
      <c r="V802" s="204"/>
      <c r="W802" s="204"/>
      <c r="X802" s="204"/>
      <c r="Y802" s="204"/>
      <c r="Z802" s="204"/>
      <c r="AA802" s="204"/>
    </row>
    <row r="803" spans="1:27" ht="15.75" customHeight="1" x14ac:dyDescent="0.2">
      <c r="A803" s="225"/>
      <c r="B803" s="225"/>
      <c r="C803" s="225"/>
      <c r="D803" s="225"/>
      <c r="E803" s="225"/>
      <c r="F803" s="225"/>
      <c r="G803" s="225"/>
      <c r="H803" s="204"/>
      <c r="I803" s="224"/>
      <c r="J803" s="224"/>
      <c r="K803" s="224"/>
      <c r="L803" s="204"/>
      <c r="M803" s="204"/>
      <c r="N803" s="204"/>
      <c r="O803" s="204"/>
      <c r="P803" s="204"/>
      <c r="Q803" s="204"/>
      <c r="R803" s="204"/>
      <c r="S803" s="204"/>
      <c r="T803" s="204"/>
      <c r="U803" s="204"/>
      <c r="V803" s="204"/>
      <c r="W803" s="204"/>
      <c r="X803" s="204"/>
      <c r="Y803" s="204"/>
      <c r="Z803" s="204"/>
      <c r="AA803" s="204"/>
    </row>
    <row r="804" spans="1:27" ht="15.75" customHeight="1" x14ac:dyDescent="0.2">
      <c r="A804" s="225"/>
      <c r="B804" s="225"/>
      <c r="C804" s="225"/>
      <c r="D804" s="225"/>
      <c r="E804" s="225"/>
      <c r="F804" s="225"/>
      <c r="G804" s="225"/>
      <c r="H804" s="204"/>
      <c r="I804" s="224"/>
      <c r="J804" s="224"/>
      <c r="K804" s="224"/>
      <c r="L804" s="204"/>
      <c r="M804" s="204"/>
      <c r="N804" s="204"/>
      <c r="O804" s="204"/>
      <c r="P804" s="204"/>
      <c r="Q804" s="204"/>
      <c r="R804" s="204"/>
      <c r="S804" s="204"/>
      <c r="T804" s="204"/>
      <c r="U804" s="204"/>
      <c r="V804" s="204"/>
      <c r="W804" s="204"/>
      <c r="X804" s="204"/>
      <c r="Y804" s="204"/>
      <c r="Z804" s="204"/>
      <c r="AA804" s="204"/>
    </row>
    <row r="805" spans="1:27" ht="15.75" customHeight="1" x14ac:dyDescent="0.2">
      <c r="A805" s="225"/>
      <c r="B805" s="225"/>
      <c r="C805" s="225"/>
      <c r="D805" s="225"/>
      <c r="E805" s="225"/>
      <c r="F805" s="225"/>
      <c r="G805" s="225"/>
      <c r="H805" s="204"/>
      <c r="I805" s="224"/>
      <c r="J805" s="224"/>
      <c r="K805" s="224"/>
      <c r="L805" s="204"/>
      <c r="M805" s="204"/>
      <c r="N805" s="204"/>
      <c r="O805" s="204"/>
      <c r="P805" s="204"/>
      <c r="Q805" s="204"/>
      <c r="R805" s="204"/>
      <c r="S805" s="204"/>
      <c r="T805" s="204"/>
      <c r="U805" s="204"/>
      <c r="V805" s="204"/>
      <c r="W805" s="204"/>
      <c r="X805" s="204"/>
      <c r="Y805" s="204"/>
      <c r="Z805" s="204"/>
      <c r="AA805" s="204"/>
    </row>
    <row r="806" spans="1:27" ht="15.75" customHeight="1" x14ac:dyDescent="0.2">
      <c r="A806" s="225"/>
      <c r="B806" s="225"/>
      <c r="C806" s="225"/>
      <c r="D806" s="225"/>
      <c r="E806" s="225"/>
      <c r="F806" s="225"/>
      <c r="G806" s="225"/>
      <c r="H806" s="204"/>
      <c r="I806" s="224"/>
      <c r="J806" s="224"/>
      <c r="K806" s="224"/>
      <c r="L806" s="204"/>
      <c r="M806" s="204"/>
      <c r="N806" s="204"/>
      <c r="O806" s="204"/>
      <c r="P806" s="204"/>
      <c r="Q806" s="204"/>
      <c r="R806" s="204"/>
      <c r="S806" s="204"/>
      <c r="T806" s="204"/>
      <c r="U806" s="204"/>
      <c r="V806" s="204"/>
      <c r="W806" s="204"/>
      <c r="X806" s="204"/>
      <c r="Y806" s="204"/>
      <c r="Z806" s="204"/>
      <c r="AA806" s="204"/>
    </row>
    <row r="807" spans="1:27" ht="15.75" customHeight="1" x14ac:dyDescent="0.2">
      <c r="A807" s="225"/>
      <c r="B807" s="225"/>
      <c r="C807" s="225"/>
      <c r="D807" s="225"/>
      <c r="E807" s="225"/>
      <c r="F807" s="225"/>
      <c r="G807" s="225"/>
      <c r="H807" s="204"/>
      <c r="I807" s="224"/>
      <c r="J807" s="224"/>
      <c r="K807" s="224"/>
      <c r="L807" s="204"/>
      <c r="M807" s="204"/>
      <c r="N807" s="204"/>
      <c r="O807" s="204"/>
      <c r="P807" s="204"/>
      <c r="Q807" s="204"/>
      <c r="R807" s="204"/>
      <c r="S807" s="204"/>
      <c r="T807" s="204"/>
      <c r="U807" s="204"/>
      <c r="V807" s="204"/>
      <c r="W807" s="204"/>
      <c r="X807" s="204"/>
      <c r="Y807" s="204"/>
      <c r="Z807" s="204"/>
      <c r="AA807" s="204"/>
    </row>
    <row r="808" spans="1:27" ht="15.75" customHeight="1" x14ac:dyDescent="0.2">
      <c r="A808" s="225"/>
      <c r="B808" s="225"/>
      <c r="C808" s="225"/>
      <c r="D808" s="225"/>
      <c r="E808" s="225"/>
      <c r="F808" s="225"/>
      <c r="G808" s="225"/>
      <c r="H808" s="204"/>
      <c r="I808" s="224"/>
      <c r="J808" s="224"/>
      <c r="K808" s="224"/>
      <c r="L808" s="204"/>
      <c r="M808" s="204"/>
      <c r="N808" s="204"/>
      <c r="O808" s="204"/>
      <c r="P808" s="204"/>
      <c r="Q808" s="204"/>
      <c r="R808" s="204"/>
      <c r="S808" s="204"/>
      <c r="T808" s="204"/>
      <c r="U808" s="204"/>
      <c r="V808" s="204"/>
      <c r="W808" s="204"/>
      <c r="X808" s="204"/>
      <c r="Y808" s="204"/>
      <c r="Z808" s="204"/>
      <c r="AA808" s="204"/>
    </row>
    <row r="809" spans="1:27" ht="15.75" customHeight="1" x14ac:dyDescent="0.2">
      <c r="A809" s="225"/>
      <c r="B809" s="225"/>
      <c r="C809" s="225"/>
      <c r="D809" s="225"/>
      <c r="E809" s="225"/>
      <c r="F809" s="225"/>
      <c r="G809" s="225"/>
      <c r="H809" s="204"/>
      <c r="I809" s="224"/>
      <c r="J809" s="224"/>
      <c r="K809" s="224"/>
      <c r="L809" s="204"/>
      <c r="M809" s="204"/>
      <c r="N809" s="204"/>
      <c r="O809" s="204"/>
      <c r="P809" s="204"/>
      <c r="Q809" s="204"/>
      <c r="R809" s="204"/>
      <c r="S809" s="204"/>
      <c r="T809" s="204"/>
      <c r="U809" s="204"/>
      <c r="V809" s="204"/>
      <c r="W809" s="204"/>
      <c r="X809" s="204"/>
      <c r="Y809" s="204"/>
      <c r="Z809" s="204"/>
      <c r="AA809" s="204"/>
    </row>
    <row r="810" spans="1:27" ht="15.75" customHeight="1" x14ac:dyDescent="0.2">
      <c r="A810" s="225"/>
      <c r="B810" s="225"/>
      <c r="C810" s="225"/>
      <c r="D810" s="225"/>
      <c r="E810" s="225"/>
      <c r="F810" s="225"/>
      <c r="G810" s="225"/>
      <c r="H810" s="204"/>
      <c r="I810" s="224"/>
      <c r="J810" s="224"/>
      <c r="K810" s="224"/>
      <c r="L810" s="204"/>
      <c r="M810" s="204"/>
      <c r="N810" s="204"/>
      <c r="O810" s="204"/>
      <c r="P810" s="204"/>
      <c r="Q810" s="204"/>
      <c r="R810" s="204"/>
      <c r="S810" s="204"/>
      <c r="T810" s="204"/>
      <c r="U810" s="204"/>
      <c r="V810" s="204"/>
      <c r="W810" s="204"/>
      <c r="X810" s="204"/>
      <c r="Y810" s="204"/>
      <c r="Z810" s="204"/>
      <c r="AA810" s="204"/>
    </row>
    <row r="811" spans="1:27" ht="15.75" customHeight="1" x14ac:dyDescent="0.2">
      <c r="A811" s="225"/>
      <c r="B811" s="225"/>
      <c r="C811" s="225"/>
      <c r="D811" s="225"/>
      <c r="E811" s="225"/>
      <c r="F811" s="225"/>
      <c r="G811" s="225"/>
      <c r="H811" s="204"/>
      <c r="I811" s="224"/>
      <c r="J811" s="224"/>
      <c r="K811" s="224"/>
      <c r="L811" s="204"/>
      <c r="M811" s="204"/>
      <c r="N811" s="204"/>
      <c r="O811" s="204"/>
      <c r="P811" s="204"/>
      <c r="Q811" s="204"/>
      <c r="R811" s="204"/>
      <c r="S811" s="204"/>
      <c r="T811" s="204"/>
      <c r="U811" s="204"/>
      <c r="V811" s="204"/>
      <c r="W811" s="204"/>
      <c r="X811" s="204"/>
      <c r="Y811" s="204"/>
      <c r="Z811" s="204"/>
      <c r="AA811" s="204"/>
    </row>
    <row r="812" spans="1:27" ht="15.75" customHeight="1" x14ac:dyDescent="0.2">
      <c r="A812" s="225"/>
      <c r="B812" s="225"/>
      <c r="C812" s="225"/>
      <c r="D812" s="225"/>
      <c r="E812" s="225"/>
      <c r="F812" s="225"/>
      <c r="G812" s="225"/>
      <c r="H812" s="204"/>
      <c r="I812" s="224"/>
      <c r="J812" s="224"/>
      <c r="K812" s="224"/>
      <c r="L812" s="204"/>
      <c r="M812" s="204"/>
      <c r="N812" s="204"/>
      <c r="O812" s="204"/>
      <c r="P812" s="204"/>
      <c r="Q812" s="204"/>
      <c r="R812" s="204"/>
      <c r="S812" s="204"/>
      <c r="T812" s="204"/>
      <c r="U812" s="204"/>
      <c r="V812" s="204"/>
      <c r="W812" s="204"/>
      <c r="X812" s="204"/>
      <c r="Y812" s="204"/>
      <c r="Z812" s="204"/>
      <c r="AA812" s="204"/>
    </row>
    <row r="813" spans="1:27" ht="15.75" customHeight="1" x14ac:dyDescent="0.2">
      <c r="A813" s="225"/>
      <c r="B813" s="225"/>
      <c r="C813" s="225"/>
      <c r="D813" s="225"/>
      <c r="E813" s="225"/>
      <c r="F813" s="225"/>
      <c r="G813" s="225"/>
      <c r="H813" s="204"/>
      <c r="I813" s="224"/>
      <c r="J813" s="224"/>
      <c r="K813" s="224"/>
      <c r="L813" s="204"/>
      <c r="M813" s="204"/>
      <c r="N813" s="204"/>
      <c r="O813" s="204"/>
      <c r="P813" s="204"/>
      <c r="Q813" s="204"/>
      <c r="R813" s="204"/>
      <c r="S813" s="204"/>
      <c r="T813" s="204"/>
      <c r="U813" s="204"/>
      <c r="V813" s="204"/>
      <c r="W813" s="204"/>
      <c r="X813" s="204"/>
      <c r="Y813" s="204"/>
      <c r="Z813" s="204"/>
      <c r="AA813" s="204"/>
    </row>
    <row r="814" spans="1:27" ht="15.75" customHeight="1" x14ac:dyDescent="0.2">
      <c r="A814" s="225"/>
      <c r="B814" s="225"/>
      <c r="C814" s="225"/>
      <c r="D814" s="225"/>
      <c r="E814" s="225"/>
      <c r="F814" s="225"/>
      <c r="G814" s="225"/>
      <c r="H814" s="204"/>
      <c r="I814" s="224"/>
      <c r="J814" s="224"/>
      <c r="K814" s="224"/>
      <c r="L814" s="204"/>
      <c r="M814" s="204"/>
      <c r="N814" s="204"/>
      <c r="O814" s="204"/>
      <c r="P814" s="204"/>
      <c r="Q814" s="204"/>
      <c r="R814" s="204"/>
      <c r="S814" s="204"/>
      <c r="T814" s="204"/>
      <c r="U814" s="204"/>
      <c r="V814" s="204"/>
      <c r="W814" s="204"/>
      <c r="X814" s="204"/>
      <c r="Y814" s="204"/>
      <c r="Z814" s="204"/>
      <c r="AA814" s="204"/>
    </row>
    <row r="815" spans="1:27" ht="15.75" customHeight="1" x14ac:dyDescent="0.2">
      <c r="A815" s="225"/>
      <c r="B815" s="225"/>
      <c r="C815" s="225"/>
      <c r="D815" s="225"/>
      <c r="E815" s="225"/>
      <c r="F815" s="225"/>
      <c r="G815" s="225"/>
      <c r="H815" s="204"/>
      <c r="I815" s="224"/>
      <c r="J815" s="224"/>
      <c r="K815" s="224"/>
      <c r="L815" s="204"/>
      <c r="M815" s="204"/>
      <c r="N815" s="204"/>
      <c r="O815" s="204"/>
      <c r="P815" s="204"/>
      <c r="Q815" s="204"/>
      <c r="R815" s="204"/>
      <c r="S815" s="204"/>
      <c r="T815" s="204"/>
      <c r="U815" s="204"/>
      <c r="V815" s="204"/>
      <c r="W815" s="204"/>
      <c r="X815" s="204"/>
      <c r="Y815" s="204"/>
      <c r="Z815" s="204"/>
      <c r="AA815" s="204"/>
    </row>
    <row r="816" spans="1:27" ht="15.75" customHeight="1" x14ac:dyDescent="0.2">
      <c r="A816" s="225"/>
      <c r="B816" s="225"/>
      <c r="C816" s="225"/>
      <c r="D816" s="225"/>
      <c r="E816" s="225"/>
      <c r="F816" s="225"/>
      <c r="G816" s="225"/>
      <c r="H816" s="204"/>
      <c r="I816" s="224"/>
      <c r="J816" s="224"/>
      <c r="K816" s="224"/>
      <c r="L816" s="204"/>
      <c r="M816" s="204"/>
      <c r="N816" s="204"/>
      <c r="O816" s="204"/>
      <c r="P816" s="204"/>
      <c r="Q816" s="204"/>
      <c r="R816" s="204"/>
      <c r="S816" s="204"/>
      <c r="T816" s="204"/>
      <c r="U816" s="204"/>
      <c r="V816" s="204"/>
      <c r="W816" s="204"/>
      <c r="X816" s="204"/>
      <c r="Y816" s="204"/>
      <c r="Z816" s="204"/>
      <c r="AA816" s="204"/>
    </row>
    <row r="817" spans="1:27" ht="15.75" customHeight="1" x14ac:dyDescent="0.2">
      <c r="A817" s="225"/>
      <c r="B817" s="225"/>
      <c r="C817" s="225"/>
      <c r="D817" s="225"/>
      <c r="E817" s="225"/>
      <c r="F817" s="225"/>
      <c r="G817" s="225"/>
      <c r="H817" s="204"/>
      <c r="I817" s="224"/>
      <c r="J817" s="224"/>
      <c r="K817" s="224"/>
      <c r="L817" s="204"/>
      <c r="M817" s="204"/>
      <c r="N817" s="204"/>
      <c r="O817" s="204"/>
      <c r="P817" s="204"/>
      <c r="Q817" s="204"/>
      <c r="R817" s="204"/>
      <c r="S817" s="204"/>
      <c r="T817" s="204"/>
      <c r="U817" s="204"/>
      <c r="V817" s="204"/>
      <c r="W817" s="204"/>
      <c r="X817" s="204"/>
      <c r="Y817" s="204"/>
      <c r="Z817" s="204"/>
      <c r="AA817" s="204"/>
    </row>
    <row r="818" spans="1:27" ht="15.75" customHeight="1" x14ac:dyDescent="0.2">
      <c r="A818" s="225"/>
      <c r="B818" s="225"/>
      <c r="C818" s="225"/>
      <c r="D818" s="225"/>
      <c r="E818" s="225"/>
      <c r="F818" s="225"/>
      <c r="G818" s="225"/>
      <c r="H818" s="204"/>
      <c r="I818" s="224"/>
      <c r="J818" s="224"/>
      <c r="K818" s="224"/>
      <c r="L818" s="204"/>
      <c r="M818" s="204"/>
      <c r="N818" s="204"/>
      <c r="O818" s="204"/>
      <c r="P818" s="204"/>
      <c r="Q818" s="204"/>
      <c r="R818" s="204"/>
      <c r="S818" s="204"/>
      <c r="T818" s="204"/>
      <c r="U818" s="204"/>
      <c r="V818" s="204"/>
      <c r="W818" s="204"/>
      <c r="X818" s="204"/>
      <c r="Y818" s="204"/>
      <c r="Z818" s="204"/>
      <c r="AA818" s="204"/>
    </row>
    <row r="819" spans="1:27" ht="15.75" customHeight="1" x14ac:dyDescent="0.2">
      <c r="A819" s="225"/>
      <c r="B819" s="225"/>
      <c r="C819" s="225"/>
      <c r="D819" s="225"/>
      <c r="E819" s="225"/>
      <c r="F819" s="225"/>
      <c r="G819" s="225"/>
      <c r="H819" s="204"/>
      <c r="I819" s="224"/>
      <c r="J819" s="224"/>
      <c r="K819" s="224"/>
      <c r="L819" s="204"/>
      <c r="M819" s="204"/>
      <c r="N819" s="204"/>
      <c r="O819" s="204"/>
      <c r="P819" s="204"/>
      <c r="Q819" s="204"/>
      <c r="R819" s="204"/>
      <c r="S819" s="204"/>
      <c r="T819" s="204"/>
      <c r="U819" s="204"/>
      <c r="V819" s="204"/>
      <c r="W819" s="204"/>
      <c r="X819" s="204"/>
      <c r="Y819" s="204"/>
      <c r="Z819" s="204"/>
      <c r="AA819" s="204"/>
    </row>
    <row r="820" spans="1:27" ht="15.75" customHeight="1" x14ac:dyDescent="0.2">
      <c r="A820" s="225"/>
      <c r="B820" s="225"/>
      <c r="C820" s="225"/>
      <c r="D820" s="225"/>
      <c r="E820" s="225"/>
      <c r="F820" s="225"/>
      <c r="G820" s="225"/>
      <c r="H820" s="204"/>
      <c r="I820" s="224"/>
      <c r="J820" s="224"/>
      <c r="K820" s="224"/>
      <c r="L820" s="204"/>
      <c r="M820" s="204"/>
      <c r="N820" s="204"/>
      <c r="O820" s="204"/>
      <c r="P820" s="204"/>
      <c r="Q820" s="204"/>
      <c r="R820" s="204"/>
      <c r="S820" s="204"/>
      <c r="T820" s="204"/>
      <c r="U820" s="204"/>
      <c r="V820" s="204"/>
      <c r="W820" s="204"/>
      <c r="X820" s="204"/>
      <c r="Y820" s="204"/>
      <c r="Z820" s="204"/>
      <c r="AA820" s="204"/>
    </row>
    <row r="821" spans="1:27" ht="15.75" customHeight="1" x14ac:dyDescent="0.2">
      <c r="A821" s="225"/>
      <c r="B821" s="225"/>
      <c r="C821" s="225"/>
      <c r="D821" s="225"/>
      <c r="E821" s="225"/>
      <c r="F821" s="225"/>
      <c r="G821" s="225"/>
      <c r="H821" s="204"/>
      <c r="I821" s="224"/>
      <c r="J821" s="224"/>
      <c r="K821" s="224"/>
      <c r="L821" s="204"/>
      <c r="M821" s="204"/>
      <c r="N821" s="204"/>
      <c r="O821" s="204"/>
      <c r="P821" s="204"/>
      <c r="Q821" s="204"/>
      <c r="R821" s="204"/>
      <c r="S821" s="204"/>
      <c r="T821" s="204"/>
      <c r="U821" s="204"/>
      <c r="V821" s="204"/>
      <c r="W821" s="204"/>
      <c r="X821" s="204"/>
      <c r="Y821" s="204"/>
      <c r="Z821" s="204"/>
      <c r="AA821" s="204"/>
    </row>
    <row r="822" spans="1:27" ht="15.75" customHeight="1" x14ac:dyDescent="0.2">
      <c r="A822" s="225"/>
      <c r="B822" s="225"/>
      <c r="C822" s="225"/>
      <c r="D822" s="225"/>
      <c r="E822" s="225"/>
      <c r="F822" s="225"/>
      <c r="G822" s="225"/>
      <c r="H822" s="204"/>
      <c r="I822" s="224"/>
      <c r="J822" s="224"/>
      <c r="K822" s="224"/>
      <c r="L822" s="204"/>
      <c r="M822" s="204"/>
      <c r="N822" s="204"/>
      <c r="O822" s="204"/>
      <c r="P822" s="204"/>
      <c r="Q822" s="204"/>
      <c r="R822" s="204"/>
      <c r="S822" s="204"/>
      <c r="T822" s="204"/>
      <c r="U822" s="204"/>
      <c r="V822" s="204"/>
      <c r="W822" s="204"/>
      <c r="X822" s="204"/>
      <c r="Y822" s="204"/>
      <c r="Z822" s="204"/>
      <c r="AA822" s="204"/>
    </row>
    <row r="823" spans="1:27" ht="15.75" customHeight="1" x14ac:dyDescent="0.2">
      <c r="A823" s="225"/>
      <c r="B823" s="225"/>
      <c r="C823" s="225"/>
      <c r="D823" s="225"/>
      <c r="E823" s="225"/>
      <c r="F823" s="225"/>
      <c r="G823" s="225"/>
      <c r="H823" s="204"/>
      <c r="I823" s="224"/>
      <c r="J823" s="224"/>
      <c r="K823" s="224"/>
      <c r="L823" s="204"/>
      <c r="M823" s="204"/>
      <c r="N823" s="204"/>
      <c r="O823" s="204"/>
      <c r="P823" s="204"/>
      <c r="Q823" s="204"/>
      <c r="R823" s="204"/>
      <c r="S823" s="204"/>
      <c r="T823" s="204"/>
      <c r="U823" s="204"/>
      <c r="V823" s="204"/>
      <c r="W823" s="204"/>
      <c r="X823" s="204"/>
      <c r="Y823" s="204"/>
      <c r="Z823" s="204"/>
      <c r="AA823" s="204"/>
    </row>
    <row r="824" spans="1:27" ht="15.75" customHeight="1" x14ac:dyDescent="0.2">
      <c r="A824" s="225"/>
      <c r="B824" s="225"/>
      <c r="C824" s="225"/>
      <c r="D824" s="225"/>
      <c r="E824" s="225"/>
      <c r="F824" s="225"/>
      <c r="G824" s="225"/>
      <c r="H824" s="204"/>
      <c r="I824" s="224"/>
      <c r="J824" s="224"/>
      <c r="K824" s="224"/>
      <c r="L824" s="204"/>
      <c r="M824" s="204"/>
      <c r="N824" s="204"/>
      <c r="O824" s="204"/>
      <c r="P824" s="204"/>
      <c r="Q824" s="204"/>
      <c r="R824" s="204"/>
      <c r="S824" s="204"/>
      <c r="T824" s="204"/>
      <c r="U824" s="204"/>
      <c r="V824" s="204"/>
      <c r="W824" s="204"/>
      <c r="X824" s="204"/>
      <c r="Y824" s="204"/>
      <c r="Z824" s="204"/>
      <c r="AA824" s="204"/>
    </row>
    <row r="825" spans="1:27" ht="15.75" customHeight="1" x14ac:dyDescent="0.2">
      <c r="A825" s="225"/>
      <c r="B825" s="225"/>
      <c r="C825" s="225"/>
      <c r="D825" s="225"/>
      <c r="E825" s="225"/>
      <c r="F825" s="225"/>
      <c r="G825" s="225"/>
      <c r="H825" s="204"/>
      <c r="I825" s="224"/>
      <c r="J825" s="224"/>
      <c r="K825" s="224"/>
      <c r="L825" s="204"/>
      <c r="M825" s="204"/>
      <c r="N825" s="204"/>
      <c r="O825" s="204"/>
      <c r="P825" s="204"/>
      <c r="Q825" s="204"/>
      <c r="R825" s="204"/>
      <c r="S825" s="204"/>
      <c r="T825" s="204"/>
      <c r="U825" s="204"/>
      <c r="V825" s="204"/>
      <c r="W825" s="204"/>
      <c r="X825" s="204"/>
      <c r="Y825" s="204"/>
      <c r="Z825" s="204"/>
      <c r="AA825" s="204"/>
    </row>
    <row r="826" spans="1:27" ht="15.75" customHeight="1" x14ac:dyDescent="0.2">
      <c r="A826" s="225"/>
      <c r="B826" s="225"/>
      <c r="C826" s="225"/>
      <c r="D826" s="225"/>
      <c r="E826" s="225"/>
      <c r="F826" s="225"/>
      <c r="G826" s="225"/>
      <c r="H826" s="204"/>
      <c r="I826" s="224"/>
      <c r="J826" s="224"/>
      <c r="K826" s="224"/>
      <c r="L826" s="204"/>
      <c r="M826" s="204"/>
      <c r="N826" s="204"/>
      <c r="O826" s="204"/>
      <c r="P826" s="204"/>
      <c r="Q826" s="204"/>
      <c r="R826" s="204"/>
      <c r="S826" s="204"/>
      <c r="T826" s="204"/>
      <c r="U826" s="204"/>
      <c r="V826" s="204"/>
      <c r="W826" s="204"/>
      <c r="X826" s="204"/>
      <c r="Y826" s="204"/>
      <c r="Z826" s="204"/>
      <c r="AA826" s="204"/>
    </row>
    <row r="827" spans="1:27" ht="15.75" customHeight="1" x14ac:dyDescent="0.2">
      <c r="A827" s="225"/>
      <c r="B827" s="225"/>
      <c r="C827" s="225"/>
      <c r="D827" s="225"/>
      <c r="E827" s="225"/>
      <c r="F827" s="225"/>
      <c r="G827" s="225"/>
      <c r="H827" s="204"/>
      <c r="I827" s="224"/>
      <c r="J827" s="224"/>
      <c r="K827" s="224"/>
      <c r="L827" s="204"/>
      <c r="M827" s="204"/>
      <c r="N827" s="204"/>
      <c r="O827" s="204"/>
      <c r="P827" s="204"/>
      <c r="Q827" s="204"/>
      <c r="R827" s="204"/>
      <c r="S827" s="204"/>
      <c r="T827" s="204"/>
      <c r="U827" s="204"/>
      <c r="V827" s="204"/>
      <c r="W827" s="204"/>
      <c r="X827" s="204"/>
      <c r="Y827" s="204"/>
      <c r="Z827" s="204"/>
      <c r="AA827" s="204"/>
    </row>
    <row r="828" spans="1:27" ht="15.75" customHeight="1" x14ac:dyDescent="0.2">
      <c r="A828" s="225"/>
      <c r="B828" s="225"/>
      <c r="C828" s="225"/>
      <c r="D828" s="225"/>
      <c r="E828" s="225"/>
      <c r="F828" s="225"/>
      <c r="G828" s="225"/>
      <c r="H828" s="204"/>
      <c r="I828" s="224"/>
      <c r="J828" s="224"/>
      <c r="K828" s="224"/>
      <c r="L828" s="204"/>
      <c r="M828" s="204"/>
      <c r="N828" s="204"/>
      <c r="O828" s="204"/>
      <c r="P828" s="204"/>
      <c r="Q828" s="204"/>
      <c r="R828" s="204"/>
      <c r="S828" s="204"/>
      <c r="T828" s="204"/>
      <c r="U828" s="204"/>
      <c r="V828" s="204"/>
      <c r="W828" s="204"/>
      <c r="X828" s="204"/>
      <c r="Y828" s="204"/>
      <c r="Z828" s="204"/>
      <c r="AA828" s="204"/>
    </row>
    <row r="829" spans="1:27" ht="15.75" customHeight="1" x14ac:dyDescent="0.2">
      <c r="A829" s="225"/>
      <c r="B829" s="225"/>
      <c r="C829" s="225"/>
      <c r="D829" s="225"/>
      <c r="E829" s="225"/>
      <c r="F829" s="225"/>
      <c r="G829" s="225"/>
      <c r="H829" s="204"/>
      <c r="I829" s="224"/>
      <c r="J829" s="224"/>
      <c r="K829" s="224"/>
      <c r="L829" s="204"/>
      <c r="M829" s="204"/>
      <c r="N829" s="204"/>
      <c r="O829" s="204"/>
      <c r="P829" s="204"/>
      <c r="Q829" s="204"/>
      <c r="R829" s="204"/>
      <c r="S829" s="204"/>
      <c r="T829" s="204"/>
      <c r="U829" s="204"/>
      <c r="V829" s="204"/>
      <c r="W829" s="204"/>
      <c r="X829" s="204"/>
      <c r="Y829" s="204"/>
      <c r="Z829" s="204"/>
      <c r="AA829" s="204"/>
    </row>
    <row r="830" spans="1:27" ht="15.75" customHeight="1" x14ac:dyDescent="0.2">
      <c r="A830" s="225"/>
      <c r="B830" s="225"/>
      <c r="C830" s="225"/>
      <c r="D830" s="225"/>
      <c r="E830" s="225"/>
      <c r="F830" s="225"/>
      <c r="G830" s="225"/>
      <c r="H830" s="204"/>
      <c r="I830" s="224"/>
      <c r="J830" s="224"/>
      <c r="K830" s="224"/>
      <c r="L830" s="204"/>
      <c r="M830" s="204"/>
      <c r="N830" s="204"/>
      <c r="O830" s="204"/>
      <c r="P830" s="204"/>
      <c r="Q830" s="204"/>
      <c r="R830" s="204"/>
      <c r="S830" s="204"/>
      <c r="T830" s="204"/>
      <c r="U830" s="204"/>
      <c r="V830" s="204"/>
      <c r="W830" s="204"/>
      <c r="X830" s="204"/>
      <c r="Y830" s="204"/>
      <c r="Z830" s="204"/>
      <c r="AA830" s="204"/>
    </row>
    <row r="831" spans="1:27" ht="15.75" customHeight="1" x14ac:dyDescent="0.2">
      <c r="A831" s="225"/>
      <c r="B831" s="225"/>
      <c r="C831" s="225"/>
      <c r="D831" s="225"/>
      <c r="E831" s="225"/>
      <c r="F831" s="225"/>
      <c r="G831" s="225"/>
      <c r="H831" s="204"/>
      <c r="I831" s="224"/>
      <c r="J831" s="224"/>
      <c r="K831" s="224"/>
      <c r="L831" s="204"/>
      <c r="M831" s="204"/>
      <c r="N831" s="204"/>
      <c r="O831" s="204"/>
      <c r="P831" s="204"/>
      <c r="Q831" s="204"/>
      <c r="R831" s="204"/>
      <c r="S831" s="204"/>
      <c r="T831" s="204"/>
      <c r="U831" s="204"/>
      <c r="V831" s="204"/>
      <c r="W831" s="204"/>
      <c r="X831" s="204"/>
      <c r="Y831" s="204"/>
      <c r="Z831" s="204"/>
      <c r="AA831" s="204"/>
    </row>
    <row r="832" spans="1:27" ht="15.75" customHeight="1" x14ac:dyDescent="0.2">
      <c r="A832" s="225"/>
      <c r="B832" s="225"/>
      <c r="C832" s="225"/>
      <c r="D832" s="225"/>
      <c r="E832" s="225"/>
      <c r="F832" s="225"/>
      <c r="G832" s="225"/>
      <c r="H832" s="204"/>
      <c r="I832" s="224"/>
      <c r="J832" s="224"/>
      <c r="K832" s="224"/>
      <c r="L832" s="204"/>
      <c r="M832" s="204"/>
      <c r="N832" s="204"/>
      <c r="O832" s="204"/>
      <c r="P832" s="204"/>
      <c r="Q832" s="204"/>
      <c r="R832" s="204"/>
      <c r="S832" s="204"/>
      <c r="T832" s="204"/>
      <c r="U832" s="204"/>
      <c r="V832" s="204"/>
      <c r="W832" s="204"/>
      <c r="X832" s="204"/>
      <c r="Y832" s="204"/>
      <c r="Z832" s="204"/>
      <c r="AA832" s="204"/>
    </row>
    <row r="833" spans="1:27" ht="15.75" customHeight="1" x14ac:dyDescent="0.2">
      <c r="A833" s="225"/>
      <c r="B833" s="225"/>
      <c r="C833" s="225"/>
      <c r="D833" s="225"/>
      <c r="E833" s="225"/>
      <c r="F833" s="225"/>
      <c r="G833" s="225"/>
      <c r="H833" s="204"/>
      <c r="I833" s="224"/>
      <c r="J833" s="224"/>
      <c r="K833" s="224"/>
      <c r="L833" s="204"/>
      <c r="M833" s="204"/>
      <c r="N833" s="204"/>
      <c r="O833" s="204"/>
      <c r="P833" s="204"/>
      <c r="Q833" s="204"/>
      <c r="R833" s="204"/>
      <c r="S833" s="204"/>
      <c r="T833" s="204"/>
      <c r="U833" s="204"/>
      <c r="V833" s="204"/>
      <c r="W833" s="204"/>
      <c r="X833" s="204"/>
      <c r="Y833" s="204"/>
      <c r="Z833" s="204"/>
      <c r="AA833" s="204"/>
    </row>
    <row r="834" spans="1:27" ht="15.75" customHeight="1" x14ac:dyDescent="0.2">
      <c r="A834" s="225"/>
      <c r="B834" s="225"/>
      <c r="C834" s="225"/>
      <c r="D834" s="225"/>
      <c r="E834" s="225"/>
      <c r="F834" s="225"/>
      <c r="G834" s="225"/>
      <c r="H834" s="204"/>
      <c r="I834" s="224"/>
      <c r="J834" s="224"/>
      <c r="K834" s="224"/>
      <c r="L834" s="204"/>
      <c r="M834" s="204"/>
      <c r="N834" s="204"/>
      <c r="O834" s="204"/>
      <c r="P834" s="204"/>
      <c r="Q834" s="204"/>
      <c r="R834" s="204"/>
      <c r="S834" s="204"/>
      <c r="T834" s="204"/>
      <c r="U834" s="204"/>
      <c r="V834" s="204"/>
      <c r="W834" s="204"/>
      <c r="X834" s="204"/>
      <c r="Y834" s="204"/>
      <c r="Z834" s="204"/>
      <c r="AA834" s="204"/>
    </row>
    <row r="835" spans="1:27" ht="15.75" customHeight="1" x14ac:dyDescent="0.2">
      <c r="A835" s="225"/>
      <c r="B835" s="225"/>
      <c r="C835" s="225"/>
      <c r="D835" s="225"/>
      <c r="E835" s="225"/>
      <c r="F835" s="225"/>
      <c r="G835" s="225"/>
      <c r="H835" s="204"/>
      <c r="I835" s="224"/>
      <c r="J835" s="224"/>
      <c r="K835" s="224"/>
      <c r="L835" s="204"/>
      <c r="M835" s="204"/>
      <c r="N835" s="204"/>
      <c r="O835" s="204"/>
      <c r="P835" s="204"/>
      <c r="Q835" s="204"/>
      <c r="R835" s="204"/>
      <c r="S835" s="204"/>
      <c r="T835" s="204"/>
      <c r="U835" s="204"/>
      <c r="V835" s="204"/>
      <c r="W835" s="204"/>
      <c r="X835" s="204"/>
      <c r="Y835" s="204"/>
      <c r="Z835" s="204"/>
      <c r="AA835" s="204"/>
    </row>
    <row r="836" spans="1:27" ht="15.75" customHeight="1" x14ac:dyDescent="0.2">
      <c r="A836" s="225"/>
      <c r="B836" s="225"/>
      <c r="C836" s="225"/>
      <c r="D836" s="225"/>
      <c r="E836" s="225"/>
      <c r="F836" s="225"/>
      <c r="G836" s="225"/>
      <c r="H836" s="204"/>
      <c r="I836" s="224"/>
      <c r="J836" s="224"/>
      <c r="K836" s="224"/>
      <c r="L836" s="204"/>
      <c r="M836" s="204"/>
      <c r="N836" s="204"/>
      <c r="O836" s="204"/>
      <c r="P836" s="204"/>
      <c r="Q836" s="204"/>
      <c r="R836" s="204"/>
      <c r="S836" s="204"/>
      <c r="T836" s="204"/>
      <c r="U836" s="204"/>
      <c r="V836" s="204"/>
      <c r="W836" s="204"/>
      <c r="X836" s="204"/>
      <c r="Y836" s="204"/>
      <c r="Z836" s="204"/>
      <c r="AA836" s="204"/>
    </row>
    <row r="837" spans="1:27" ht="15.75" customHeight="1" x14ac:dyDescent="0.2">
      <c r="A837" s="225"/>
      <c r="B837" s="225"/>
      <c r="C837" s="225"/>
      <c r="D837" s="225"/>
      <c r="E837" s="225"/>
      <c r="F837" s="225"/>
      <c r="G837" s="225"/>
      <c r="H837" s="204"/>
      <c r="I837" s="224"/>
      <c r="J837" s="224"/>
      <c r="K837" s="224"/>
      <c r="L837" s="204"/>
      <c r="M837" s="204"/>
      <c r="N837" s="204"/>
      <c r="O837" s="204"/>
      <c r="P837" s="204"/>
      <c r="Q837" s="204"/>
      <c r="R837" s="204"/>
      <c r="S837" s="204"/>
      <c r="T837" s="204"/>
      <c r="U837" s="204"/>
      <c r="V837" s="204"/>
      <c r="W837" s="204"/>
      <c r="X837" s="204"/>
      <c r="Y837" s="204"/>
      <c r="Z837" s="204"/>
      <c r="AA837" s="204"/>
    </row>
    <row r="838" spans="1:27" ht="15.75" customHeight="1" x14ac:dyDescent="0.2">
      <c r="A838" s="225"/>
      <c r="B838" s="225"/>
      <c r="C838" s="225"/>
      <c r="D838" s="225"/>
      <c r="E838" s="225"/>
      <c r="F838" s="225"/>
      <c r="G838" s="225"/>
      <c r="H838" s="204"/>
      <c r="I838" s="224"/>
      <c r="J838" s="224"/>
      <c r="K838" s="224"/>
      <c r="L838" s="204"/>
      <c r="M838" s="204"/>
      <c r="N838" s="204"/>
      <c r="O838" s="204"/>
      <c r="P838" s="204"/>
      <c r="Q838" s="204"/>
      <c r="R838" s="204"/>
      <c r="S838" s="204"/>
      <c r="T838" s="204"/>
      <c r="U838" s="204"/>
      <c r="V838" s="204"/>
      <c r="W838" s="204"/>
      <c r="X838" s="204"/>
      <c r="Y838" s="204"/>
      <c r="Z838" s="204"/>
      <c r="AA838" s="204"/>
    </row>
    <row r="839" spans="1:27" ht="15.75" customHeight="1" x14ac:dyDescent="0.2">
      <c r="A839" s="225"/>
      <c r="B839" s="225"/>
      <c r="C839" s="225"/>
      <c r="D839" s="225"/>
      <c r="E839" s="225"/>
      <c r="F839" s="225"/>
      <c r="G839" s="225"/>
      <c r="H839" s="204"/>
      <c r="I839" s="224"/>
      <c r="J839" s="224"/>
      <c r="K839" s="224"/>
      <c r="L839" s="204"/>
      <c r="M839" s="204"/>
      <c r="N839" s="204"/>
      <c r="O839" s="204"/>
      <c r="P839" s="204"/>
      <c r="Q839" s="204"/>
      <c r="R839" s="204"/>
      <c r="S839" s="204"/>
      <c r="T839" s="204"/>
      <c r="U839" s="204"/>
      <c r="V839" s="204"/>
      <c r="W839" s="204"/>
      <c r="X839" s="204"/>
      <c r="Y839" s="204"/>
      <c r="Z839" s="204"/>
      <c r="AA839" s="204"/>
    </row>
    <row r="840" spans="1:27" ht="15.75" customHeight="1" x14ac:dyDescent="0.2">
      <c r="A840" s="225"/>
      <c r="B840" s="225"/>
      <c r="C840" s="225"/>
      <c r="D840" s="225"/>
      <c r="E840" s="225"/>
      <c r="F840" s="225"/>
      <c r="G840" s="225"/>
      <c r="H840" s="204"/>
      <c r="I840" s="224"/>
      <c r="J840" s="224"/>
      <c r="K840" s="224"/>
      <c r="L840" s="204"/>
      <c r="M840" s="204"/>
      <c r="N840" s="204"/>
      <c r="O840" s="204"/>
      <c r="P840" s="204"/>
      <c r="Q840" s="204"/>
      <c r="R840" s="204"/>
      <c r="S840" s="204"/>
      <c r="T840" s="204"/>
      <c r="U840" s="204"/>
      <c r="V840" s="204"/>
      <c r="W840" s="204"/>
      <c r="X840" s="204"/>
      <c r="Y840" s="204"/>
      <c r="Z840" s="204"/>
      <c r="AA840" s="204"/>
    </row>
    <row r="841" spans="1:27" ht="15.75" customHeight="1" x14ac:dyDescent="0.2">
      <c r="A841" s="225"/>
      <c r="B841" s="225"/>
      <c r="C841" s="225"/>
      <c r="D841" s="225"/>
      <c r="E841" s="225"/>
      <c r="F841" s="225"/>
      <c r="G841" s="225"/>
      <c r="H841" s="204"/>
      <c r="I841" s="224"/>
      <c r="J841" s="224"/>
      <c r="K841" s="224"/>
      <c r="L841" s="204"/>
      <c r="M841" s="204"/>
      <c r="N841" s="204"/>
      <c r="O841" s="204"/>
      <c r="P841" s="204"/>
      <c r="Q841" s="204"/>
      <c r="R841" s="204"/>
      <c r="S841" s="204"/>
      <c r="T841" s="204"/>
      <c r="U841" s="204"/>
      <c r="V841" s="204"/>
      <c r="W841" s="204"/>
      <c r="X841" s="204"/>
      <c r="Y841" s="204"/>
      <c r="Z841" s="204"/>
      <c r="AA841" s="204"/>
    </row>
    <row r="842" spans="1:27" ht="15.75" customHeight="1" x14ac:dyDescent="0.2">
      <c r="A842" s="225"/>
      <c r="B842" s="225"/>
      <c r="C842" s="225"/>
      <c r="D842" s="225"/>
      <c r="E842" s="225"/>
      <c r="F842" s="225"/>
      <c r="G842" s="225"/>
      <c r="H842" s="204"/>
      <c r="I842" s="224"/>
      <c r="J842" s="224"/>
      <c r="K842" s="224"/>
      <c r="L842" s="204"/>
      <c r="M842" s="204"/>
      <c r="N842" s="204"/>
      <c r="O842" s="204"/>
      <c r="P842" s="204"/>
      <c r="Q842" s="204"/>
      <c r="R842" s="204"/>
      <c r="S842" s="204"/>
      <c r="T842" s="204"/>
      <c r="U842" s="204"/>
      <c r="V842" s="204"/>
      <c r="W842" s="204"/>
      <c r="X842" s="204"/>
      <c r="Y842" s="204"/>
      <c r="Z842" s="204"/>
      <c r="AA842" s="204"/>
    </row>
    <row r="843" spans="1:27" ht="15.75" customHeight="1" x14ac:dyDescent="0.2">
      <c r="A843" s="225"/>
      <c r="B843" s="225"/>
      <c r="C843" s="225"/>
      <c r="D843" s="225"/>
      <c r="E843" s="225"/>
      <c r="F843" s="225"/>
      <c r="G843" s="225"/>
      <c r="H843" s="204"/>
      <c r="I843" s="224"/>
      <c r="J843" s="224"/>
      <c r="K843" s="224"/>
      <c r="L843" s="204"/>
      <c r="M843" s="204"/>
      <c r="N843" s="204"/>
      <c r="O843" s="204"/>
      <c r="P843" s="204"/>
      <c r="Q843" s="204"/>
      <c r="R843" s="204"/>
      <c r="S843" s="204"/>
      <c r="T843" s="204"/>
      <c r="U843" s="204"/>
      <c r="V843" s="204"/>
      <c r="W843" s="204"/>
      <c r="X843" s="204"/>
      <c r="Y843" s="204"/>
      <c r="Z843" s="204"/>
      <c r="AA843" s="204"/>
    </row>
    <row r="844" spans="1:27" ht="15.75" customHeight="1" x14ac:dyDescent="0.2">
      <c r="A844" s="225"/>
      <c r="B844" s="225"/>
      <c r="C844" s="225"/>
      <c r="D844" s="225"/>
      <c r="E844" s="225"/>
      <c r="F844" s="225"/>
      <c r="G844" s="225"/>
      <c r="H844" s="204"/>
      <c r="I844" s="224"/>
      <c r="J844" s="224"/>
      <c r="K844" s="224"/>
      <c r="L844" s="204"/>
      <c r="M844" s="204"/>
      <c r="N844" s="204"/>
      <c r="O844" s="204"/>
      <c r="P844" s="204"/>
      <c r="Q844" s="204"/>
      <c r="R844" s="204"/>
      <c r="S844" s="204"/>
      <c r="T844" s="204"/>
      <c r="U844" s="204"/>
      <c r="V844" s="204"/>
      <c r="W844" s="204"/>
      <c r="X844" s="204"/>
      <c r="Y844" s="204"/>
      <c r="Z844" s="204"/>
      <c r="AA844" s="204"/>
    </row>
    <row r="845" spans="1:27" ht="15.75" customHeight="1" x14ac:dyDescent="0.2">
      <c r="A845" s="225"/>
      <c r="B845" s="225"/>
      <c r="C845" s="225"/>
      <c r="D845" s="225"/>
      <c r="E845" s="225"/>
      <c r="F845" s="225"/>
      <c r="G845" s="225"/>
      <c r="H845" s="204"/>
      <c r="I845" s="224"/>
      <c r="J845" s="224"/>
      <c r="K845" s="224"/>
      <c r="L845" s="204"/>
      <c r="M845" s="204"/>
      <c r="N845" s="204"/>
      <c r="O845" s="204"/>
      <c r="P845" s="204"/>
      <c r="Q845" s="204"/>
      <c r="R845" s="204"/>
      <c r="S845" s="204"/>
      <c r="T845" s="204"/>
      <c r="U845" s="204"/>
      <c r="V845" s="204"/>
      <c r="W845" s="204"/>
      <c r="X845" s="204"/>
      <c r="Y845" s="204"/>
      <c r="Z845" s="204"/>
      <c r="AA845" s="204"/>
    </row>
    <row r="846" spans="1:27" ht="15.75" customHeight="1" x14ac:dyDescent="0.2">
      <c r="A846" s="225"/>
      <c r="B846" s="225"/>
      <c r="C846" s="225"/>
      <c r="D846" s="225"/>
      <c r="E846" s="225"/>
      <c r="F846" s="225"/>
      <c r="G846" s="225"/>
      <c r="H846" s="204"/>
      <c r="I846" s="224"/>
      <c r="J846" s="224"/>
      <c r="K846" s="224"/>
      <c r="L846" s="204"/>
      <c r="M846" s="204"/>
      <c r="N846" s="204"/>
      <c r="O846" s="204"/>
      <c r="P846" s="204"/>
      <c r="Q846" s="204"/>
      <c r="R846" s="204"/>
      <c r="S846" s="204"/>
      <c r="T846" s="204"/>
      <c r="U846" s="204"/>
      <c r="V846" s="204"/>
      <c r="W846" s="204"/>
      <c r="X846" s="204"/>
      <c r="Y846" s="204"/>
      <c r="Z846" s="204"/>
      <c r="AA846" s="204"/>
    </row>
    <row r="847" spans="1:27" ht="15.75" customHeight="1" x14ac:dyDescent="0.2">
      <c r="A847" s="225"/>
      <c r="B847" s="225"/>
      <c r="C847" s="225"/>
      <c r="D847" s="225"/>
      <c r="E847" s="225"/>
      <c r="F847" s="225"/>
      <c r="G847" s="225"/>
      <c r="H847" s="204"/>
      <c r="I847" s="224"/>
      <c r="J847" s="224"/>
      <c r="K847" s="224"/>
      <c r="L847" s="204"/>
      <c r="M847" s="204"/>
      <c r="N847" s="204"/>
      <c r="O847" s="204"/>
      <c r="P847" s="204"/>
      <c r="Q847" s="204"/>
      <c r="R847" s="204"/>
      <c r="S847" s="204"/>
      <c r="T847" s="204"/>
      <c r="U847" s="204"/>
      <c r="V847" s="204"/>
      <c r="W847" s="204"/>
      <c r="X847" s="204"/>
      <c r="Y847" s="204"/>
      <c r="Z847" s="204"/>
      <c r="AA847" s="204"/>
    </row>
    <row r="848" spans="1:27" ht="15.75" customHeight="1" x14ac:dyDescent="0.2">
      <c r="A848" s="225"/>
      <c r="B848" s="225"/>
      <c r="C848" s="225"/>
      <c r="D848" s="225"/>
      <c r="E848" s="225"/>
      <c r="F848" s="225"/>
      <c r="G848" s="225"/>
      <c r="H848" s="204"/>
      <c r="I848" s="224"/>
      <c r="J848" s="224"/>
      <c r="K848" s="224"/>
      <c r="L848" s="204"/>
      <c r="M848" s="204"/>
      <c r="N848" s="204"/>
      <c r="O848" s="204"/>
      <c r="P848" s="204"/>
      <c r="Q848" s="204"/>
      <c r="R848" s="204"/>
      <c r="S848" s="204"/>
      <c r="T848" s="204"/>
      <c r="U848" s="204"/>
      <c r="V848" s="204"/>
      <c r="W848" s="204"/>
      <c r="X848" s="204"/>
      <c r="Y848" s="204"/>
      <c r="Z848" s="204"/>
      <c r="AA848" s="204"/>
    </row>
    <row r="849" spans="1:27" ht="15.75" customHeight="1" x14ac:dyDescent="0.2">
      <c r="A849" s="225"/>
      <c r="B849" s="225"/>
      <c r="C849" s="225"/>
      <c r="D849" s="225"/>
      <c r="E849" s="225"/>
      <c r="F849" s="225"/>
      <c r="G849" s="225"/>
      <c r="H849" s="204"/>
      <c r="I849" s="224"/>
      <c r="J849" s="224"/>
      <c r="K849" s="224"/>
      <c r="L849" s="204"/>
      <c r="M849" s="204"/>
      <c r="N849" s="204"/>
      <c r="O849" s="204"/>
      <c r="P849" s="204"/>
      <c r="Q849" s="204"/>
      <c r="R849" s="204"/>
      <c r="S849" s="204"/>
      <c r="T849" s="204"/>
      <c r="U849" s="204"/>
      <c r="V849" s="204"/>
      <c r="W849" s="204"/>
      <c r="X849" s="204"/>
      <c r="Y849" s="204"/>
      <c r="Z849" s="204"/>
      <c r="AA849" s="204"/>
    </row>
    <row r="850" spans="1:27" ht="15.75" customHeight="1" x14ac:dyDescent="0.2">
      <c r="A850" s="225"/>
      <c r="B850" s="225"/>
      <c r="C850" s="225"/>
      <c r="D850" s="225"/>
      <c r="E850" s="225"/>
      <c r="F850" s="225"/>
      <c r="G850" s="225"/>
      <c r="H850" s="204"/>
      <c r="I850" s="224"/>
      <c r="J850" s="224"/>
      <c r="K850" s="224"/>
      <c r="L850" s="204"/>
      <c r="M850" s="204"/>
      <c r="N850" s="204"/>
      <c r="O850" s="204"/>
      <c r="P850" s="204"/>
      <c r="Q850" s="204"/>
      <c r="R850" s="204"/>
      <c r="S850" s="204"/>
      <c r="T850" s="204"/>
      <c r="U850" s="204"/>
      <c r="V850" s="204"/>
      <c r="W850" s="204"/>
      <c r="X850" s="204"/>
      <c r="Y850" s="204"/>
      <c r="Z850" s="204"/>
      <c r="AA850" s="204"/>
    </row>
    <row r="851" spans="1:27" ht="15.75" customHeight="1" x14ac:dyDescent="0.2">
      <c r="A851" s="225"/>
      <c r="B851" s="225"/>
      <c r="C851" s="225"/>
      <c r="D851" s="225"/>
      <c r="E851" s="225"/>
      <c r="F851" s="225"/>
      <c r="G851" s="225"/>
      <c r="H851" s="204"/>
      <c r="I851" s="224"/>
      <c r="J851" s="224"/>
      <c r="K851" s="224"/>
      <c r="L851" s="204"/>
      <c r="M851" s="204"/>
      <c r="N851" s="204"/>
      <c r="O851" s="204"/>
      <c r="P851" s="204"/>
      <c r="Q851" s="204"/>
      <c r="R851" s="204"/>
      <c r="S851" s="204"/>
      <c r="T851" s="204"/>
      <c r="U851" s="204"/>
      <c r="V851" s="204"/>
      <c r="W851" s="204"/>
      <c r="X851" s="204"/>
      <c r="Y851" s="204"/>
      <c r="Z851" s="204"/>
      <c r="AA851" s="204"/>
    </row>
    <row r="852" spans="1:27" ht="15.75" customHeight="1" x14ac:dyDescent="0.2">
      <c r="A852" s="225"/>
      <c r="B852" s="225"/>
      <c r="C852" s="225"/>
      <c r="D852" s="225"/>
      <c r="E852" s="225"/>
      <c r="F852" s="225"/>
      <c r="G852" s="225"/>
      <c r="H852" s="204"/>
      <c r="I852" s="224"/>
      <c r="J852" s="224"/>
      <c r="K852" s="224"/>
      <c r="L852" s="204"/>
      <c r="M852" s="204"/>
      <c r="N852" s="204"/>
      <c r="O852" s="204"/>
      <c r="P852" s="204"/>
      <c r="Q852" s="204"/>
      <c r="R852" s="204"/>
      <c r="S852" s="204"/>
      <c r="T852" s="204"/>
      <c r="U852" s="204"/>
      <c r="V852" s="204"/>
      <c r="W852" s="204"/>
      <c r="X852" s="204"/>
      <c r="Y852" s="204"/>
      <c r="Z852" s="204"/>
      <c r="AA852" s="204"/>
    </row>
    <row r="853" spans="1:27" ht="15.75" customHeight="1" x14ac:dyDescent="0.2">
      <c r="A853" s="225"/>
      <c r="B853" s="225"/>
      <c r="C853" s="225"/>
      <c r="D853" s="225"/>
      <c r="E853" s="225"/>
      <c r="F853" s="225"/>
      <c r="G853" s="225"/>
      <c r="H853" s="204"/>
      <c r="I853" s="224"/>
      <c r="J853" s="224"/>
      <c r="K853" s="224"/>
      <c r="L853" s="204"/>
      <c r="M853" s="204"/>
      <c r="N853" s="204"/>
      <c r="O853" s="204"/>
      <c r="P853" s="204"/>
      <c r="Q853" s="204"/>
      <c r="R853" s="204"/>
      <c r="S853" s="204"/>
      <c r="T853" s="204"/>
      <c r="U853" s="204"/>
      <c r="V853" s="204"/>
      <c r="W853" s="204"/>
      <c r="X853" s="204"/>
      <c r="Y853" s="204"/>
      <c r="Z853" s="204"/>
      <c r="AA853" s="204"/>
    </row>
    <row r="854" spans="1:27" ht="15.75" customHeight="1" x14ac:dyDescent="0.2">
      <c r="A854" s="225"/>
      <c r="B854" s="225"/>
      <c r="C854" s="225"/>
      <c r="D854" s="225"/>
      <c r="E854" s="225"/>
      <c r="F854" s="225"/>
      <c r="G854" s="225"/>
      <c r="H854" s="204"/>
      <c r="I854" s="224"/>
      <c r="J854" s="224"/>
      <c r="K854" s="224"/>
      <c r="L854" s="204"/>
      <c r="M854" s="204"/>
      <c r="N854" s="204"/>
      <c r="O854" s="204"/>
      <c r="P854" s="204"/>
      <c r="Q854" s="204"/>
      <c r="R854" s="204"/>
      <c r="S854" s="204"/>
      <c r="T854" s="204"/>
      <c r="U854" s="204"/>
      <c r="V854" s="204"/>
      <c r="W854" s="204"/>
      <c r="X854" s="204"/>
      <c r="Y854" s="204"/>
      <c r="Z854" s="204"/>
      <c r="AA854" s="204"/>
    </row>
    <row r="855" spans="1:27" ht="15.75" customHeight="1" x14ac:dyDescent="0.2">
      <c r="A855" s="225"/>
      <c r="B855" s="225"/>
      <c r="C855" s="225"/>
      <c r="D855" s="225"/>
      <c r="E855" s="225"/>
      <c r="F855" s="225"/>
      <c r="G855" s="225"/>
      <c r="H855" s="204"/>
      <c r="I855" s="224"/>
      <c r="J855" s="224"/>
      <c r="K855" s="224"/>
      <c r="L855" s="204"/>
      <c r="M855" s="204"/>
      <c r="N855" s="204"/>
      <c r="O855" s="204"/>
      <c r="P855" s="204"/>
      <c r="Q855" s="204"/>
      <c r="R855" s="204"/>
      <c r="S855" s="204"/>
      <c r="T855" s="204"/>
      <c r="U855" s="204"/>
      <c r="V855" s="204"/>
      <c r="W855" s="204"/>
      <c r="X855" s="204"/>
      <c r="Y855" s="204"/>
      <c r="Z855" s="204"/>
      <c r="AA855" s="204"/>
    </row>
    <row r="856" spans="1:27" ht="15.75" customHeight="1" x14ac:dyDescent="0.2">
      <c r="A856" s="225"/>
      <c r="B856" s="225"/>
      <c r="C856" s="225"/>
      <c r="D856" s="225"/>
      <c r="E856" s="225"/>
      <c r="F856" s="225"/>
      <c r="G856" s="225"/>
      <c r="H856" s="204"/>
      <c r="I856" s="224"/>
      <c r="J856" s="224"/>
      <c r="K856" s="224"/>
      <c r="L856" s="204"/>
      <c r="M856" s="204"/>
      <c r="N856" s="204"/>
      <c r="O856" s="204"/>
      <c r="P856" s="204"/>
      <c r="Q856" s="204"/>
      <c r="R856" s="204"/>
      <c r="S856" s="204"/>
      <c r="T856" s="204"/>
      <c r="U856" s="204"/>
      <c r="V856" s="204"/>
      <c r="W856" s="204"/>
      <c r="X856" s="204"/>
      <c r="Y856" s="204"/>
      <c r="Z856" s="204"/>
      <c r="AA856" s="204"/>
    </row>
    <row r="857" spans="1:27" ht="15.75" customHeight="1" x14ac:dyDescent="0.2">
      <c r="A857" s="225"/>
      <c r="B857" s="225"/>
      <c r="C857" s="225"/>
      <c r="D857" s="225"/>
      <c r="E857" s="225"/>
      <c r="F857" s="225"/>
      <c r="G857" s="225"/>
      <c r="H857" s="204"/>
      <c r="I857" s="224"/>
      <c r="J857" s="224"/>
      <c r="K857" s="224"/>
      <c r="L857" s="204"/>
      <c r="M857" s="204"/>
      <c r="N857" s="204"/>
      <c r="O857" s="204"/>
      <c r="P857" s="204"/>
      <c r="Q857" s="204"/>
      <c r="R857" s="204"/>
      <c r="S857" s="204"/>
      <c r="T857" s="204"/>
      <c r="U857" s="204"/>
      <c r="V857" s="204"/>
      <c r="W857" s="204"/>
      <c r="X857" s="204"/>
      <c r="Y857" s="204"/>
      <c r="Z857" s="204"/>
      <c r="AA857" s="204"/>
    </row>
    <row r="858" spans="1:27" ht="15.75" customHeight="1" x14ac:dyDescent="0.2">
      <c r="A858" s="225"/>
      <c r="B858" s="225"/>
      <c r="C858" s="225"/>
      <c r="D858" s="225"/>
      <c r="E858" s="225"/>
      <c r="F858" s="225"/>
      <c r="G858" s="225"/>
      <c r="H858" s="204"/>
      <c r="I858" s="224"/>
      <c r="J858" s="224"/>
      <c r="K858" s="224"/>
      <c r="L858" s="204"/>
      <c r="M858" s="204"/>
      <c r="N858" s="204"/>
      <c r="O858" s="204"/>
      <c r="P858" s="204"/>
      <c r="Q858" s="204"/>
      <c r="R858" s="204"/>
      <c r="S858" s="204"/>
      <c r="T858" s="204"/>
      <c r="U858" s="204"/>
      <c r="V858" s="204"/>
      <c r="W858" s="204"/>
      <c r="X858" s="204"/>
      <c r="Y858" s="204"/>
      <c r="Z858" s="204"/>
      <c r="AA858" s="204"/>
    </row>
    <row r="859" spans="1:27" ht="15.75" customHeight="1" x14ac:dyDescent="0.2">
      <c r="A859" s="225"/>
      <c r="B859" s="225"/>
      <c r="C859" s="225"/>
      <c r="D859" s="225"/>
      <c r="E859" s="225"/>
      <c r="F859" s="225"/>
      <c r="G859" s="225"/>
      <c r="H859" s="204"/>
      <c r="I859" s="224"/>
      <c r="J859" s="224"/>
      <c r="K859" s="224"/>
      <c r="L859" s="204"/>
      <c r="M859" s="204"/>
      <c r="N859" s="204"/>
      <c r="O859" s="204"/>
      <c r="P859" s="204"/>
      <c r="Q859" s="204"/>
      <c r="R859" s="204"/>
      <c r="S859" s="204"/>
      <c r="T859" s="204"/>
      <c r="U859" s="204"/>
      <c r="V859" s="204"/>
      <c r="W859" s="204"/>
      <c r="X859" s="204"/>
      <c r="Y859" s="204"/>
      <c r="Z859" s="204"/>
      <c r="AA859" s="204"/>
    </row>
    <row r="860" spans="1:27" ht="15.75" customHeight="1" x14ac:dyDescent="0.2">
      <c r="A860" s="225"/>
      <c r="B860" s="225"/>
      <c r="C860" s="225"/>
      <c r="D860" s="225"/>
      <c r="E860" s="225"/>
      <c r="F860" s="225"/>
      <c r="G860" s="225"/>
      <c r="H860" s="204"/>
      <c r="I860" s="224"/>
      <c r="J860" s="224"/>
      <c r="K860" s="224"/>
      <c r="L860" s="204"/>
      <c r="M860" s="204"/>
      <c r="N860" s="204"/>
      <c r="O860" s="204"/>
      <c r="P860" s="204"/>
      <c r="Q860" s="204"/>
      <c r="R860" s="204"/>
      <c r="S860" s="204"/>
      <c r="T860" s="204"/>
      <c r="U860" s="204"/>
      <c r="V860" s="204"/>
      <c r="W860" s="204"/>
      <c r="X860" s="204"/>
      <c r="Y860" s="204"/>
      <c r="Z860" s="204"/>
      <c r="AA860" s="204"/>
    </row>
    <row r="861" spans="1:27" ht="15.75" customHeight="1" x14ac:dyDescent="0.2">
      <c r="A861" s="225"/>
      <c r="B861" s="225"/>
      <c r="C861" s="225"/>
      <c r="D861" s="225"/>
      <c r="E861" s="225"/>
      <c r="F861" s="225"/>
      <c r="G861" s="225"/>
      <c r="H861" s="204"/>
      <c r="I861" s="224"/>
      <c r="J861" s="224"/>
      <c r="K861" s="224"/>
      <c r="L861" s="204"/>
      <c r="M861" s="204"/>
      <c r="N861" s="204"/>
      <c r="O861" s="204"/>
      <c r="P861" s="204"/>
      <c r="Q861" s="204"/>
      <c r="R861" s="204"/>
      <c r="S861" s="204"/>
      <c r="T861" s="204"/>
      <c r="U861" s="204"/>
      <c r="V861" s="204"/>
      <c r="W861" s="204"/>
      <c r="X861" s="204"/>
      <c r="Y861" s="204"/>
      <c r="Z861" s="204"/>
      <c r="AA861" s="204"/>
    </row>
    <row r="862" spans="1:27" ht="15.75" customHeight="1" x14ac:dyDescent="0.2">
      <c r="A862" s="225"/>
      <c r="B862" s="225"/>
      <c r="C862" s="225"/>
      <c r="D862" s="225"/>
      <c r="E862" s="225"/>
      <c r="F862" s="225"/>
      <c r="G862" s="225"/>
      <c r="H862" s="204"/>
      <c r="I862" s="224"/>
      <c r="J862" s="224"/>
      <c r="K862" s="224"/>
      <c r="L862" s="204"/>
      <c r="M862" s="204"/>
      <c r="N862" s="204"/>
      <c r="O862" s="204"/>
      <c r="P862" s="204"/>
      <c r="Q862" s="204"/>
      <c r="R862" s="204"/>
      <c r="S862" s="204"/>
      <c r="T862" s="204"/>
      <c r="U862" s="204"/>
      <c r="V862" s="204"/>
      <c r="W862" s="204"/>
      <c r="X862" s="204"/>
      <c r="Y862" s="204"/>
      <c r="Z862" s="204"/>
      <c r="AA862" s="204"/>
    </row>
    <row r="863" spans="1:27" ht="15.75" customHeight="1" x14ac:dyDescent="0.2">
      <c r="A863" s="225"/>
      <c r="B863" s="225"/>
      <c r="C863" s="225"/>
      <c r="D863" s="225"/>
      <c r="E863" s="225"/>
      <c r="F863" s="225"/>
      <c r="G863" s="225"/>
      <c r="H863" s="204"/>
      <c r="I863" s="224"/>
      <c r="J863" s="224"/>
      <c r="K863" s="224"/>
      <c r="L863" s="204"/>
      <c r="M863" s="204"/>
      <c r="N863" s="204"/>
      <c r="O863" s="204"/>
      <c r="P863" s="204"/>
      <c r="Q863" s="204"/>
      <c r="R863" s="204"/>
      <c r="S863" s="204"/>
      <c r="T863" s="204"/>
      <c r="U863" s="204"/>
      <c r="V863" s="204"/>
      <c r="W863" s="204"/>
      <c r="X863" s="204"/>
      <c r="Y863" s="204"/>
      <c r="Z863" s="204"/>
      <c r="AA863" s="204"/>
    </row>
    <row r="864" spans="1:27" ht="15.75" customHeight="1" x14ac:dyDescent="0.2">
      <c r="A864" s="225"/>
      <c r="B864" s="225"/>
      <c r="C864" s="225"/>
      <c r="D864" s="225"/>
      <c r="E864" s="225"/>
      <c r="F864" s="225"/>
      <c r="G864" s="225"/>
      <c r="H864" s="204"/>
      <c r="I864" s="224"/>
      <c r="J864" s="224"/>
      <c r="K864" s="224"/>
      <c r="L864" s="204"/>
      <c r="M864" s="204"/>
      <c r="N864" s="204"/>
      <c r="O864" s="204"/>
      <c r="P864" s="204"/>
      <c r="Q864" s="204"/>
      <c r="R864" s="204"/>
      <c r="S864" s="204"/>
      <c r="T864" s="204"/>
      <c r="U864" s="204"/>
      <c r="V864" s="204"/>
      <c r="W864" s="204"/>
      <c r="X864" s="204"/>
      <c r="Y864" s="204"/>
      <c r="Z864" s="204"/>
      <c r="AA864" s="204"/>
    </row>
    <row r="865" spans="1:27" ht="15.75" customHeight="1" x14ac:dyDescent="0.2">
      <c r="A865" s="225"/>
      <c r="B865" s="225"/>
      <c r="C865" s="225"/>
      <c r="D865" s="225"/>
      <c r="E865" s="225"/>
      <c r="F865" s="225"/>
      <c r="G865" s="225"/>
      <c r="H865" s="204"/>
      <c r="I865" s="224"/>
      <c r="J865" s="224"/>
      <c r="K865" s="224"/>
      <c r="L865" s="204"/>
      <c r="M865" s="204"/>
      <c r="N865" s="204"/>
      <c r="O865" s="204"/>
      <c r="P865" s="204"/>
      <c r="Q865" s="204"/>
      <c r="R865" s="204"/>
      <c r="S865" s="204"/>
      <c r="T865" s="204"/>
      <c r="U865" s="204"/>
      <c r="V865" s="204"/>
      <c r="W865" s="204"/>
      <c r="X865" s="204"/>
      <c r="Y865" s="204"/>
      <c r="Z865" s="204"/>
      <c r="AA865" s="204"/>
    </row>
    <row r="866" spans="1:27" ht="15.75" customHeight="1" x14ac:dyDescent="0.2">
      <c r="A866" s="225"/>
      <c r="B866" s="225"/>
      <c r="C866" s="225"/>
      <c r="D866" s="225"/>
      <c r="E866" s="225"/>
      <c r="F866" s="225"/>
      <c r="G866" s="225"/>
      <c r="H866" s="204"/>
      <c r="I866" s="224"/>
      <c r="J866" s="224"/>
      <c r="K866" s="224"/>
      <c r="L866" s="204"/>
      <c r="M866" s="204"/>
      <c r="N866" s="204"/>
      <c r="O866" s="204"/>
      <c r="P866" s="204"/>
      <c r="Q866" s="204"/>
      <c r="R866" s="204"/>
      <c r="S866" s="204"/>
      <c r="T866" s="204"/>
      <c r="U866" s="204"/>
      <c r="V866" s="204"/>
      <c r="W866" s="204"/>
      <c r="X866" s="204"/>
      <c r="Y866" s="204"/>
      <c r="Z866" s="204"/>
      <c r="AA866" s="204"/>
    </row>
    <row r="867" spans="1:27" ht="15.75" customHeight="1" x14ac:dyDescent="0.2">
      <c r="A867" s="225"/>
      <c r="B867" s="225"/>
      <c r="C867" s="225"/>
      <c r="D867" s="225"/>
      <c r="E867" s="225"/>
      <c r="F867" s="225"/>
      <c r="G867" s="225"/>
      <c r="H867" s="204"/>
      <c r="I867" s="224"/>
      <c r="J867" s="224"/>
      <c r="K867" s="224"/>
      <c r="L867" s="204"/>
      <c r="M867" s="204"/>
      <c r="N867" s="204"/>
      <c r="O867" s="204"/>
      <c r="P867" s="204"/>
      <c r="Q867" s="204"/>
      <c r="R867" s="204"/>
      <c r="S867" s="204"/>
      <c r="T867" s="204"/>
      <c r="U867" s="204"/>
      <c r="V867" s="204"/>
      <c r="W867" s="204"/>
      <c r="X867" s="204"/>
      <c r="Y867" s="204"/>
      <c r="Z867" s="204"/>
      <c r="AA867" s="204"/>
    </row>
    <row r="868" spans="1:27" ht="15.75" customHeight="1" x14ac:dyDescent="0.2">
      <c r="A868" s="225"/>
      <c r="B868" s="225"/>
      <c r="C868" s="225"/>
      <c r="D868" s="225"/>
      <c r="E868" s="225"/>
      <c r="F868" s="225"/>
      <c r="G868" s="225"/>
      <c r="H868" s="204"/>
      <c r="I868" s="224"/>
      <c r="J868" s="224"/>
      <c r="K868" s="224"/>
      <c r="L868" s="204"/>
      <c r="M868" s="204"/>
      <c r="N868" s="204"/>
      <c r="O868" s="204"/>
      <c r="P868" s="204"/>
      <c r="Q868" s="204"/>
      <c r="R868" s="204"/>
      <c r="S868" s="204"/>
      <c r="T868" s="204"/>
      <c r="U868" s="204"/>
      <c r="V868" s="204"/>
      <c r="W868" s="204"/>
      <c r="X868" s="204"/>
      <c r="Y868" s="204"/>
      <c r="Z868" s="204"/>
      <c r="AA868" s="204"/>
    </row>
    <row r="869" spans="1:27" ht="15.75" customHeight="1" x14ac:dyDescent="0.2">
      <c r="A869" s="225"/>
      <c r="B869" s="225"/>
      <c r="C869" s="225"/>
      <c r="D869" s="225"/>
      <c r="E869" s="225"/>
      <c r="F869" s="225"/>
      <c r="G869" s="225"/>
      <c r="H869" s="204"/>
      <c r="I869" s="224"/>
      <c r="J869" s="224"/>
      <c r="K869" s="224"/>
      <c r="L869" s="204"/>
      <c r="M869" s="204"/>
      <c r="N869" s="204"/>
      <c r="O869" s="204"/>
      <c r="P869" s="204"/>
      <c r="Q869" s="204"/>
      <c r="R869" s="204"/>
      <c r="S869" s="204"/>
      <c r="T869" s="204"/>
      <c r="U869" s="204"/>
      <c r="V869" s="204"/>
      <c r="W869" s="204"/>
      <c r="X869" s="204"/>
      <c r="Y869" s="204"/>
      <c r="Z869" s="204"/>
      <c r="AA869" s="204"/>
    </row>
    <row r="870" spans="1:27" ht="15.75" customHeight="1" x14ac:dyDescent="0.2">
      <c r="A870" s="225"/>
      <c r="B870" s="225"/>
      <c r="C870" s="225"/>
      <c r="D870" s="225"/>
      <c r="E870" s="225"/>
      <c r="F870" s="225"/>
      <c r="G870" s="225"/>
      <c r="H870" s="204"/>
      <c r="I870" s="224"/>
      <c r="J870" s="224"/>
      <c r="K870" s="224"/>
      <c r="L870" s="204"/>
      <c r="M870" s="204"/>
      <c r="N870" s="204"/>
      <c r="O870" s="204"/>
      <c r="P870" s="204"/>
      <c r="Q870" s="204"/>
      <c r="R870" s="204"/>
      <c r="S870" s="204"/>
      <c r="T870" s="204"/>
      <c r="U870" s="204"/>
      <c r="V870" s="204"/>
      <c r="W870" s="204"/>
      <c r="X870" s="204"/>
      <c r="Y870" s="204"/>
      <c r="Z870" s="204"/>
      <c r="AA870" s="204"/>
    </row>
    <row r="871" spans="1:27" ht="15.75" customHeight="1" x14ac:dyDescent="0.2">
      <c r="A871" s="225"/>
      <c r="B871" s="225"/>
      <c r="C871" s="225"/>
      <c r="D871" s="225"/>
      <c r="E871" s="225"/>
      <c r="F871" s="225"/>
      <c r="G871" s="225"/>
      <c r="H871" s="204"/>
      <c r="I871" s="224"/>
      <c r="J871" s="224"/>
      <c r="K871" s="224"/>
      <c r="L871" s="204"/>
      <c r="M871" s="204"/>
      <c r="N871" s="204"/>
      <c r="O871" s="204"/>
      <c r="P871" s="204"/>
      <c r="Q871" s="204"/>
      <c r="R871" s="204"/>
      <c r="S871" s="204"/>
      <c r="T871" s="204"/>
      <c r="U871" s="204"/>
      <c r="V871" s="204"/>
      <c r="W871" s="204"/>
      <c r="X871" s="204"/>
      <c r="Y871" s="204"/>
      <c r="Z871" s="204"/>
      <c r="AA871" s="204"/>
    </row>
    <row r="872" spans="1:27" ht="15.75" customHeight="1" x14ac:dyDescent="0.2">
      <c r="A872" s="225"/>
      <c r="B872" s="225"/>
      <c r="C872" s="225"/>
      <c r="D872" s="225"/>
      <c r="E872" s="225"/>
      <c r="F872" s="225"/>
      <c r="G872" s="225"/>
      <c r="H872" s="204"/>
      <c r="I872" s="224"/>
      <c r="J872" s="224"/>
      <c r="K872" s="224"/>
      <c r="L872" s="204"/>
      <c r="M872" s="204"/>
      <c r="N872" s="204"/>
      <c r="O872" s="204"/>
      <c r="P872" s="204"/>
      <c r="Q872" s="204"/>
      <c r="R872" s="204"/>
      <c r="S872" s="204"/>
      <c r="T872" s="204"/>
      <c r="U872" s="204"/>
      <c r="V872" s="204"/>
      <c r="W872" s="204"/>
      <c r="X872" s="204"/>
      <c r="Y872" s="204"/>
      <c r="Z872" s="204"/>
      <c r="AA872" s="204"/>
    </row>
    <row r="873" spans="1:27" ht="15.75" customHeight="1" x14ac:dyDescent="0.2">
      <c r="A873" s="225"/>
      <c r="B873" s="225"/>
      <c r="C873" s="225"/>
      <c r="D873" s="225"/>
      <c r="E873" s="225"/>
      <c r="F873" s="225"/>
      <c r="G873" s="225"/>
      <c r="H873" s="204"/>
      <c r="I873" s="224"/>
      <c r="J873" s="224"/>
      <c r="K873" s="224"/>
      <c r="L873" s="204"/>
      <c r="M873" s="204"/>
      <c r="N873" s="204"/>
      <c r="O873" s="204"/>
      <c r="P873" s="204"/>
      <c r="Q873" s="204"/>
      <c r="R873" s="204"/>
      <c r="S873" s="204"/>
      <c r="T873" s="204"/>
      <c r="U873" s="204"/>
      <c r="V873" s="204"/>
      <c r="W873" s="204"/>
      <c r="X873" s="204"/>
      <c r="Y873" s="204"/>
      <c r="Z873" s="204"/>
      <c r="AA873" s="204"/>
    </row>
    <row r="874" spans="1:27" ht="15.75" customHeight="1" x14ac:dyDescent="0.2">
      <c r="A874" s="225"/>
      <c r="B874" s="225"/>
      <c r="C874" s="225"/>
      <c r="D874" s="225"/>
      <c r="E874" s="225"/>
      <c r="F874" s="225"/>
      <c r="G874" s="225"/>
      <c r="H874" s="204"/>
      <c r="I874" s="224"/>
      <c r="J874" s="224"/>
      <c r="K874" s="224"/>
      <c r="L874" s="204"/>
      <c r="M874" s="204"/>
      <c r="N874" s="204"/>
      <c r="O874" s="204"/>
      <c r="P874" s="204"/>
      <c r="Q874" s="204"/>
      <c r="R874" s="204"/>
      <c r="S874" s="204"/>
      <c r="T874" s="204"/>
      <c r="U874" s="204"/>
      <c r="V874" s="204"/>
      <c r="W874" s="204"/>
      <c r="X874" s="204"/>
      <c r="Y874" s="204"/>
      <c r="Z874" s="204"/>
      <c r="AA874" s="204"/>
    </row>
    <row r="875" spans="1:27" ht="15.75" customHeight="1" x14ac:dyDescent="0.2">
      <c r="A875" s="225"/>
      <c r="B875" s="225"/>
      <c r="C875" s="225"/>
      <c r="D875" s="225"/>
      <c r="E875" s="225"/>
      <c r="F875" s="225"/>
      <c r="G875" s="225"/>
      <c r="H875" s="204"/>
      <c r="I875" s="224"/>
      <c r="J875" s="224"/>
      <c r="K875" s="224"/>
      <c r="L875" s="204"/>
      <c r="M875" s="204"/>
      <c r="N875" s="204"/>
      <c r="O875" s="204"/>
      <c r="P875" s="204"/>
      <c r="Q875" s="204"/>
      <c r="R875" s="204"/>
      <c r="S875" s="204"/>
      <c r="T875" s="204"/>
      <c r="U875" s="204"/>
      <c r="V875" s="204"/>
      <c r="W875" s="204"/>
      <c r="X875" s="204"/>
      <c r="Y875" s="204"/>
      <c r="Z875" s="204"/>
      <c r="AA875" s="204"/>
    </row>
    <row r="876" spans="1:27" ht="15.75" customHeight="1" x14ac:dyDescent="0.2">
      <c r="A876" s="225"/>
      <c r="B876" s="225"/>
      <c r="C876" s="225"/>
      <c r="D876" s="225"/>
      <c r="E876" s="225"/>
      <c r="F876" s="225"/>
      <c r="G876" s="225"/>
      <c r="H876" s="204"/>
      <c r="I876" s="224"/>
      <c r="J876" s="224"/>
      <c r="K876" s="224"/>
      <c r="L876" s="204"/>
      <c r="M876" s="204"/>
      <c r="N876" s="204"/>
      <c r="O876" s="204"/>
      <c r="P876" s="204"/>
      <c r="Q876" s="204"/>
      <c r="R876" s="204"/>
      <c r="S876" s="204"/>
      <c r="T876" s="204"/>
      <c r="U876" s="204"/>
      <c r="V876" s="204"/>
      <c r="W876" s="204"/>
      <c r="X876" s="204"/>
      <c r="Y876" s="204"/>
      <c r="Z876" s="204"/>
      <c r="AA876" s="204"/>
    </row>
    <row r="877" spans="1:27" ht="15.75" customHeight="1" x14ac:dyDescent="0.2">
      <c r="A877" s="225"/>
      <c r="B877" s="225"/>
      <c r="C877" s="225"/>
      <c r="D877" s="225"/>
      <c r="E877" s="225"/>
      <c r="F877" s="225"/>
      <c r="G877" s="225"/>
      <c r="H877" s="204"/>
      <c r="I877" s="224"/>
      <c r="J877" s="224"/>
      <c r="K877" s="224"/>
      <c r="L877" s="204"/>
      <c r="M877" s="204"/>
      <c r="N877" s="204"/>
      <c r="O877" s="204"/>
      <c r="P877" s="204"/>
      <c r="Q877" s="204"/>
      <c r="R877" s="204"/>
      <c r="S877" s="204"/>
      <c r="T877" s="204"/>
      <c r="U877" s="204"/>
      <c r="V877" s="204"/>
      <c r="W877" s="204"/>
      <c r="X877" s="204"/>
      <c r="Y877" s="204"/>
      <c r="Z877" s="204"/>
      <c r="AA877" s="204"/>
    </row>
    <row r="878" spans="1:27" ht="15.75" customHeight="1" x14ac:dyDescent="0.2">
      <c r="A878" s="225"/>
      <c r="B878" s="225"/>
      <c r="C878" s="225"/>
      <c r="D878" s="225"/>
      <c r="E878" s="225"/>
      <c r="F878" s="225"/>
      <c r="G878" s="225"/>
      <c r="H878" s="204"/>
      <c r="I878" s="224"/>
      <c r="J878" s="224"/>
      <c r="K878" s="224"/>
      <c r="L878" s="204"/>
      <c r="M878" s="204"/>
      <c r="N878" s="204"/>
      <c r="O878" s="204"/>
      <c r="P878" s="204"/>
      <c r="Q878" s="204"/>
      <c r="R878" s="204"/>
      <c r="S878" s="204"/>
      <c r="T878" s="204"/>
      <c r="U878" s="204"/>
      <c r="V878" s="204"/>
      <c r="W878" s="204"/>
      <c r="X878" s="204"/>
      <c r="Y878" s="204"/>
      <c r="Z878" s="204"/>
      <c r="AA878" s="204"/>
    </row>
    <row r="879" spans="1:27" ht="15.75" customHeight="1" x14ac:dyDescent="0.2">
      <c r="A879" s="225"/>
      <c r="B879" s="225"/>
      <c r="C879" s="225"/>
      <c r="D879" s="225"/>
      <c r="E879" s="225"/>
      <c r="F879" s="225"/>
      <c r="G879" s="225"/>
      <c r="H879" s="204"/>
      <c r="I879" s="224"/>
      <c r="J879" s="224"/>
      <c r="K879" s="224"/>
      <c r="L879" s="204"/>
      <c r="M879" s="204"/>
      <c r="N879" s="204"/>
      <c r="O879" s="204"/>
      <c r="P879" s="204"/>
      <c r="Q879" s="204"/>
      <c r="R879" s="204"/>
      <c r="S879" s="204"/>
      <c r="T879" s="204"/>
      <c r="U879" s="204"/>
      <c r="V879" s="204"/>
      <c r="W879" s="204"/>
      <c r="X879" s="204"/>
      <c r="Y879" s="204"/>
      <c r="Z879" s="204"/>
      <c r="AA879" s="204"/>
    </row>
    <row r="880" spans="1:27" ht="15.75" customHeight="1" x14ac:dyDescent="0.2">
      <c r="A880" s="225"/>
      <c r="B880" s="225"/>
      <c r="C880" s="225"/>
      <c r="D880" s="225"/>
      <c r="E880" s="225"/>
      <c r="F880" s="225"/>
      <c r="G880" s="225"/>
      <c r="H880" s="204"/>
      <c r="I880" s="224"/>
      <c r="J880" s="224"/>
      <c r="K880" s="224"/>
      <c r="L880" s="204"/>
      <c r="M880" s="204"/>
      <c r="N880" s="204"/>
      <c r="O880" s="204"/>
      <c r="P880" s="204"/>
      <c r="Q880" s="204"/>
      <c r="R880" s="204"/>
      <c r="S880" s="204"/>
      <c r="T880" s="204"/>
      <c r="U880" s="204"/>
      <c r="V880" s="204"/>
      <c r="W880" s="204"/>
      <c r="X880" s="204"/>
      <c r="Y880" s="204"/>
      <c r="Z880" s="204"/>
      <c r="AA880" s="204"/>
    </row>
    <row r="881" spans="1:27" ht="15.75" customHeight="1" x14ac:dyDescent="0.2">
      <c r="A881" s="225"/>
      <c r="B881" s="225"/>
      <c r="C881" s="225"/>
      <c r="D881" s="225"/>
      <c r="E881" s="225"/>
      <c r="F881" s="225"/>
      <c r="G881" s="225"/>
      <c r="H881" s="204"/>
      <c r="I881" s="224"/>
      <c r="J881" s="224"/>
      <c r="K881" s="224"/>
      <c r="L881" s="204"/>
      <c r="M881" s="204"/>
      <c r="N881" s="204"/>
      <c r="O881" s="204"/>
      <c r="P881" s="204"/>
      <c r="Q881" s="204"/>
      <c r="R881" s="204"/>
      <c r="S881" s="204"/>
      <c r="T881" s="204"/>
      <c r="U881" s="204"/>
      <c r="V881" s="204"/>
      <c r="W881" s="204"/>
      <c r="X881" s="204"/>
      <c r="Y881" s="204"/>
      <c r="Z881" s="204"/>
      <c r="AA881" s="204"/>
    </row>
    <row r="882" spans="1:27" ht="15.75" customHeight="1" x14ac:dyDescent="0.2">
      <c r="A882" s="225"/>
      <c r="B882" s="225"/>
      <c r="C882" s="225"/>
      <c r="D882" s="225"/>
      <c r="E882" s="225"/>
      <c r="F882" s="225"/>
      <c r="G882" s="225"/>
      <c r="H882" s="204"/>
      <c r="I882" s="224"/>
      <c r="J882" s="224"/>
      <c r="K882" s="224"/>
      <c r="L882" s="204"/>
      <c r="M882" s="204"/>
      <c r="N882" s="204"/>
      <c r="O882" s="204"/>
      <c r="P882" s="204"/>
      <c r="Q882" s="204"/>
      <c r="R882" s="204"/>
      <c r="S882" s="204"/>
      <c r="T882" s="204"/>
      <c r="U882" s="204"/>
      <c r="V882" s="204"/>
      <c r="W882" s="204"/>
      <c r="X882" s="204"/>
      <c r="Y882" s="204"/>
      <c r="Z882" s="204"/>
      <c r="AA882" s="204"/>
    </row>
    <row r="883" spans="1:27" ht="15.75" customHeight="1" x14ac:dyDescent="0.2">
      <c r="A883" s="225"/>
      <c r="B883" s="225"/>
      <c r="C883" s="225"/>
      <c r="D883" s="225"/>
      <c r="E883" s="225"/>
      <c r="F883" s="225"/>
      <c r="G883" s="225"/>
      <c r="H883" s="204"/>
      <c r="I883" s="224"/>
      <c r="J883" s="224"/>
      <c r="K883" s="224"/>
      <c r="L883" s="204"/>
      <c r="M883" s="204"/>
      <c r="N883" s="204"/>
      <c r="O883" s="204"/>
      <c r="P883" s="204"/>
      <c r="Q883" s="204"/>
      <c r="R883" s="204"/>
      <c r="S883" s="204"/>
      <c r="T883" s="204"/>
      <c r="U883" s="204"/>
      <c r="V883" s="204"/>
      <c r="W883" s="204"/>
      <c r="X883" s="204"/>
      <c r="Y883" s="204"/>
      <c r="Z883" s="204"/>
      <c r="AA883" s="204"/>
    </row>
    <row r="884" spans="1:27" ht="15.75" customHeight="1" x14ac:dyDescent="0.2">
      <c r="A884" s="225"/>
      <c r="B884" s="225"/>
      <c r="C884" s="225"/>
      <c r="D884" s="225"/>
      <c r="E884" s="225"/>
      <c r="F884" s="225"/>
      <c r="G884" s="225"/>
      <c r="H884" s="204"/>
      <c r="I884" s="224"/>
      <c r="J884" s="224"/>
      <c r="K884" s="224"/>
      <c r="L884" s="204"/>
      <c r="M884" s="204"/>
      <c r="N884" s="204"/>
      <c r="O884" s="204"/>
      <c r="P884" s="204"/>
      <c r="Q884" s="204"/>
      <c r="R884" s="204"/>
      <c r="S884" s="204"/>
      <c r="T884" s="204"/>
      <c r="U884" s="204"/>
      <c r="V884" s="204"/>
      <c r="W884" s="204"/>
      <c r="X884" s="204"/>
      <c r="Y884" s="204"/>
      <c r="Z884" s="204"/>
      <c r="AA884" s="204"/>
    </row>
    <row r="885" spans="1:27" ht="15.75" customHeight="1" x14ac:dyDescent="0.2">
      <c r="A885" s="225"/>
      <c r="B885" s="225"/>
      <c r="C885" s="225"/>
      <c r="D885" s="225"/>
      <c r="E885" s="225"/>
      <c r="F885" s="225"/>
      <c r="G885" s="225"/>
      <c r="H885" s="204"/>
      <c r="I885" s="224"/>
      <c r="J885" s="224"/>
      <c r="K885" s="224"/>
      <c r="L885" s="204"/>
      <c r="M885" s="204"/>
      <c r="N885" s="204"/>
      <c r="O885" s="204"/>
      <c r="P885" s="204"/>
      <c r="Q885" s="204"/>
      <c r="R885" s="204"/>
      <c r="S885" s="204"/>
      <c r="T885" s="204"/>
      <c r="U885" s="204"/>
      <c r="V885" s="204"/>
      <c r="W885" s="204"/>
      <c r="X885" s="204"/>
      <c r="Y885" s="204"/>
      <c r="Z885" s="204"/>
      <c r="AA885" s="204"/>
    </row>
    <row r="886" spans="1:27" ht="15.75" customHeight="1" x14ac:dyDescent="0.2">
      <c r="A886" s="225"/>
      <c r="B886" s="225"/>
      <c r="C886" s="225"/>
      <c r="D886" s="225"/>
      <c r="E886" s="225"/>
      <c r="F886" s="225"/>
      <c r="G886" s="225"/>
      <c r="H886" s="204"/>
      <c r="I886" s="224"/>
      <c r="J886" s="224"/>
      <c r="K886" s="224"/>
      <c r="L886" s="204"/>
      <c r="M886" s="204"/>
      <c r="N886" s="204"/>
      <c r="O886" s="204"/>
      <c r="P886" s="204"/>
      <c r="Q886" s="204"/>
      <c r="R886" s="204"/>
      <c r="S886" s="204"/>
      <c r="T886" s="204"/>
      <c r="U886" s="204"/>
      <c r="V886" s="204"/>
      <c r="W886" s="204"/>
      <c r="X886" s="204"/>
      <c r="Y886" s="204"/>
      <c r="Z886" s="204"/>
      <c r="AA886" s="204"/>
    </row>
    <row r="887" spans="1:27" ht="15.75" customHeight="1" x14ac:dyDescent="0.2">
      <c r="A887" s="225"/>
      <c r="B887" s="225"/>
      <c r="C887" s="225"/>
      <c r="D887" s="225"/>
      <c r="E887" s="225"/>
      <c r="F887" s="225"/>
      <c r="G887" s="225"/>
      <c r="H887" s="204"/>
      <c r="I887" s="224"/>
      <c r="J887" s="224"/>
      <c r="K887" s="224"/>
      <c r="L887" s="204"/>
      <c r="M887" s="204"/>
      <c r="N887" s="204"/>
      <c r="O887" s="204"/>
      <c r="P887" s="204"/>
      <c r="Q887" s="204"/>
      <c r="R887" s="204"/>
      <c r="S887" s="204"/>
      <c r="T887" s="204"/>
      <c r="U887" s="204"/>
      <c r="V887" s="204"/>
      <c r="W887" s="204"/>
      <c r="X887" s="204"/>
      <c r="Y887" s="204"/>
      <c r="Z887" s="204"/>
      <c r="AA887" s="204"/>
    </row>
    <row r="888" spans="1:27" ht="15.75" customHeight="1" x14ac:dyDescent="0.2">
      <c r="A888" s="225"/>
      <c r="B888" s="225"/>
      <c r="C888" s="225"/>
      <c r="D888" s="225"/>
      <c r="E888" s="225"/>
      <c r="F888" s="225"/>
      <c r="G888" s="225"/>
      <c r="H888" s="204"/>
      <c r="I888" s="224"/>
      <c r="J888" s="224"/>
      <c r="K888" s="224"/>
      <c r="L888" s="204"/>
      <c r="M888" s="204"/>
      <c r="N888" s="204"/>
      <c r="O888" s="204"/>
      <c r="P888" s="204"/>
      <c r="Q888" s="204"/>
      <c r="R888" s="204"/>
      <c r="S888" s="204"/>
      <c r="T888" s="204"/>
      <c r="U888" s="204"/>
      <c r="V888" s="204"/>
      <c r="W888" s="204"/>
      <c r="X888" s="204"/>
      <c r="Y888" s="204"/>
      <c r="Z888" s="204"/>
      <c r="AA888" s="204"/>
    </row>
    <row r="889" spans="1:27" ht="15.75" customHeight="1" x14ac:dyDescent="0.2">
      <c r="A889" s="225"/>
      <c r="B889" s="225"/>
      <c r="C889" s="225"/>
      <c r="D889" s="225"/>
      <c r="E889" s="225"/>
      <c r="F889" s="225"/>
      <c r="G889" s="225"/>
      <c r="H889" s="204"/>
      <c r="I889" s="224"/>
      <c r="J889" s="224"/>
      <c r="K889" s="224"/>
      <c r="L889" s="204"/>
      <c r="M889" s="204"/>
      <c r="N889" s="204"/>
      <c r="O889" s="204"/>
      <c r="P889" s="204"/>
      <c r="Q889" s="204"/>
      <c r="R889" s="204"/>
      <c r="S889" s="204"/>
      <c r="T889" s="204"/>
      <c r="U889" s="204"/>
      <c r="V889" s="204"/>
      <c r="W889" s="204"/>
      <c r="X889" s="204"/>
      <c r="Y889" s="204"/>
      <c r="Z889" s="204"/>
      <c r="AA889" s="204"/>
    </row>
    <row r="890" spans="1:27" ht="15.75" customHeight="1" x14ac:dyDescent="0.2">
      <c r="A890" s="225"/>
      <c r="B890" s="225"/>
      <c r="C890" s="225"/>
      <c r="D890" s="225"/>
      <c r="E890" s="225"/>
      <c r="F890" s="225"/>
      <c r="G890" s="225"/>
      <c r="H890" s="204"/>
      <c r="I890" s="224"/>
      <c r="J890" s="224"/>
      <c r="K890" s="224"/>
      <c r="L890" s="204"/>
      <c r="M890" s="204"/>
      <c r="N890" s="204"/>
      <c r="O890" s="204"/>
      <c r="P890" s="204"/>
      <c r="Q890" s="204"/>
      <c r="R890" s="204"/>
      <c r="S890" s="204"/>
      <c r="T890" s="204"/>
      <c r="U890" s="204"/>
      <c r="V890" s="204"/>
      <c r="W890" s="204"/>
      <c r="X890" s="204"/>
      <c r="Y890" s="204"/>
      <c r="Z890" s="204"/>
      <c r="AA890" s="204"/>
    </row>
    <row r="891" spans="1:27" ht="15.75" customHeight="1" x14ac:dyDescent="0.2">
      <c r="A891" s="225"/>
      <c r="B891" s="225"/>
      <c r="C891" s="225"/>
      <c r="D891" s="225"/>
      <c r="E891" s="225"/>
      <c r="F891" s="225"/>
      <c r="G891" s="225"/>
      <c r="H891" s="204"/>
      <c r="I891" s="224"/>
      <c r="J891" s="224"/>
      <c r="K891" s="224"/>
      <c r="L891" s="204"/>
      <c r="M891" s="204"/>
      <c r="N891" s="204"/>
      <c r="O891" s="204"/>
      <c r="P891" s="204"/>
      <c r="Q891" s="204"/>
      <c r="R891" s="204"/>
      <c r="S891" s="204"/>
      <c r="T891" s="204"/>
      <c r="U891" s="204"/>
      <c r="V891" s="204"/>
      <c r="W891" s="204"/>
      <c r="X891" s="204"/>
      <c r="Y891" s="204"/>
      <c r="Z891" s="204"/>
      <c r="AA891" s="204"/>
    </row>
    <row r="892" spans="1:27" ht="15.75" customHeight="1" x14ac:dyDescent="0.2">
      <c r="A892" s="225"/>
      <c r="B892" s="225"/>
      <c r="C892" s="225"/>
      <c r="D892" s="225"/>
      <c r="E892" s="225"/>
      <c r="F892" s="225"/>
      <c r="G892" s="225"/>
      <c r="H892" s="204"/>
      <c r="I892" s="224"/>
      <c r="J892" s="224"/>
      <c r="K892" s="224"/>
      <c r="L892" s="204"/>
      <c r="M892" s="204"/>
      <c r="N892" s="204"/>
      <c r="O892" s="204"/>
      <c r="P892" s="204"/>
      <c r="Q892" s="204"/>
      <c r="R892" s="204"/>
      <c r="S892" s="204"/>
      <c r="T892" s="204"/>
      <c r="U892" s="204"/>
      <c r="V892" s="204"/>
      <c r="W892" s="204"/>
      <c r="X892" s="204"/>
      <c r="Y892" s="204"/>
      <c r="Z892" s="204"/>
      <c r="AA892" s="204"/>
    </row>
    <row r="893" spans="1:27" ht="15.75" customHeight="1" x14ac:dyDescent="0.2">
      <c r="A893" s="225"/>
      <c r="B893" s="225"/>
      <c r="C893" s="225"/>
      <c r="D893" s="225"/>
      <c r="E893" s="225"/>
      <c r="F893" s="225"/>
      <c r="G893" s="225"/>
      <c r="H893" s="204"/>
      <c r="I893" s="224"/>
      <c r="J893" s="224"/>
      <c r="K893" s="224"/>
      <c r="L893" s="204"/>
      <c r="M893" s="204"/>
      <c r="N893" s="204"/>
      <c r="O893" s="204"/>
      <c r="P893" s="204"/>
      <c r="Q893" s="204"/>
      <c r="R893" s="204"/>
      <c r="S893" s="204"/>
      <c r="T893" s="204"/>
      <c r="U893" s="204"/>
      <c r="V893" s="204"/>
      <c r="W893" s="204"/>
      <c r="X893" s="204"/>
      <c r="Y893" s="204"/>
      <c r="Z893" s="204"/>
      <c r="AA893" s="204"/>
    </row>
    <row r="894" spans="1:27" ht="15.75" customHeight="1" x14ac:dyDescent="0.2">
      <c r="A894" s="225"/>
      <c r="B894" s="225"/>
      <c r="C894" s="225"/>
      <c r="D894" s="225"/>
      <c r="E894" s="225"/>
      <c r="F894" s="225"/>
      <c r="G894" s="225"/>
      <c r="H894" s="204"/>
      <c r="I894" s="224"/>
      <c r="J894" s="224"/>
      <c r="K894" s="224"/>
      <c r="L894" s="204"/>
      <c r="M894" s="204"/>
      <c r="N894" s="204"/>
      <c r="O894" s="204"/>
      <c r="P894" s="204"/>
      <c r="Q894" s="204"/>
      <c r="R894" s="204"/>
      <c r="S894" s="204"/>
      <c r="T894" s="204"/>
      <c r="U894" s="204"/>
      <c r="V894" s="204"/>
      <c r="W894" s="204"/>
      <c r="X894" s="204"/>
      <c r="Y894" s="204"/>
      <c r="Z894" s="204"/>
      <c r="AA894" s="204"/>
    </row>
    <row r="895" spans="1:27" ht="15.75" customHeight="1" x14ac:dyDescent="0.2">
      <c r="A895" s="225"/>
      <c r="B895" s="225"/>
      <c r="C895" s="225"/>
      <c r="D895" s="225"/>
      <c r="E895" s="225"/>
      <c r="F895" s="225"/>
      <c r="G895" s="225"/>
      <c r="H895" s="204"/>
      <c r="I895" s="224"/>
      <c r="J895" s="224"/>
      <c r="K895" s="224"/>
      <c r="L895" s="204"/>
      <c r="M895" s="204"/>
      <c r="N895" s="204"/>
      <c r="O895" s="204"/>
      <c r="P895" s="204"/>
      <c r="Q895" s="204"/>
      <c r="R895" s="204"/>
      <c r="S895" s="204"/>
      <c r="T895" s="204"/>
      <c r="U895" s="204"/>
      <c r="V895" s="204"/>
      <c r="W895" s="204"/>
      <c r="X895" s="204"/>
      <c r="Y895" s="204"/>
      <c r="Z895" s="204"/>
      <c r="AA895" s="204"/>
    </row>
    <row r="896" spans="1:27" ht="15.75" customHeight="1" x14ac:dyDescent="0.2">
      <c r="A896" s="225"/>
      <c r="B896" s="225"/>
      <c r="C896" s="225"/>
      <c r="D896" s="225"/>
      <c r="E896" s="225"/>
      <c r="F896" s="225"/>
      <c r="G896" s="225"/>
      <c r="H896" s="204"/>
      <c r="I896" s="224"/>
      <c r="J896" s="224"/>
      <c r="K896" s="224"/>
      <c r="L896" s="204"/>
      <c r="M896" s="204"/>
      <c r="N896" s="204"/>
      <c r="O896" s="204"/>
      <c r="P896" s="204"/>
      <c r="Q896" s="204"/>
      <c r="R896" s="204"/>
      <c r="S896" s="204"/>
      <c r="T896" s="204"/>
      <c r="U896" s="204"/>
      <c r="V896" s="204"/>
      <c r="W896" s="204"/>
      <c r="X896" s="204"/>
      <c r="Y896" s="204"/>
      <c r="Z896" s="204"/>
      <c r="AA896" s="204"/>
    </row>
    <row r="897" spans="1:27" ht="15.75" customHeight="1" x14ac:dyDescent="0.2">
      <c r="A897" s="225"/>
      <c r="B897" s="225"/>
      <c r="C897" s="225"/>
      <c r="D897" s="225"/>
      <c r="E897" s="225"/>
      <c r="F897" s="225"/>
      <c r="G897" s="225"/>
      <c r="H897" s="204"/>
      <c r="I897" s="224"/>
      <c r="J897" s="224"/>
      <c r="K897" s="224"/>
      <c r="L897" s="204"/>
      <c r="M897" s="204"/>
      <c r="N897" s="204"/>
      <c r="O897" s="204"/>
      <c r="P897" s="204"/>
      <c r="Q897" s="204"/>
      <c r="R897" s="204"/>
      <c r="S897" s="204"/>
      <c r="T897" s="204"/>
      <c r="U897" s="204"/>
      <c r="V897" s="204"/>
      <c r="W897" s="204"/>
      <c r="X897" s="204"/>
      <c r="Y897" s="204"/>
      <c r="Z897" s="204"/>
      <c r="AA897" s="204"/>
    </row>
    <row r="898" spans="1:27" ht="15.75" customHeight="1" x14ac:dyDescent="0.2">
      <c r="A898" s="225"/>
      <c r="B898" s="225"/>
      <c r="C898" s="225"/>
      <c r="D898" s="225"/>
      <c r="E898" s="225"/>
      <c r="F898" s="225"/>
      <c r="G898" s="225"/>
      <c r="H898" s="204"/>
      <c r="I898" s="224"/>
      <c r="J898" s="224"/>
      <c r="K898" s="224"/>
      <c r="L898" s="204"/>
      <c r="M898" s="204"/>
      <c r="N898" s="204"/>
      <c r="O898" s="204"/>
      <c r="P898" s="204"/>
      <c r="Q898" s="204"/>
      <c r="R898" s="204"/>
      <c r="S898" s="204"/>
      <c r="T898" s="204"/>
      <c r="U898" s="204"/>
      <c r="V898" s="204"/>
      <c r="W898" s="204"/>
      <c r="X898" s="204"/>
      <c r="Y898" s="204"/>
      <c r="Z898" s="204"/>
      <c r="AA898" s="204"/>
    </row>
    <row r="899" spans="1:27" ht="15.75" customHeight="1" x14ac:dyDescent="0.2">
      <c r="A899" s="225"/>
      <c r="B899" s="225"/>
      <c r="C899" s="225"/>
      <c r="D899" s="225"/>
      <c r="E899" s="225"/>
      <c r="F899" s="225"/>
      <c r="G899" s="225"/>
      <c r="H899" s="204"/>
      <c r="I899" s="224"/>
      <c r="J899" s="224"/>
      <c r="K899" s="224"/>
      <c r="L899" s="204"/>
      <c r="M899" s="204"/>
      <c r="N899" s="204"/>
      <c r="O899" s="204"/>
      <c r="P899" s="204"/>
      <c r="Q899" s="204"/>
      <c r="R899" s="204"/>
      <c r="S899" s="204"/>
      <c r="T899" s="204"/>
      <c r="U899" s="204"/>
      <c r="V899" s="204"/>
      <c r="W899" s="204"/>
      <c r="X899" s="204"/>
      <c r="Y899" s="204"/>
      <c r="Z899" s="204"/>
      <c r="AA899" s="204"/>
    </row>
    <row r="900" spans="1:27" ht="15.75" customHeight="1" x14ac:dyDescent="0.2">
      <c r="A900" s="225"/>
      <c r="B900" s="225"/>
      <c r="C900" s="225"/>
      <c r="D900" s="225"/>
      <c r="E900" s="225"/>
      <c r="F900" s="225"/>
      <c r="G900" s="225"/>
      <c r="H900" s="204"/>
      <c r="I900" s="224"/>
      <c r="J900" s="224"/>
      <c r="K900" s="224"/>
      <c r="L900" s="204"/>
      <c r="M900" s="204"/>
      <c r="N900" s="204"/>
      <c r="O900" s="204"/>
      <c r="P900" s="204"/>
      <c r="Q900" s="204"/>
      <c r="R900" s="204"/>
      <c r="S900" s="204"/>
      <c r="T900" s="204"/>
      <c r="U900" s="204"/>
      <c r="V900" s="204"/>
      <c r="W900" s="204"/>
      <c r="X900" s="204"/>
      <c r="Y900" s="204"/>
      <c r="Z900" s="204"/>
      <c r="AA900" s="204"/>
    </row>
    <row r="901" spans="1:27" ht="15.75" customHeight="1" x14ac:dyDescent="0.2">
      <c r="A901" s="225"/>
      <c r="B901" s="225"/>
      <c r="C901" s="225"/>
      <c r="D901" s="225"/>
      <c r="E901" s="225"/>
      <c r="F901" s="225"/>
      <c r="G901" s="225"/>
      <c r="H901" s="204"/>
      <c r="I901" s="224"/>
      <c r="J901" s="224"/>
      <c r="K901" s="224"/>
      <c r="L901" s="204"/>
      <c r="M901" s="204"/>
      <c r="N901" s="204"/>
      <c r="O901" s="204"/>
      <c r="P901" s="204"/>
      <c r="Q901" s="204"/>
      <c r="R901" s="204"/>
      <c r="S901" s="204"/>
      <c r="T901" s="204"/>
      <c r="U901" s="204"/>
      <c r="V901" s="204"/>
      <c r="W901" s="204"/>
      <c r="X901" s="204"/>
      <c r="Y901" s="204"/>
      <c r="Z901" s="204"/>
      <c r="AA901" s="204"/>
    </row>
    <row r="902" spans="1:27" ht="15.75" customHeight="1" x14ac:dyDescent="0.2">
      <c r="A902" s="225"/>
      <c r="B902" s="225"/>
      <c r="C902" s="225"/>
      <c r="D902" s="225"/>
      <c r="E902" s="225"/>
      <c r="F902" s="225"/>
      <c r="G902" s="225"/>
      <c r="H902" s="204"/>
      <c r="I902" s="224"/>
      <c r="J902" s="224"/>
      <c r="K902" s="224"/>
      <c r="L902" s="204"/>
      <c r="M902" s="204"/>
      <c r="N902" s="204"/>
      <c r="O902" s="204"/>
      <c r="P902" s="204"/>
      <c r="Q902" s="204"/>
      <c r="R902" s="204"/>
      <c r="S902" s="204"/>
      <c r="T902" s="204"/>
      <c r="U902" s="204"/>
      <c r="V902" s="204"/>
      <c r="W902" s="204"/>
      <c r="X902" s="204"/>
      <c r="Y902" s="204"/>
      <c r="Z902" s="204"/>
      <c r="AA902" s="204"/>
    </row>
    <row r="903" spans="1:27" ht="15.75" customHeight="1" x14ac:dyDescent="0.2">
      <c r="A903" s="225"/>
      <c r="B903" s="225"/>
      <c r="C903" s="225"/>
      <c r="D903" s="225"/>
      <c r="E903" s="225"/>
      <c r="F903" s="225"/>
      <c r="G903" s="225"/>
      <c r="H903" s="204"/>
      <c r="I903" s="224"/>
      <c r="J903" s="224"/>
      <c r="K903" s="224"/>
      <c r="L903" s="204"/>
      <c r="M903" s="204"/>
      <c r="N903" s="204"/>
      <c r="O903" s="204"/>
      <c r="P903" s="204"/>
      <c r="Q903" s="204"/>
      <c r="R903" s="204"/>
      <c r="S903" s="204"/>
      <c r="T903" s="204"/>
      <c r="U903" s="204"/>
      <c r="V903" s="204"/>
      <c r="W903" s="204"/>
      <c r="X903" s="204"/>
      <c r="Y903" s="204"/>
      <c r="Z903" s="204"/>
      <c r="AA903" s="204"/>
    </row>
    <row r="904" spans="1:27" ht="15.75" customHeight="1" x14ac:dyDescent="0.2">
      <c r="A904" s="225"/>
      <c r="B904" s="225"/>
      <c r="C904" s="225"/>
      <c r="D904" s="225"/>
      <c r="E904" s="225"/>
      <c r="F904" s="225"/>
      <c r="G904" s="225"/>
      <c r="H904" s="204"/>
      <c r="I904" s="224"/>
      <c r="J904" s="224"/>
      <c r="K904" s="224"/>
      <c r="L904" s="204"/>
      <c r="M904" s="204"/>
      <c r="N904" s="204"/>
      <c r="O904" s="204"/>
      <c r="P904" s="204"/>
      <c r="Q904" s="204"/>
      <c r="R904" s="204"/>
      <c r="S904" s="204"/>
      <c r="T904" s="204"/>
      <c r="U904" s="204"/>
      <c r="V904" s="204"/>
      <c r="W904" s="204"/>
      <c r="X904" s="204"/>
      <c r="Y904" s="204"/>
      <c r="Z904" s="204"/>
      <c r="AA904" s="204"/>
    </row>
    <row r="905" spans="1:27" ht="15.75" customHeight="1" x14ac:dyDescent="0.2">
      <c r="A905" s="225"/>
      <c r="B905" s="225"/>
      <c r="C905" s="225"/>
      <c r="D905" s="225"/>
      <c r="E905" s="225"/>
      <c r="F905" s="225"/>
      <c r="G905" s="225"/>
      <c r="H905" s="204"/>
      <c r="I905" s="224"/>
      <c r="J905" s="224"/>
      <c r="K905" s="224"/>
      <c r="L905" s="204"/>
      <c r="M905" s="204"/>
      <c r="N905" s="204"/>
      <c r="O905" s="204"/>
      <c r="P905" s="204"/>
      <c r="Q905" s="204"/>
      <c r="R905" s="204"/>
      <c r="S905" s="204"/>
      <c r="T905" s="204"/>
      <c r="U905" s="204"/>
      <c r="V905" s="204"/>
      <c r="W905" s="204"/>
      <c r="X905" s="204"/>
      <c r="Y905" s="204"/>
      <c r="Z905" s="204"/>
      <c r="AA905" s="204"/>
    </row>
    <row r="906" spans="1:27" ht="15.75" customHeight="1" x14ac:dyDescent="0.2">
      <c r="A906" s="225"/>
      <c r="B906" s="225"/>
      <c r="C906" s="225"/>
      <c r="D906" s="225"/>
      <c r="E906" s="225"/>
      <c r="F906" s="225"/>
      <c r="G906" s="225"/>
      <c r="H906" s="204"/>
      <c r="I906" s="224"/>
      <c r="J906" s="224"/>
      <c r="K906" s="224"/>
      <c r="L906" s="204"/>
      <c r="M906" s="204"/>
      <c r="N906" s="204"/>
      <c r="O906" s="204"/>
      <c r="P906" s="204"/>
      <c r="Q906" s="204"/>
      <c r="R906" s="204"/>
      <c r="S906" s="204"/>
      <c r="T906" s="204"/>
      <c r="U906" s="204"/>
      <c r="V906" s="204"/>
      <c r="W906" s="204"/>
      <c r="X906" s="204"/>
      <c r="Y906" s="204"/>
      <c r="Z906" s="204"/>
      <c r="AA906" s="204"/>
    </row>
    <row r="907" spans="1:27" ht="15.75" customHeight="1" x14ac:dyDescent="0.2">
      <c r="A907" s="225"/>
      <c r="B907" s="225"/>
      <c r="C907" s="225"/>
      <c r="D907" s="225"/>
      <c r="E907" s="225"/>
      <c r="F907" s="225"/>
      <c r="G907" s="225"/>
      <c r="H907" s="204"/>
      <c r="I907" s="224"/>
      <c r="J907" s="224"/>
      <c r="K907" s="224"/>
      <c r="L907" s="204"/>
      <c r="M907" s="204"/>
      <c r="N907" s="204"/>
      <c r="O907" s="204"/>
      <c r="P907" s="204"/>
      <c r="Q907" s="204"/>
      <c r="R907" s="204"/>
      <c r="S907" s="204"/>
      <c r="T907" s="204"/>
      <c r="U907" s="204"/>
      <c r="V907" s="204"/>
      <c r="W907" s="204"/>
      <c r="X907" s="204"/>
      <c r="Y907" s="204"/>
      <c r="Z907" s="204"/>
      <c r="AA907" s="204"/>
    </row>
    <row r="908" spans="1:27" ht="15.75" customHeight="1" x14ac:dyDescent="0.2">
      <c r="A908" s="225"/>
      <c r="B908" s="225"/>
      <c r="C908" s="225"/>
      <c r="D908" s="225"/>
      <c r="E908" s="225"/>
      <c r="F908" s="225"/>
      <c r="G908" s="225"/>
      <c r="H908" s="204"/>
      <c r="I908" s="224"/>
      <c r="J908" s="224"/>
      <c r="K908" s="224"/>
      <c r="L908" s="204"/>
      <c r="M908" s="204"/>
      <c r="N908" s="204"/>
      <c r="O908" s="204"/>
      <c r="P908" s="204"/>
      <c r="Q908" s="204"/>
      <c r="R908" s="204"/>
      <c r="S908" s="204"/>
      <c r="T908" s="204"/>
      <c r="U908" s="204"/>
      <c r="V908" s="204"/>
      <c r="W908" s="204"/>
      <c r="X908" s="204"/>
      <c r="Y908" s="204"/>
      <c r="Z908" s="204"/>
      <c r="AA908" s="204"/>
    </row>
    <row r="909" spans="1:27" ht="15.75" customHeight="1" x14ac:dyDescent="0.2">
      <c r="A909" s="225"/>
      <c r="B909" s="225"/>
      <c r="C909" s="225"/>
      <c r="D909" s="225"/>
      <c r="E909" s="225"/>
      <c r="F909" s="225"/>
      <c r="G909" s="225"/>
      <c r="H909" s="204"/>
      <c r="I909" s="224"/>
      <c r="J909" s="224"/>
      <c r="K909" s="224"/>
      <c r="L909" s="204"/>
      <c r="M909" s="204"/>
      <c r="N909" s="204"/>
      <c r="O909" s="204"/>
      <c r="P909" s="204"/>
      <c r="Q909" s="204"/>
      <c r="R909" s="204"/>
      <c r="S909" s="204"/>
      <c r="T909" s="204"/>
      <c r="U909" s="204"/>
      <c r="V909" s="204"/>
      <c r="W909" s="204"/>
      <c r="X909" s="204"/>
      <c r="Y909" s="204"/>
      <c r="Z909" s="204"/>
      <c r="AA909" s="204"/>
    </row>
    <row r="910" spans="1:27" ht="15.75" customHeight="1" x14ac:dyDescent="0.2">
      <c r="A910" s="225"/>
      <c r="B910" s="225"/>
      <c r="C910" s="225"/>
      <c r="D910" s="225"/>
      <c r="E910" s="225"/>
      <c r="F910" s="225"/>
      <c r="G910" s="225"/>
      <c r="H910" s="204"/>
      <c r="I910" s="224"/>
      <c r="J910" s="224"/>
      <c r="K910" s="224"/>
      <c r="L910" s="204"/>
      <c r="M910" s="204"/>
      <c r="N910" s="204"/>
      <c r="O910" s="204"/>
      <c r="P910" s="204"/>
      <c r="Q910" s="204"/>
      <c r="R910" s="204"/>
      <c r="S910" s="204"/>
      <c r="T910" s="204"/>
      <c r="U910" s="204"/>
      <c r="V910" s="204"/>
      <c r="W910" s="204"/>
      <c r="X910" s="204"/>
      <c r="Y910" s="204"/>
      <c r="Z910" s="204"/>
      <c r="AA910" s="204"/>
    </row>
    <row r="911" spans="1:27" ht="15.75" customHeight="1" x14ac:dyDescent="0.2">
      <c r="A911" s="225"/>
      <c r="B911" s="225"/>
      <c r="C911" s="225"/>
      <c r="D911" s="225"/>
      <c r="E911" s="225"/>
      <c r="F911" s="225"/>
      <c r="G911" s="225"/>
      <c r="H911" s="204"/>
      <c r="I911" s="224"/>
      <c r="J911" s="224"/>
      <c r="K911" s="224"/>
      <c r="L911" s="204"/>
      <c r="M911" s="204"/>
      <c r="N911" s="204"/>
      <c r="O911" s="204"/>
      <c r="P911" s="204"/>
      <c r="Q911" s="204"/>
      <c r="R911" s="204"/>
      <c r="S911" s="204"/>
      <c r="T911" s="204"/>
      <c r="U911" s="204"/>
      <c r="V911" s="204"/>
      <c r="W911" s="204"/>
      <c r="X911" s="204"/>
      <c r="Y911" s="204"/>
      <c r="Z911" s="204"/>
      <c r="AA911" s="204"/>
    </row>
    <row r="912" spans="1:27" ht="15.75" customHeight="1" x14ac:dyDescent="0.2">
      <c r="A912" s="225"/>
      <c r="B912" s="225"/>
      <c r="C912" s="225"/>
      <c r="D912" s="225"/>
      <c r="E912" s="225"/>
      <c r="F912" s="225"/>
      <c r="G912" s="225"/>
      <c r="H912" s="204"/>
      <c r="I912" s="224"/>
      <c r="J912" s="224"/>
      <c r="K912" s="224"/>
      <c r="L912" s="204"/>
      <c r="M912" s="204"/>
      <c r="N912" s="204"/>
      <c r="O912" s="204"/>
      <c r="P912" s="204"/>
      <c r="Q912" s="204"/>
      <c r="R912" s="204"/>
      <c r="S912" s="204"/>
      <c r="T912" s="204"/>
      <c r="U912" s="204"/>
      <c r="V912" s="204"/>
      <c r="W912" s="204"/>
      <c r="X912" s="204"/>
      <c r="Y912" s="204"/>
      <c r="Z912" s="204"/>
      <c r="AA912" s="204"/>
    </row>
    <row r="913" spans="1:27" ht="15.75" customHeight="1" x14ac:dyDescent="0.2">
      <c r="A913" s="225"/>
      <c r="B913" s="225"/>
      <c r="C913" s="225"/>
      <c r="D913" s="225"/>
      <c r="E913" s="225"/>
      <c r="F913" s="225"/>
      <c r="G913" s="225"/>
      <c r="H913" s="204"/>
      <c r="I913" s="224"/>
      <c r="J913" s="224"/>
      <c r="K913" s="224"/>
      <c r="L913" s="204"/>
      <c r="M913" s="204"/>
      <c r="N913" s="204"/>
      <c r="O913" s="204"/>
      <c r="P913" s="204"/>
      <c r="Q913" s="204"/>
      <c r="R913" s="204"/>
      <c r="S913" s="204"/>
      <c r="T913" s="204"/>
      <c r="U913" s="204"/>
      <c r="V913" s="204"/>
      <c r="W913" s="204"/>
      <c r="X913" s="204"/>
      <c r="Y913" s="204"/>
      <c r="Z913" s="204"/>
      <c r="AA913" s="204"/>
    </row>
    <row r="914" spans="1:27" ht="15.75" customHeight="1" x14ac:dyDescent="0.2">
      <c r="A914" s="225"/>
      <c r="B914" s="225"/>
      <c r="C914" s="225"/>
      <c r="D914" s="225"/>
      <c r="E914" s="225"/>
      <c r="F914" s="225"/>
      <c r="G914" s="225"/>
      <c r="H914" s="204"/>
      <c r="I914" s="224"/>
      <c r="J914" s="224"/>
      <c r="K914" s="224"/>
      <c r="L914" s="204"/>
      <c r="M914" s="204"/>
      <c r="N914" s="204"/>
      <c r="O914" s="204"/>
      <c r="P914" s="204"/>
      <c r="Q914" s="204"/>
      <c r="R914" s="204"/>
      <c r="S914" s="204"/>
      <c r="T914" s="204"/>
      <c r="U914" s="204"/>
      <c r="V914" s="204"/>
      <c r="W914" s="204"/>
      <c r="X914" s="204"/>
      <c r="Y914" s="204"/>
      <c r="Z914" s="204"/>
      <c r="AA914" s="204"/>
    </row>
    <row r="915" spans="1:27" ht="15.75" customHeight="1" x14ac:dyDescent="0.2">
      <c r="A915" s="225"/>
      <c r="B915" s="225"/>
      <c r="C915" s="225"/>
      <c r="D915" s="225"/>
      <c r="E915" s="225"/>
      <c r="F915" s="225"/>
      <c r="G915" s="225"/>
      <c r="H915" s="204"/>
      <c r="I915" s="224"/>
      <c r="J915" s="224"/>
      <c r="K915" s="224"/>
      <c r="L915" s="204"/>
      <c r="M915" s="204"/>
      <c r="N915" s="204"/>
      <c r="O915" s="204"/>
      <c r="P915" s="204"/>
      <c r="Q915" s="204"/>
      <c r="R915" s="204"/>
      <c r="S915" s="204"/>
      <c r="T915" s="204"/>
      <c r="U915" s="204"/>
      <c r="V915" s="204"/>
      <c r="W915" s="204"/>
      <c r="X915" s="204"/>
      <c r="Y915" s="204"/>
      <c r="Z915" s="204"/>
      <c r="AA915" s="204"/>
    </row>
    <row r="916" spans="1:27" ht="15.75" customHeight="1" x14ac:dyDescent="0.2">
      <c r="A916" s="225"/>
      <c r="B916" s="225"/>
      <c r="C916" s="225"/>
      <c r="D916" s="225"/>
      <c r="E916" s="225"/>
      <c r="F916" s="225"/>
      <c r="G916" s="225"/>
      <c r="H916" s="204"/>
      <c r="I916" s="224"/>
      <c r="J916" s="224"/>
      <c r="K916" s="224"/>
      <c r="L916" s="204"/>
      <c r="M916" s="204"/>
      <c r="N916" s="204"/>
      <c r="O916" s="204"/>
      <c r="P916" s="204"/>
      <c r="Q916" s="204"/>
      <c r="R916" s="204"/>
      <c r="S916" s="204"/>
      <c r="T916" s="204"/>
      <c r="U916" s="204"/>
      <c r="V916" s="204"/>
      <c r="W916" s="204"/>
      <c r="X916" s="204"/>
      <c r="Y916" s="204"/>
      <c r="Z916" s="204"/>
      <c r="AA916" s="204"/>
    </row>
    <row r="917" spans="1:27" ht="15.75" customHeight="1" x14ac:dyDescent="0.2">
      <c r="A917" s="225"/>
      <c r="B917" s="225"/>
      <c r="C917" s="225"/>
      <c r="D917" s="225"/>
      <c r="E917" s="225"/>
      <c r="F917" s="225"/>
      <c r="G917" s="225"/>
      <c r="H917" s="204"/>
      <c r="I917" s="224"/>
      <c r="J917" s="224"/>
      <c r="K917" s="224"/>
      <c r="L917" s="204"/>
      <c r="M917" s="204"/>
      <c r="N917" s="204"/>
      <c r="O917" s="204"/>
      <c r="P917" s="204"/>
      <c r="Q917" s="204"/>
      <c r="R917" s="204"/>
      <c r="S917" s="204"/>
      <c r="T917" s="204"/>
      <c r="U917" s="204"/>
      <c r="V917" s="204"/>
      <c r="W917" s="204"/>
      <c r="X917" s="204"/>
      <c r="Y917" s="204"/>
      <c r="Z917" s="204"/>
      <c r="AA917" s="204"/>
    </row>
    <row r="918" spans="1:27" ht="15.75" customHeight="1" x14ac:dyDescent="0.2">
      <c r="A918" s="225"/>
      <c r="B918" s="225"/>
      <c r="C918" s="225"/>
      <c r="D918" s="225"/>
      <c r="E918" s="225"/>
      <c r="F918" s="225"/>
      <c r="G918" s="225"/>
      <c r="H918" s="204"/>
      <c r="I918" s="224"/>
      <c r="J918" s="224"/>
      <c r="K918" s="224"/>
      <c r="L918" s="204"/>
      <c r="M918" s="204"/>
      <c r="N918" s="204"/>
      <c r="O918" s="204"/>
      <c r="P918" s="204"/>
      <c r="Q918" s="204"/>
      <c r="R918" s="204"/>
      <c r="S918" s="204"/>
      <c r="T918" s="204"/>
      <c r="U918" s="204"/>
      <c r="V918" s="204"/>
      <c r="W918" s="204"/>
      <c r="X918" s="204"/>
      <c r="Y918" s="204"/>
      <c r="Z918" s="204"/>
      <c r="AA918" s="204"/>
    </row>
    <row r="919" spans="1:27" ht="15.75" customHeight="1" x14ac:dyDescent="0.2">
      <c r="A919" s="225"/>
      <c r="B919" s="225"/>
      <c r="C919" s="225"/>
      <c r="D919" s="225"/>
      <c r="E919" s="225"/>
      <c r="F919" s="225"/>
      <c r="G919" s="225"/>
      <c r="H919" s="204"/>
      <c r="I919" s="224"/>
      <c r="J919" s="224"/>
      <c r="K919" s="224"/>
      <c r="L919" s="204"/>
      <c r="M919" s="204"/>
      <c r="N919" s="204"/>
      <c r="O919" s="204"/>
      <c r="P919" s="204"/>
      <c r="Q919" s="204"/>
      <c r="R919" s="204"/>
      <c r="S919" s="204"/>
      <c r="T919" s="204"/>
      <c r="U919" s="204"/>
      <c r="V919" s="204"/>
      <c r="W919" s="204"/>
      <c r="X919" s="204"/>
      <c r="Y919" s="204"/>
      <c r="Z919" s="204"/>
      <c r="AA919" s="204"/>
    </row>
    <row r="920" spans="1:27" ht="15.75" customHeight="1" x14ac:dyDescent="0.2">
      <c r="A920" s="225"/>
      <c r="B920" s="225"/>
      <c r="C920" s="225"/>
      <c r="D920" s="225"/>
      <c r="E920" s="225"/>
      <c r="F920" s="225"/>
      <c r="G920" s="225"/>
      <c r="H920" s="204"/>
      <c r="I920" s="224"/>
      <c r="J920" s="224"/>
      <c r="K920" s="224"/>
      <c r="L920" s="204"/>
      <c r="M920" s="204"/>
      <c r="N920" s="204"/>
      <c r="O920" s="204"/>
      <c r="P920" s="204"/>
      <c r="Q920" s="204"/>
      <c r="R920" s="204"/>
      <c r="S920" s="204"/>
      <c r="T920" s="204"/>
      <c r="U920" s="204"/>
      <c r="V920" s="204"/>
      <c r="W920" s="204"/>
      <c r="X920" s="204"/>
      <c r="Y920" s="204"/>
      <c r="Z920" s="204"/>
      <c r="AA920" s="204"/>
    </row>
    <row r="921" spans="1:27" ht="15.75" customHeight="1" x14ac:dyDescent="0.2">
      <c r="A921" s="225"/>
      <c r="B921" s="225"/>
      <c r="C921" s="225"/>
      <c r="D921" s="225"/>
      <c r="E921" s="225"/>
      <c r="F921" s="225"/>
      <c r="G921" s="225"/>
      <c r="H921" s="204"/>
      <c r="I921" s="224"/>
      <c r="J921" s="224"/>
      <c r="K921" s="224"/>
      <c r="L921" s="204"/>
      <c r="M921" s="204"/>
      <c r="N921" s="204"/>
      <c r="O921" s="204"/>
      <c r="P921" s="204"/>
      <c r="Q921" s="204"/>
      <c r="R921" s="204"/>
      <c r="S921" s="204"/>
      <c r="T921" s="204"/>
      <c r="U921" s="204"/>
      <c r="V921" s="204"/>
      <c r="W921" s="204"/>
      <c r="X921" s="204"/>
      <c r="Y921" s="204"/>
      <c r="Z921" s="204"/>
      <c r="AA921" s="204"/>
    </row>
    <row r="922" spans="1:27" ht="15.75" customHeight="1" x14ac:dyDescent="0.2">
      <c r="A922" s="225"/>
      <c r="B922" s="225"/>
      <c r="C922" s="225"/>
      <c r="D922" s="225"/>
      <c r="E922" s="225"/>
      <c r="F922" s="225"/>
      <c r="G922" s="225"/>
      <c r="H922" s="204"/>
      <c r="I922" s="224"/>
      <c r="J922" s="224"/>
      <c r="K922" s="224"/>
      <c r="L922" s="204"/>
      <c r="M922" s="204"/>
      <c r="N922" s="204"/>
      <c r="O922" s="204"/>
      <c r="P922" s="204"/>
      <c r="Q922" s="204"/>
      <c r="R922" s="204"/>
      <c r="S922" s="204"/>
      <c r="T922" s="204"/>
      <c r="U922" s="204"/>
      <c r="V922" s="204"/>
      <c r="W922" s="204"/>
      <c r="X922" s="204"/>
      <c r="Y922" s="204"/>
      <c r="Z922" s="204"/>
      <c r="AA922" s="204"/>
    </row>
    <row r="923" spans="1:27" ht="15.75" customHeight="1" x14ac:dyDescent="0.2">
      <c r="A923" s="225"/>
      <c r="B923" s="225"/>
      <c r="C923" s="225"/>
      <c r="D923" s="225"/>
      <c r="E923" s="225"/>
      <c r="F923" s="225"/>
      <c r="G923" s="225"/>
      <c r="H923" s="204"/>
      <c r="I923" s="224"/>
      <c r="J923" s="224"/>
      <c r="K923" s="224"/>
      <c r="L923" s="204"/>
      <c r="M923" s="204"/>
      <c r="N923" s="204"/>
      <c r="O923" s="204"/>
      <c r="P923" s="204"/>
      <c r="Q923" s="204"/>
      <c r="R923" s="204"/>
      <c r="S923" s="204"/>
      <c r="T923" s="204"/>
      <c r="U923" s="204"/>
      <c r="V923" s="204"/>
      <c r="W923" s="204"/>
      <c r="X923" s="204"/>
      <c r="Y923" s="204"/>
      <c r="Z923" s="204"/>
      <c r="AA923" s="204"/>
    </row>
    <row r="924" spans="1:27" ht="15.75" customHeight="1" x14ac:dyDescent="0.2">
      <c r="A924" s="225"/>
      <c r="B924" s="225"/>
      <c r="C924" s="225"/>
      <c r="D924" s="225"/>
      <c r="E924" s="225"/>
      <c r="F924" s="225"/>
      <c r="G924" s="225"/>
      <c r="H924" s="204"/>
      <c r="I924" s="224"/>
      <c r="J924" s="224"/>
      <c r="K924" s="224"/>
      <c r="L924" s="204"/>
      <c r="M924" s="204"/>
      <c r="N924" s="204"/>
      <c r="O924" s="204"/>
      <c r="P924" s="204"/>
      <c r="Q924" s="204"/>
      <c r="R924" s="204"/>
      <c r="S924" s="204"/>
      <c r="T924" s="204"/>
      <c r="U924" s="204"/>
      <c r="V924" s="204"/>
      <c r="W924" s="204"/>
      <c r="X924" s="204"/>
      <c r="Y924" s="204"/>
      <c r="Z924" s="204"/>
      <c r="AA924" s="204"/>
    </row>
    <row r="925" spans="1:27" ht="15.75" customHeight="1" x14ac:dyDescent="0.2">
      <c r="A925" s="225"/>
      <c r="B925" s="225"/>
      <c r="C925" s="225"/>
      <c r="D925" s="225"/>
      <c r="E925" s="225"/>
      <c r="F925" s="225"/>
      <c r="G925" s="225"/>
      <c r="H925" s="204"/>
      <c r="I925" s="224"/>
      <c r="J925" s="224"/>
      <c r="K925" s="224"/>
      <c r="L925" s="204"/>
      <c r="M925" s="204"/>
      <c r="N925" s="204"/>
      <c r="O925" s="204"/>
      <c r="P925" s="204"/>
      <c r="Q925" s="204"/>
      <c r="R925" s="204"/>
      <c r="S925" s="204"/>
      <c r="T925" s="204"/>
      <c r="U925" s="204"/>
      <c r="V925" s="204"/>
      <c r="W925" s="204"/>
      <c r="X925" s="204"/>
      <c r="Y925" s="204"/>
      <c r="Z925" s="204"/>
      <c r="AA925" s="204"/>
    </row>
    <row r="926" spans="1:27" ht="15.75" customHeight="1" x14ac:dyDescent="0.2">
      <c r="A926" s="225"/>
      <c r="B926" s="225"/>
      <c r="C926" s="225"/>
      <c r="D926" s="225"/>
      <c r="E926" s="225"/>
      <c r="F926" s="225"/>
      <c r="G926" s="225"/>
      <c r="H926" s="204"/>
      <c r="I926" s="224"/>
      <c r="J926" s="224"/>
      <c r="K926" s="224"/>
      <c r="L926" s="204"/>
      <c r="M926" s="204"/>
      <c r="N926" s="204"/>
      <c r="O926" s="204"/>
      <c r="P926" s="204"/>
      <c r="Q926" s="204"/>
      <c r="R926" s="204"/>
      <c r="S926" s="204"/>
      <c r="T926" s="204"/>
      <c r="U926" s="204"/>
      <c r="V926" s="204"/>
      <c r="W926" s="204"/>
      <c r="X926" s="204"/>
      <c r="Y926" s="204"/>
      <c r="Z926" s="204"/>
      <c r="AA926" s="204"/>
    </row>
    <row r="927" spans="1:27" ht="15.75" customHeight="1" x14ac:dyDescent="0.2">
      <c r="A927" s="225"/>
      <c r="B927" s="225"/>
      <c r="C927" s="225"/>
      <c r="D927" s="225"/>
      <c r="E927" s="225"/>
      <c r="F927" s="225"/>
      <c r="G927" s="225"/>
      <c r="H927" s="204"/>
      <c r="I927" s="224"/>
      <c r="J927" s="224"/>
      <c r="K927" s="224"/>
      <c r="L927" s="204"/>
      <c r="M927" s="204"/>
      <c r="N927" s="204"/>
      <c r="O927" s="204"/>
      <c r="P927" s="204"/>
      <c r="Q927" s="204"/>
      <c r="R927" s="204"/>
      <c r="S927" s="204"/>
      <c r="T927" s="204"/>
      <c r="U927" s="204"/>
      <c r="V927" s="204"/>
      <c r="W927" s="204"/>
      <c r="X927" s="204"/>
      <c r="Y927" s="204"/>
      <c r="Z927" s="204"/>
      <c r="AA927" s="204"/>
    </row>
    <row r="928" spans="1:27" ht="15.75" customHeight="1" x14ac:dyDescent="0.2">
      <c r="A928" s="225"/>
      <c r="B928" s="225"/>
      <c r="C928" s="225"/>
      <c r="D928" s="225"/>
      <c r="E928" s="225"/>
      <c r="F928" s="225"/>
      <c r="G928" s="225"/>
      <c r="H928" s="204"/>
      <c r="I928" s="224"/>
      <c r="J928" s="224"/>
      <c r="K928" s="224"/>
      <c r="L928" s="204"/>
      <c r="M928" s="204"/>
      <c r="N928" s="204"/>
      <c r="O928" s="204"/>
      <c r="P928" s="204"/>
      <c r="Q928" s="204"/>
      <c r="R928" s="204"/>
      <c r="S928" s="204"/>
      <c r="T928" s="204"/>
      <c r="U928" s="204"/>
      <c r="V928" s="204"/>
      <c r="W928" s="204"/>
      <c r="X928" s="204"/>
      <c r="Y928" s="204"/>
      <c r="Z928" s="204"/>
      <c r="AA928" s="204"/>
    </row>
    <row r="929" spans="1:27" ht="15.75" customHeight="1" x14ac:dyDescent="0.2">
      <c r="A929" s="225"/>
      <c r="B929" s="225"/>
      <c r="C929" s="225"/>
      <c r="D929" s="225"/>
      <c r="E929" s="225"/>
      <c r="F929" s="225"/>
      <c r="G929" s="225"/>
      <c r="H929" s="204"/>
      <c r="I929" s="224"/>
      <c r="J929" s="224"/>
      <c r="K929" s="224"/>
      <c r="L929" s="204"/>
      <c r="M929" s="204"/>
      <c r="N929" s="204"/>
      <c r="O929" s="204"/>
      <c r="P929" s="204"/>
      <c r="Q929" s="204"/>
      <c r="R929" s="204"/>
      <c r="S929" s="204"/>
      <c r="T929" s="204"/>
      <c r="U929" s="204"/>
      <c r="V929" s="204"/>
      <c r="W929" s="204"/>
      <c r="X929" s="204"/>
      <c r="Y929" s="204"/>
      <c r="Z929" s="204"/>
      <c r="AA929" s="204"/>
    </row>
    <row r="930" spans="1:27" ht="15.75" customHeight="1" x14ac:dyDescent="0.2">
      <c r="A930" s="225"/>
      <c r="B930" s="225"/>
      <c r="C930" s="225"/>
      <c r="D930" s="225"/>
      <c r="E930" s="225"/>
      <c r="F930" s="225"/>
      <c r="G930" s="225"/>
      <c r="H930" s="204"/>
      <c r="I930" s="224"/>
      <c r="J930" s="224"/>
      <c r="K930" s="224"/>
      <c r="L930" s="204"/>
      <c r="M930" s="204"/>
      <c r="N930" s="204"/>
      <c r="O930" s="204"/>
      <c r="P930" s="204"/>
      <c r="Q930" s="204"/>
      <c r="R930" s="204"/>
      <c r="S930" s="204"/>
      <c r="T930" s="204"/>
      <c r="U930" s="204"/>
      <c r="V930" s="204"/>
      <c r="W930" s="204"/>
      <c r="X930" s="204"/>
      <c r="Y930" s="204"/>
      <c r="Z930" s="204"/>
      <c r="AA930" s="204"/>
    </row>
    <row r="931" spans="1:27" ht="15.75" customHeight="1" x14ac:dyDescent="0.2">
      <c r="A931" s="225"/>
      <c r="B931" s="225"/>
      <c r="C931" s="225"/>
      <c r="D931" s="225"/>
      <c r="E931" s="225"/>
      <c r="F931" s="225"/>
      <c r="G931" s="225"/>
      <c r="H931" s="204"/>
      <c r="I931" s="224"/>
      <c r="J931" s="224"/>
      <c r="K931" s="224"/>
      <c r="L931" s="204"/>
      <c r="M931" s="204"/>
      <c r="N931" s="204"/>
      <c r="O931" s="204"/>
      <c r="P931" s="204"/>
      <c r="Q931" s="204"/>
      <c r="R931" s="204"/>
      <c r="S931" s="204"/>
      <c r="T931" s="204"/>
      <c r="U931" s="204"/>
      <c r="V931" s="204"/>
      <c r="W931" s="204"/>
      <c r="X931" s="204"/>
      <c r="Y931" s="204"/>
      <c r="Z931" s="204"/>
      <c r="AA931" s="204"/>
    </row>
    <row r="932" spans="1:27" ht="15.75" customHeight="1" x14ac:dyDescent="0.2">
      <c r="A932" s="225"/>
      <c r="B932" s="225"/>
      <c r="C932" s="225"/>
      <c r="D932" s="225"/>
      <c r="E932" s="225"/>
      <c r="F932" s="225"/>
      <c r="G932" s="225"/>
      <c r="H932" s="204"/>
      <c r="I932" s="224"/>
      <c r="J932" s="224"/>
      <c r="K932" s="224"/>
      <c r="L932" s="204"/>
      <c r="M932" s="204"/>
      <c r="N932" s="204"/>
      <c r="O932" s="204"/>
      <c r="P932" s="204"/>
      <c r="Q932" s="204"/>
      <c r="R932" s="204"/>
      <c r="S932" s="204"/>
      <c r="T932" s="204"/>
      <c r="U932" s="204"/>
      <c r="V932" s="204"/>
      <c r="W932" s="204"/>
      <c r="X932" s="204"/>
      <c r="Y932" s="204"/>
      <c r="Z932" s="204"/>
      <c r="AA932" s="204"/>
    </row>
    <row r="933" spans="1:27" ht="15.75" customHeight="1" x14ac:dyDescent="0.2">
      <c r="A933" s="225"/>
      <c r="B933" s="225"/>
      <c r="C933" s="225"/>
      <c r="D933" s="225"/>
      <c r="E933" s="225"/>
      <c r="F933" s="225"/>
      <c r="G933" s="225"/>
      <c r="H933" s="204"/>
      <c r="I933" s="224"/>
      <c r="J933" s="224"/>
      <c r="K933" s="224"/>
      <c r="L933" s="204"/>
      <c r="M933" s="204"/>
      <c r="N933" s="204"/>
      <c r="O933" s="204"/>
      <c r="P933" s="204"/>
      <c r="Q933" s="204"/>
      <c r="R933" s="204"/>
      <c r="S933" s="204"/>
      <c r="T933" s="204"/>
      <c r="U933" s="204"/>
      <c r="V933" s="204"/>
      <c r="W933" s="204"/>
      <c r="X933" s="204"/>
      <c r="Y933" s="204"/>
      <c r="Z933" s="204"/>
      <c r="AA933" s="204"/>
    </row>
    <row r="934" spans="1:27" ht="15.75" customHeight="1" x14ac:dyDescent="0.2">
      <c r="A934" s="225"/>
      <c r="B934" s="225"/>
      <c r="C934" s="225"/>
      <c r="D934" s="225"/>
      <c r="E934" s="225"/>
      <c r="F934" s="225"/>
      <c r="G934" s="225"/>
      <c r="H934" s="204"/>
      <c r="I934" s="224"/>
      <c r="J934" s="224"/>
      <c r="K934" s="224"/>
      <c r="L934" s="204"/>
      <c r="M934" s="204"/>
      <c r="N934" s="204"/>
      <c r="O934" s="204"/>
      <c r="P934" s="204"/>
      <c r="Q934" s="204"/>
      <c r="R934" s="204"/>
      <c r="S934" s="204"/>
      <c r="T934" s="204"/>
      <c r="U934" s="204"/>
      <c r="V934" s="204"/>
      <c r="W934" s="204"/>
      <c r="X934" s="204"/>
      <c r="Y934" s="204"/>
      <c r="Z934" s="204"/>
      <c r="AA934" s="204"/>
    </row>
    <row r="935" spans="1:27" ht="15.75" customHeight="1" x14ac:dyDescent="0.2">
      <c r="A935" s="225"/>
      <c r="B935" s="225"/>
      <c r="C935" s="225"/>
      <c r="D935" s="225"/>
      <c r="E935" s="225"/>
      <c r="F935" s="225"/>
      <c r="G935" s="225"/>
      <c r="H935" s="204"/>
      <c r="I935" s="224"/>
      <c r="J935" s="224"/>
      <c r="K935" s="224"/>
      <c r="L935" s="204"/>
      <c r="M935" s="204"/>
      <c r="N935" s="204"/>
      <c r="O935" s="204"/>
      <c r="P935" s="204"/>
      <c r="Q935" s="204"/>
      <c r="R935" s="204"/>
      <c r="S935" s="204"/>
      <c r="T935" s="204"/>
      <c r="U935" s="204"/>
      <c r="V935" s="204"/>
      <c r="W935" s="204"/>
      <c r="X935" s="204"/>
      <c r="Y935" s="204"/>
      <c r="Z935" s="204"/>
      <c r="AA935" s="204"/>
    </row>
    <row r="936" spans="1:27" ht="15.75" customHeight="1" x14ac:dyDescent="0.2">
      <c r="A936" s="225"/>
      <c r="B936" s="225"/>
      <c r="C936" s="225"/>
      <c r="D936" s="225"/>
      <c r="E936" s="225"/>
      <c r="F936" s="225"/>
      <c r="G936" s="225"/>
      <c r="H936" s="204"/>
      <c r="I936" s="224"/>
      <c r="J936" s="224"/>
      <c r="K936" s="224"/>
      <c r="L936" s="204"/>
      <c r="M936" s="204"/>
      <c r="N936" s="204"/>
      <c r="O936" s="204"/>
      <c r="P936" s="204"/>
      <c r="Q936" s="204"/>
      <c r="R936" s="204"/>
      <c r="S936" s="204"/>
      <c r="T936" s="204"/>
      <c r="U936" s="204"/>
      <c r="V936" s="204"/>
      <c r="W936" s="204"/>
      <c r="X936" s="204"/>
      <c r="Y936" s="204"/>
      <c r="Z936" s="204"/>
      <c r="AA936" s="204"/>
    </row>
    <row r="937" spans="1:27" ht="15.75" customHeight="1" x14ac:dyDescent="0.2">
      <c r="A937" s="225"/>
      <c r="B937" s="225"/>
      <c r="C937" s="225"/>
      <c r="D937" s="225"/>
      <c r="E937" s="225"/>
      <c r="F937" s="225"/>
      <c r="G937" s="225"/>
      <c r="H937" s="204"/>
      <c r="I937" s="224"/>
      <c r="J937" s="224"/>
      <c r="K937" s="224"/>
      <c r="L937" s="204"/>
      <c r="M937" s="204"/>
      <c r="N937" s="204"/>
      <c r="O937" s="204"/>
      <c r="P937" s="204"/>
      <c r="Q937" s="204"/>
      <c r="R937" s="204"/>
      <c r="S937" s="204"/>
      <c r="T937" s="204"/>
      <c r="U937" s="204"/>
      <c r="V937" s="204"/>
      <c r="W937" s="204"/>
      <c r="X937" s="204"/>
      <c r="Y937" s="204"/>
      <c r="Z937" s="204"/>
      <c r="AA937" s="204"/>
    </row>
    <row r="938" spans="1:27" ht="15.75" customHeight="1" x14ac:dyDescent="0.2">
      <c r="A938" s="225"/>
      <c r="B938" s="225"/>
      <c r="C938" s="225"/>
      <c r="D938" s="225"/>
      <c r="E938" s="225"/>
      <c r="F938" s="225"/>
      <c r="G938" s="225"/>
      <c r="H938" s="204"/>
      <c r="I938" s="224"/>
      <c r="J938" s="224"/>
      <c r="K938" s="224"/>
      <c r="L938" s="204"/>
      <c r="M938" s="204"/>
      <c r="N938" s="204"/>
      <c r="O938" s="204"/>
      <c r="P938" s="204"/>
      <c r="Q938" s="204"/>
      <c r="R938" s="204"/>
      <c r="S938" s="204"/>
      <c r="T938" s="204"/>
      <c r="U938" s="204"/>
      <c r="V938" s="204"/>
      <c r="W938" s="204"/>
      <c r="X938" s="204"/>
      <c r="Y938" s="204"/>
      <c r="Z938" s="204"/>
      <c r="AA938" s="204"/>
    </row>
    <row r="939" spans="1:27" ht="15.75" customHeight="1" x14ac:dyDescent="0.2">
      <c r="A939" s="225"/>
      <c r="B939" s="225"/>
      <c r="C939" s="225"/>
      <c r="D939" s="225"/>
      <c r="E939" s="225"/>
      <c r="F939" s="225"/>
      <c r="G939" s="225"/>
      <c r="H939" s="204"/>
      <c r="I939" s="224"/>
      <c r="J939" s="224"/>
      <c r="K939" s="224"/>
      <c r="L939" s="204"/>
      <c r="M939" s="204"/>
      <c r="N939" s="204"/>
      <c r="O939" s="204"/>
      <c r="P939" s="204"/>
      <c r="Q939" s="204"/>
      <c r="R939" s="204"/>
      <c r="S939" s="204"/>
      <c r="T939" s="204"/>
      <c r="U939" s="204"/>
      <c r="V939" s="204"/>
      <c r="W939" s="204"/>
      <c r="X939" s="204"/>
      <c r="Y939" s="204"/>
      <c r="Z939" s="204"/>
      <c r="AA939" s="204"/>
    </row>
    <row r="940" spans="1:27" ht="15.75" customHeight="1" x14ac:dyDescent="0.2">
      <c r="A940" s="225"/>
      <c r="B940" s="225"/>
      <c r="C940" s="225"/>
      <c r="D940" s="225"/>
      <c r="E940" s="225"/>
      <c r="F940" s="225"/>
      <c r="G940" s="225"/>
      <c r="H940" s="204"/>
      <c r="I940" s="224"/>
      <c r="J940" s="224"/>
      <c r="K940" s="224"/>
      <c r="L940" s="204"/>
      <c r="M940" s="204"/>
      <c r="N940" s="204"/>
      <c r="O940" s="204"/>
      <c r="P940" s="204"/>
      <c r="Q940" s="204"/>
      <c r="R940" s="204"/>
      <c r="S940" s="204"/>
      <c r="T940" s="204"/>
      <c r="U940" s="204"/>
      <c r="V940" s="204"/>
      <c r="W940" s="204"/>
      <c r="X940" s="204"/>
      <c r="Y940" s="204"/>
      <c r="Z940" s="204"/>
      <c r="AA940" s="204"/>
    </row>
    <row r="941" spans="1:27" ht="15.75" customHeight="1" x14ac:dyDescent="0.2">
      <c r="A941" s="225"/>
      <c r="B941" s="225"/>
      <c r="C941" s="225"/>
      <c r="D941" s="225"/>
      <c r="E941" s="225"/>
      <c r="F941" s="225"/>
      <c r="G941" s="225"/>
      <c r="H941" s="204"/>
      <c r="I941" s="224"/>
      <c r="J941" s="224"/>
      <c r="K941" s="224"/>
      <c r="L941" s="204"/>
      <c r="M941" s="204"/>
      <c r="N941" s="204"/>
      <c r="O941" s="204"/>
      <c r="P941" s="204"/>
      <c r="Q941" s="204"/>
      <c r="R941" s="204"/>
      <c r="S941" s="204"/>
      <c r="T941" s="204"/>
      <c r="U941" s="204"/>
      <c r="V941" s="204"/>
      <c r="W941" s="204"/>
      <c r="X941" s="204"/>
      <c r="Y941" s="204"/>
      <c r="Z941" s="204"/>
      <c r="AA941" s="204"/>
    </row>
    <row r="942" spans="1:27" ht="15.75" customHeight="1" x14ac:dyDescent="0.2">
      <c r="A942" s="225"/>
      <c r="B942" s="225"/>
      <c r="C942" s="225"/>
      <c r="D942" s="225"/>
      <c r="E942" s="225"/>
      <c r="F942" s="225"/>
      <c r="G942" s="225"/>
      <c r="H942" s="204"/>
      <c r="I942" s="224"/>
      <c r="J942" s="224"/>
      <c r="K942" s="224"/>
      <c r="L942" s="204"/>
      <c r="M942" s="204"/>
      <c r="N942" s="204"/>
      <c r="O942" s="204"/>
      <c r="P942" s="204"/>
      <c r="Q942" s="204"/>
      <c r="R942" s="204"/>
      <c r="S942" s="204"/>
      <c r="T942" s="204"/>
      <c r="U942" s="204"/>
      <c r="V942" s="204"/>
      <c r="W942" s="204"/>
      <c r="X942" s="204"/>
      <c r="Y942" s="204"/>
      <c r="Z942" s="204"/>
      <c r="AA942" s="204"/>
    </row>
    <row r="943" spans="1:27" ht="15.75" customHeight="1" x14ac:dyDescent="0.2">
      <c r="A943" s="225"/>
      <c r="B943" s="225"/>
      <c r="C943" s="225"/>
      <c r="D943" s="225"/>
      <c r="E943" s="225"/>
      <c r="F943" s="225"/>
      <c r="G943" s="225"/>
      <c r="H943" s="204"/>
      <c r="I943" s="224"/>
      <c r="J943" s="224"/>
      <c r="K943" s="224"/>
      <c r="L943" s="204"/>
      <c r="M943" s="204"/>
      <c r="N943" s="204"/>
      <c r="O943" s="204"/>
      <c r="P943" s="204"/>
      <c r="Q943" s="204"/>
      <c r="R943" s="204"/>
      <c r="S943" s="204"/>
      <c r="T943" s="204"/>
      <c r="U943" s="204"/>
      <c r="V943" s="204"/>
      <c r="W943" s="204"/>
      <c r="X943" s="204"/>
      <c r="Y943" s="204"/>
      <c r="Z943" s="204"/>
      <c r="AA943" s="204"/>
    </row>
    <row r="944" spans="1:27" ht="15.75" customHeight="1" x14ac:dyDescent="0.2">
      <c r="A944" s="225"/>
      <c r="B944" s="225"/>
      <c r="C944" s="225"/>
      <c r="D944" s="225"/>
      <c r="E944" s="225"/>
      <c r="F944" s="225"/>
      <c r="G944" s="225"/>
      <c r="H944" s="204"/>
      <c r="I944" s="224"/>
      <c r="J944" s="224"/>
      <c r="K944" s="224"/>
      <c r="L944" s="204"/>
      <c r="M944" s="204"/>
      <c r="N944" s="204"/>
      <c r="O944" s="204"/>
      <c r="P944" s="204"/>
      <c r="Q944" s="204"/>
      <c r="R944" s="204"/>
      <c r="S944" s="204"/>
      <c r="T944" s="204"/>
      <c r="U944" s="204"/>
      <c r="V944" s="204"/>
      <c r="W944" s="204"/>
      <c r="X944" s="204"/>
      <c r="Y944" s="204"/>
      <c r="Z944" s="204"/>
      <c r="AA944" s="204"/>
    </row>
    <row r="945" spans="1:27" ht="15.75" customHeight="1" x14ac:dyDescent="0.2">
      <c r="A945" s="225"/>
      <c r="B945" s="225"/>
      <c r="C945" s="225"/>
      <c r="D945" s="225"/>
      <c r="E945" s="225"/>
      <c r="F945" s="225"/>
      <c r="G945" s="225"/>
      <c r="H945" s="204"/>
      <c r="I945" s="224"/>
      <c r="J945" s="224"/>
      <c r="K945" s="224"/>
      <c r="L945" s="204"/>
      <c r="M945" s="204"/>
      <c r="N945" s="204"/>
      <c r="O945" s="204"/>
      <c r="P945" s="204"/>
      <c r="Q945" s="204"/>
      <c r="R945" s="204"/>
      <c r="S945" s="204"/>
      <c r="T945" s="204"/>
      <c r="U945" s="204"/>
      <c r="V945" s="204"/>
      <c r="W945" s="204"/>
      <c r="X945" s="204"/>
      <c r="Y945" s="204"/>
      <c r="Z945" s="204"/>
      <c r="AA945" s="204"/>
    </row>
    <row r="946" spans="1:27" ht="15.75" customHeight="1" x14ac:dyDescent="0.2">
      <c r="A946" s="225"/>
      <c r="B946" s="225"/>
      <c r="C946" s="225"/>
      <c r="D946" s="225"/>
      <c r="E946" s="225"/>
      <c r="F946" s="225"/>
      <c r="G946" s="225"/>
      <c r="H946" s="204"/>
      <c r="I946" s="224"/>
      <c r="J946" s="224"/>
      <c r="K946" s="224"/>
      <c r="L946" s="204"/>
      <c r="M946" s="204"/>
      <c r="N946" s="204"/>
      <c r="O946" s="204"/>
      <c r="P946" s="204"/>
      <c r="Q946" s="204"/>
      <c r="R946" s="204"/>
      <c r="S946" s="204"/>
      <c r="T946" s="204"/>
      <c r="U946" s="204"/>
      <c r="V946" s="204"/>
      <c r="W946" s="204"/>
      <c r="X946" s="204"/>
      <c r="Y946" s="204"/>
      <c r="Z946" s="204"/>
      <c r="AA946" s="204"/>
    </row>
    <row r="947" spans="1:27" ht="15.75" customHeight="1" x14ac:dyDescent="0.2">
      <c r="A947" s="225"/>
      <c r="B947" s="225"/>
      <c r="C947" s="225"/>
      <c r="D947" s="225"/>
      <c r="E947" s="225"/>
      <c r="F947" s="225"/>
      <c r="G947" s="225"/>
      <c r="H947" s="204"/>
      <c r="I947" s="224"/>
      <c r="J947" s="224"/>
      <c r="K947" s="224"/>
      <c r="L947" s="204"/>
      <c r="M947" s="204"/>
      <c r="N947" s="204"/>
      <c r="O947" s="204"/>
      <c r="P947" s="204"/>
      <c r="Q947" s="204"/>
      <c r="R947" s="204"/>
      <c r="S947" s="204"/>
      <c r="T947" s="204"/>
      <c r="U947" s="204"/>
      <c r="V947" s="204"/>
      <c r="W947" s="204"/>
      <c r="X947" s="204"/>
      <c r="Y947" s="204"/>
      <c r="Z947" s="204"/>
      <c r="AA947" s="204"/>
    </row>
    <row r="948" spans="1:27" ht="15.75" customHeight="1" x14ac:dyDescent="0.2">
      <c r="A948" s="225"/>
      <c r="B948" s="225"/>
      <c r="C948" s="225"/>
      <c r="D948" s="225"/>
      <c r="E948" s="225"/>
      <c r="F948" s="225"/>
      <c r="G948" s="225"/>
      <c r="H948" s="204"/>
      <c r="I948" s="224"/>
      <c r="J948" s="224"/>
      <c r="K948" s="224"/>
      <c r="L948" s="204"/>
      <c r="M948" s="204"/>
      <c r="N948" s="204"/>
      <c r="O948" s="204"/>
      <c r="P948" s="204"/>
      <c r="Q948" s="204"/>
      <c r="R948" s="204"/>
      <c r="S948" s="204"/>
      <c r="T948" s="204"/>
      <c r="U948" s="204"/>
      <c r="V948" s="204"/>
      <c r="W948" s="204"/>
      <c r="X948" s="204"/>
      <c r="Y948" s="204"/>
      <c r="Z948" s="204"/>
      <c r="AA948" s="204"/>
    </row>
    <row r="949" spans="1:27" ht="15.75" customHeight="1" x14ac:dyDescent="0.2">
      <c r="A949" s="225"/>
      <c r="B949" s="225"/>
      <c r="C949" s="225"/>
      <c r="D949" s="225"/>
      <c r="E949" s="225"/>
      <c r="F949" s="225"/>
      <c r="G949" s="225"/>
      <c r="H949" s="204"/>
      <c r="I949" s="224"/>
      <c r="J949" s="224"/>
      <c r="K949" s="224"/>
      <c r="L949" s="204"/>
      <c r="M949" s="204"/>
      <c r="N949" s="204"/>
      <c r="O949" s="204"/>
      <c r="P949" s="204"/>
      <c r="Q949" s="204"/>
      <c r="R949" s="204"/>
      <c r="S949" s="204"/>
      <c r="T949" s="204"/>
      <c r="U949" s="204"/>
      <c r="V949" s="204"/>
      <c r="W949" s="204"/>
      <c r="X949" s="204"/>
      <c r="Y949" s="204"/>
      <c r="Z949" s="204"/>
      <c r="AA949" s="204"/>
    </row>
    <row r="950" spans="1:27" ht="15.75" customHeight="1" x14ac:dyDescent="0.2">
      <c r="A950" s="225"/>
      <c r="B950" s="225"/>
      <c r="C950" s="225"/>
      <c r="D950" s="225"/>
      <c r="E950" s="225"/>
      <c r="F950" s="225"/>
      <c r="G950" s="225"/>
      <c r="H950" s="204"/>
      <c r="I950" s="224"/>
      <c r="J950" s="224"/>
      <c r="K950" s="224"/>
      <c r="L950" s="204"/>
      <c r="M950" s="204"/>
      <c r="N950" s="204"/>
      <c r="O950" s="204"/>
      <c r="P950" s="204"/>
      <c r="Q950" s="204"/>
      <c r="R950" s="204"/>
      <c r="S950" s="204"/>
      <c r="T950" s="204"/>
      <c r="U950" s="204"/>
      <c r="V950" s="204"/>
      <c r="W950" s="204"/>
      <c r="X950" s="204"/>
      <c r="Y950" s="204"/>
      <c r="Z950" s="204"/>
      <c r="AA950" s="204"/>
    </row>
    <row r="951" spans="1:27" ht="15.75" customHeight="1" x14ac:dyDescent="0.2">
      <c r="A951" s="225"/>
      <c r="B951" s="225"/>
      <c r="C951" s="225"/>
      <c r="D951" s="225"/>
      <c r="E951" s="225"/>
      <c r="F951" s="225"/>
      <c r="G951" s="225"/>
      <c r="H951" s="204"/>
      <c r="I951" s="224"/>
      <c r="J951" s="224"/>
      <c r="K951" s="224"/>
      <c r="L951" s="204"/>
      <c r="M951" s="204"/>
      <c r="N951" s="204"/>
      <c r="O951" s="204"/>
      <c r="P951" s="204"/>
      <c r="Q951" s="204"/>
      <c r="R951" s="204"/>
      <c r="S951" s="204"/>
      <c r="T951" s="204"/>
      <c r="U951" s="204"/>
      <c r="V951" s="204"/>
      <c r="W951" s="204"/>
      <c r="X951" s="204"/>
      <c r="Y951" s="204"/>
      <c r="Z951" s="204"/>
      <c r="AA951" s="204"/>
    </row>
    <row r="952" spans="1:27" ht="15.75" customHeight="1" x14ac:dyDescent="0.2">
      <c r="A952" s="225"/>
      <c r="B952" s="225"/>
      <c r="C952" s="225"/>
      <c r="D952" s="225"/>
      <c r="E952" s="225"/>
      <c r="F952" s="225"/>
      <c r="G952" s="225"/>
      <c r="H952" s="204"/>
      <c r="I952" s="224"/>
      <c r="J952" s="224"/>
      <c r="K952" s="224"/>
      <c r="L952" s="204"/>
      <c r="M952" s="204"/>
      <c r="N952" s="204"/>
      <c r="O952" s="204"/>
      <c r="P952" s="204"/>
      <c r="Q952" s="204"/>
      <c r="R952" s="204"/>
      <c r="S952" s="204"/>
      <c r="T952" s="204"/>
      <c r="U952" s="204"/>
      <c r="V952" s="204"/>
      <c r="W952" s="204"/>
      <c r="X952" s="204"/>
      <c r="Y952" s="204"/>
      <c r="Z952" s="204"/>
      <c r="AA952" s="204"/>
    </row>
    <row r="953" spans="1:27" ht="15.75" customHeight="1" x14ac:dyDescent="0.2">
      <c r="A953" s="225"/>
      <c r="B953" s="225"/>
      <c r="C953" s="225"/>
      <c r="D953" s="225"/>
      <c r="E953" s="225"/>
      <c r="F953" s="225"/>
      <c r="G953" s="225"/>
      <c r="H953" s="204"/>
      <c r="I953" s="224"/>
      <c r="J953" s="224"/>
      <c r="K953" s="224"/>
      <c r="L953" s="204"/>
      <c r="M953" s="204"/>
      <c r="N953" s="204"/>
      <c r="O953" s="204"/>
      <c r="P953" s="204"/>
      <c r="Q953" s="204"/>
      <c r="R953" s="204"/>
      <c r="S953" s="204"/>
      <c r="T953" s="204"/>
      <c r="U953" s="204"/>
      <c r="V953" s="204"/>
      <c r="W953" s="204"/>
      <c r="X953" s="204"/>
      <c r="Y953" s="204"/>
      <c r="Z953" s="204"/>
      <c r="AA953" s="204"/>
    </row>
    <row r="954" spans="1:27" ht="15.75" customHeight="1" x14ac:dyDescent="0.2">
      <c r="A954" s="225"/>
      <c r="B954" s="225"/>
      <c r="C954" s="225"/>
      <c r="D954" s="225"/>
      <c r="E954" s="225"/>
      <c r="F954" s="225"/>
      <c r="G954" s="225"/>
      <c r="H954" s="204"/>
      <c r="I954" s="224"/>
      <c r="J954" s="224"/>
      <c r="K954" s="224"/>
      <c r="L954" s="204"/>
      <c r="M954" s="204"/>
      <c r="N954" s="204"/>
      <c r="O954" s="204"/>
      <c r="P954" s="204"/>
      <c r="Q954" s="204"/>
      <c r="R954" s="204"/>
      <c r="S954" s="204"/>
      <c r="T954" s="204"/>
      <c r="U954" s="204"/>
      <c r="V954" s="204"/>
      <c r="W954" s="204"/>
      <c r="X954" s="204"/>
      <c r="Y954" s="204"/>
      <c r="Z954" s="204"/>
      <c r="AA954" s="204"/>
    </row>
    <row r="955" spans="1:27" ht="15.75" customHeight="1" x14ac:dyDescent="0.2">
      <c r="A955" s="225"/>
      <c r="B955" s="225"/>
      <c r="C955" s="225"/>
      <c r="D955" s="225"/>
      <c r="E955" s="225"/>
      <c r="F955" s="225"/>
      <c r="G955" s="225"/>
      <c r="H955" s="204"/>
      <c r="I955" s="224"/>
      <c r="J955" s="224"/>
      <c r="K955" s="224"/>
      <c r="L955" s="204"/>
      <c r="M955" s="204"/>
      <c r="N955" s="204"/>
      <c r="O955" s="204"/>
      <c r="P955" s="204"/>
      <c r="Q955" s="204"/>
      <c r="R955" s="204"/>
      <c r="S955" s="204"/>
      <c r="T955" s="204"/>
      <c r="U955" s="204"/>
      <c r="V955" s="204"/>
      <c r="W955" s="204"/>
      <c r="X955" s="204"/>
      <c r="Y955" s="204"/>
      <c r="Z955" s="204"/>
      <c r="AA955" s="204"/>
    </row>
    <row r="956" spans="1:27" ht="15.75" customHeight="1" x14ac:dyDescent="0.2">
      <c r="A956" s="225"/>
      <c r="B956" s="225"/>
      <c r="C956" s="225"/>
      <c r="D956" s="225"/>
      <c r="E956" s="225"/>
      <c r="F956" s="225"/>
      <c r="G956" s="225"/>
      <c r="H956" s="204"/>
      <c r="I956" s="224"/>
      <c r="J956" s="224"/>
      <c r="K956" s="224"/>
      <c r="L956" s="204"/>
      <c r="M956" s="204"/>
      <c r="N956" s="204"/>
      <c r="O956" s="204"/>
      <c r="P956" s="204"/>
      <c r="Q956" s="204"/>
      <c r="R956" s="204"/>
      <c r="S956" s="204"/>
      <c r="T956" s="204"/>
      <c r="U956" s="204"/>
      <c r="V956" s="204"/>
      <c r="W956" s="204"/>
      <c r="X956" s="204"/>
      <c r="Y956" s="204"/>
      <c r="Z956" s="204"/>
      <c r="AA956" s="204"/>
    </row>
    <row r="957" spans="1:27" ht="15.75" customHeight="1" x14ac:dyDescent="0.2">
      <c r="A957" s="225"/>
      <c r="B957" s="225"/>
      <c r="C957" s="225"/>
      <c r="D957" s="225"/>
      <c r="E957" s="225"/>
      <c r="F957" s="225"/>
      <c r="G957" s="225"/>
      <c r="H957" s="204"/>
      <c r="I957" s="224"/>
      <c r="J957" s="224"/>
      <c r="K957" s="224"/>
      <c r="L957" s="204"/>
      <c r="M957" s="204"/>
      <c r="N957" s="204"/>
      <c r="O957" s="204"/>
      <c r="P957" s="204"/>
      <c r="Q957" s="204"/>
      <c r="R957" s="204"/>
      <c r="S957" s="204"/>
      <c r="T957" s="204"/>
      <c r="U957" s="204"/>
      <c r="V957" s="204"/>
      <c r="W957" s="204"/>
      <c r="X957" s="204"/>
      <c r="Y957" s="204"/>
      <c r="Z957" s="204"/>
      <c r="AA957" s="204"/>
    </row>
    <row r="958" spans="1:27" ht="15.75" customHeight="1" x14ac:dyDescent="0.2">
      <c r="A958" s="225"/>
      <c r="B958" s="225"/>
      <c r="C958" s="225"/>
      <c r="D958" s="225"/>
      <c r="E958" s="225"/>
      <c r="F958" s="225"/>
      <c r="G958" s="225"/>
      <c r="H958" s="204"/>
      <c r="I958" s="224"/>
      <c r="J958" s="224"/>
      <c r="K958" s="224"/>
      <c r="L958" s="204"/>
      <c r="M958" s="204"/>
      <c r="N958" s="204"/>
      <c r="O958" s="204"/>
      <c r="P958" s="204"/>
      <c r="Q958" s="204"/>
      <c r="R958" s="204"/>
      <c r="S958" s="204"/>
      <c r="T958" s="204"/>
      <c r="U958" s="204"/>
      <c r="V958" s="204"/>
      <c r="W958" s="204"/>
      <c r="X958" s="204"/>
      <c r="Y958" s="204"/>
      <c r="Z958" s="204"/>
      <c r="AA958" s="204"/>
    </row>
    <row r="959" spans="1:27" ht="15.75" customHeight="1" x14ac:dyDescent="0.2">
      <c r="A959" s="225"/>
      <c r="B959" s="225"/>
      <c r="C959" s="225"/>
      <c r="D959" s="225"/>
      <c r="E959" s="225"/>
      <c r="F959" s="225"/>
      <c r="G959" s="225"/>
      <c r="H959" s="204"/>
      <c r="I959" s="224"/>
      <c r="J959" s="224"/>
      <c r="K959" s="224"/>
      <c r="L959" s="204"/>
      <c r="M959" s="204"/>
      <c r="N959" s="204"/>
      <c r="O959" s="204"/>
      <c r="P959" s="204"/>
      <c r="Q959" s="204"/>
      <c r="R959" s="204"/>
      <c r="S959" s="204"/>
      <c r="T959" s="204"/>
      <c r="U959" s="204"/>
      <c r="V959" s="204"/>
      <c r="W959" s="204"/>
      <c r="X959" s="204"/>
      <c r="Y959" s="204"/>
      <c r="Z959" s="204"/>
      <c r="AA959" s="204"/>
    </row>
    <row r="960" spans="1:27" ht="15.75" customHeight="1" x14ac:dyDescent="0.2">
      <c r="A960" s="225"/>
      <c r="B960" s="225"/>
      <c r="C960" s="225"/>
      <c r="D960" s="225"/>
      <c r="E960" s="225"/>
      <c r="F960" s="225"/>
      <c r="G960" s="225"/>
      <c r="H960" s="204"/>
      <c r="I960" s="224"/>
      <c r="J960" s="224"/>
      <c r="K960" s="224"/>
      <c r="L960" s="204"/>
      <c r="M960" s="204"/>
      <c r="N960" s="204"/>
      <c r="O960" s="204"/>
      <c r="P960" s="204"/>
      <c r="Q960" s="204"/>
      <c r="R960" s="204"/>
      <c r="S960" s="204"/>
      <c r="T960" s="204"/>
      <c r="U960" s="204"/>
      <c r="V960" s="204"/>
      <c r="W960" s="204"/>
      <c r="X960" s="204"/>
      <c r="Y960" s="204"/>
      <c r="Z960" s="204"/>
      <c r="AA960" s="204"/>
    </row>
    <row r="961" spans="1:27" ht="15.75" customHeight="1" x14ac:dyDescent="0.2">
      <c r="A961" s="225"/>
      <c r="B961" s="225"/>
      <c r="C961" s="225"/>
      <c r="D961" s="225"/>
      <c r="E961" s="225"/>
      <c r="F961" s="225"/>
      <c r="G961" s="225"/>
      <c r="H961" s="204"/>
      <c r="I961" s="224"/>
      <c r="J961" s="224"/>
      <c r="K961" s="224"/>
      <c r="L961" s="204"/>
      <c r="M961" s="204"/>
      <c r="N961" s="204"/>
      <c r="O961" s="204"/>
      <c r="P961" s="204"/>
      <c r="Q961" s="204"/>
      <c r="R961" s="204"/>
      <c r="S961" s="204"/>
      <c r="T961" s="204"/>
      <c r="U961" s="204"/>
      <c r="V961" s="204"/>
      <c r="W961" s="204"/>
      <c r="X961" s="204"/>
      <c r="Y961" s="204"/>
      <c r="Z961" s="204"/>
      <c r="AA961" s="204"/>
    </row>
    <row r="962" spans="1:27" ht="15.75" customHeight="1" x14ac:dyDescent="0.2">
      <c r="A962" s="225"/>
      <c r="B962" s="225"/>
      <c r="C962" s="225"/>
      <c r="D962" s="225"/>
      <c r="E962" s="225"/>
      <c r="F962" s="225"/>
      <c r="G962" s="225"/>
      <c r="H962" s="204"/>
      <c r="I962" s="224"/>
      <c r="J962" s="224"/>
      <c r="K962" s="224"/>
      <c r="L962" s="204"/>
      <c r="M962" s="204"/>
      <c r="N962" s="204"/>
      <c r="O962" s="204"/>
      <c r="P962" s="204"/>
      <c r="Q962" s="204"/>
      <c r="R962" s="204"/>
      <c r="S962" s="204"/>
      <c r="T962" s="204"/>
      <c r="U962" s="204"/>
      <c r="V962" s="204"/>
      <c r="W962" s="204"/>
      <c r="X962" s="204"/>
      <c r="Y962" s="204"/>
      <c r="Z962" s="204"/>
      <c r="AA962" s="204"/>
    </row>
    <row r="963" spans="1:27" ht="15.75" customHeight="1" x14ac:dyDescent="0.2">
      <c r="A963" s="225"/>
      <c r="B963" s="225"/>
      <c r="C963" s="225"/>
      <c r="D963" s="225"/>
      <c r="E963" s="225"/>
      <c r="F963" s="225"/>
      <c r="G963" s="225"/>
      <c r="H963" s="204"/>
      <c r="I963" s="224"/>
      <c r="J963" s="224"/>
      <c r="K963" s="224"/>
      <c r="L963" s="204"/>
      <c r="M963" s="204"/>
      <c r="N963" s="204"/>
      <c r="O963" s="204"/>
      <c r="P963" s="204"/>
      <c r="Q963" s="204"/>
      <c r="R963" s="204"/>
      <c r="S963" s="204"/>
      <c r="T963" s="204"/>
      <c r="U963" s="204"/>
      <c r="V963" s="204"/>
      <c r="W963" s="204"/>
      <c r="X963" s="204"/>
      <c r="Y963" s="204"/>
      <c r="Z963" s="204"/>
      <c r="AA963" s="204"/>
    </row>
    <row r="964" spans="1:27" ht="15.75" customHeight="1" x14ac:dyDescent="0.2">
      <c r="A964" s="225"/>
      <c r="B964" s="225"/>
      <c r="C964" s="225"/>
      <c r="D964" s="225"/>
      <c r="E964" s="225"/>
      <c r="F964" s="225"/>
      <c r="G964" s="225"/>
      <c r="H964" s="204"/>
      <c r="I964" s="224"/>
      <c r="J964" s="224"/>
      <c r="K964" s="224"/>
      <c r="L964" s="204"/>
      <c r="M964" s="204"/>
      <c r="N964" s="204"/>
      <c r="O964" s="204"/>
      <c r="P964" s="204"/>
      <c r="Q964" s="204"/>
      <c r="R964" s="204"/>
      <c r="S964" s="204"/>
      <c r="T964" s="204"/>
      <c r="U964" s="204"/>
      <c r="V964" s="204"/>
      <c r="W964" s="204"/>
      <c r="X964" s="204"/>
      <c r="Y964" s="204"/>
      <c r="Z964" s="204"/>
      <c r="AA964" s="204"/>
    </row>
    <row r="965" spans="1:27" ht="15.75" customHeight="1" x14ac:dyDescent="0.2">
      <c r="A965" s="225"/>
      <c r="B965" s="225"/>
      <c r="C965" s="225"/>
      <c r="D965" s="225"/>
      <c r="E965" s="225"/>
      <c r="F965" s="225"/>
      <c r="G965" s="225"/>
      <c r="H965" s="204"/>
      <c r="I965" s="224"/>
      <c r="J965" s="224"/>
      <c r="K965" s="224"/>
      <c r="L965" s="204"/>
      <c r="M965" s="204"/>
      <c r="N965" s="204"/>
      <c r="O965" s="204"/>
      <c r="P965" s="204"/>
      <c r="Q965" s="204"/>
      <c r="R965" s="204"/>
      <c r="S965" s="204"/>
      <c r="T965" s="204"/>
      <c r="U965" s="204"/>
      <c r="V965" s="204"/>
      <c r="W965" s="204"/>
      <c r="X965" s="204"/>
      <c r="Y965" s="204"/>
      <c r="Z965" s="204"/>
      <c r="AA965" s="204"/>
    </row>
    <row r="966" spans="1:27" ht="15.75" customHeight="1" x14ac:dyDescent="0.2">
      <c r="A966" s="225"/>
      <c r="B966" s="225"/>
      <c r="C966" s="225"/>
      <c r="D966" s="225"/>
      <c r="E966" s="225"/>
      <c r="F966" s="225"/>
      <c r="G966" s="225"/>
      <c r="H966" s="204"/>
      <c r="I966" s="224"/>
      <c r="J966" s="224"/>
      <c r="K966" s="224"/>
      <c r="L966" s="204"/>
      <c r="M966" s="204"/>
      <c r="N966" s="204"/>
      <c r="O966" s="204"/>
      <c r="P966" s="204"/>
      <c r="Q966" s="204"/>
      <c r="R966" s="204"/>
      <c r="S966" s="204"/>
      <c r="T966" s="204"/>
      <c r="U966" s="204"/>
      <c r="V966" s="204"/>
      <c r="W966" s="204"/>
      <c r="X966" s="204"/>
      <c r="Y966" s="204"/>
      <c r="Z966" s="204"/>
      <c r="AA966" s="204"/>
    </row>
    <row r="967" spans="1:27" ht="15.75" customHeight="1" x14ac:dyDescent="0.2">
      <c r="A967" s="225"/>
      <c r="B967" s="225"/>
      <c r="C967" s="225"/>
      <c r="D967" s="225"/>
      <c r="E967" s="225"/>
      <c r="F967" s="225"/>
      <c r="G967" s="225"/>
      <c r="H967" s="204"/>
      <c r="I967" s="224"/>
      <c r="J967" s="224"/>
      <c r="K967" s="224"/>
      <c r="L967" s="204"/>
      <c r="M967" s="204"/>
      <c r="N967" s="204"/>
      <c r="O967" s="204"/>
      <c r="P967" s="204"/>
      <c r="Q967" s="204"/>
      <c r="R967" s="204"/>
      <c r="S967" s="204"/>
      <c r="T967" s="204"/>
      <c r="U967" s="204"/>
      <c r="V967" s="204"/>
      <c r="W967" s="204"/>
      <c r="X967" s="204"/>
      <c r="Y967" s="204"/>
      <c r="Z967" s="204"/>
      <c r="AA967" s="204"/>
    </row>
    <row r="968" spans="1:27" ht="15.75" customHeight="1" x14ac:dyDescent="0.2">
      <c r="A968" s="225"/>
      <c r="B968" s="225"/>
      <c r="C968" s="225"/>
      <c r="D968" s="225"/>
      <c r="E968" s="225"/>
      <c r="F968" s="225"/>
      <c r="G968" s="225"/>
      <c r="H968" s="204"/>
      <c r="I968" s="224"/>
      <c r="J968" s="224"/>
      <c r="K968" s="224"/>
      <c r="L968" s="204"/>
      <c r="M968" s="204"/>
      <c r="N968" s="204"/>
      <c r="O968" s="204"/>
      <c r="P968" s="204"/>
      <c r="Q968" s="204"/>
      <c r="R968" s="204"/>
      <c r="S968" s="204"/>
      <c r="T968" s="204"/>
      <c r="U968" s="204"/>
      <c r="V968" s="204"/>
      <c r="W968" s="204"/>
      <c r="X968" s="204"/>
      <c r="Y968" s="204"/>
      <c r="Z968" s="204"/>
      <c r="AA968" s="204"/>
    </row>
    <row r="969" spans="1:27" ht="15.75" customHeight="1" x14ac:dyDescent="0.2">
      <c r="A969" s="225"/>
      <c r="B969" s="225"/>
      <c r="C969" s="225"/>
      <c r="D969" s="225"/>
      <c r="E969" s="225"/>
      <c r="F969" s="225"/>
      <c r="G969" s="225"/>
      <c r="H969" s="204"/>
      <c r="I969" s="224"/>
      <c r="J969" s="224"/>
      <c r="K969" s="224"/>
      <c r="L969" s="204"/>
      <c r="M969" s="204"/>
      <c r="N969" s="204"/>
      <c r="O969" s="204"/>
      <c r="P969" s="204"/>
      <c r="Q969" s="204"/>
      <c r="R969" s="204"/>
      <c r="S969" s="204"/>
      <c r="T969" s="204"/>
      <c r="U969" s="204"/>
      <c r="V969" s="204"/>
      <c r="W969" s="204"/>
      <c r="X969" s="204"/>
      <c r="Y969" s="204"/>
      <c r="Z969" s="204"/>
      <c r="AA969" s="204"/>
    </row>
    <row r="970" spans="1:27" ht="15.75" customHeight="1" x14ac:dyDescent="0.2">
      <c r="A970" s="225"/>
      <c r="B970" s="225"/>
      <c r="C970" s="225"/>
      <c r="D970" s="225"/>
      <c r="E970" s="225"/>
      <c r="F970" s="225"/>
      <c r="G970" s="225"/>
      <c r="H970" s="204"/>
      <c r="I970" s="224"/>
      <c r="J970" s="224"/>
      <c r="K970" s="224"/>
      <c r="L970" s="204"/>
      <c r="M970" s="204"/>
      <c r="N970" s="204"/>
      <c r="O970" s="204"/>
      <c r="P970" s="204"/>
      <c r="Q970" s="204"/>
      <c r="R970" s="204"/>
      <c r="S970" s="204"/>
      <c r="T970" s="204"/>
      <c r="U970" s="204"/>
      <c r="V970" s="204"/>
      <c r="W970" s="204"/>
      <c r="X970" s="204"/>
      <c r="Y970" s="204"/>
      <c r="Z970" s="204"/>
      <c r="AA970" s="204"/>
    </row>
    <row r="971" spans="1:27" ht="15.75" customHeight="1" x14ac:dyDescent="0.2">
      <c r="A971" s="225"/>
      <c r="B971" s="225"/>
      <c r="C971" s="225"/>
      <c r="D971" s="225"/>
      <c r="E971" s="225"/>
      <c r="F971" s="225"/>
      <c r="G971" s="225"/>
      <c r="H971" s="204"/>
      <c r="I971" s="224"/>
      <c r="J971" s="224"/>
      <c r="K971" s="224"/>
      <c r="L971" s="204"/>
      <c r="M971" s="204"/>
      <c r="N971" s="204"/>
      <c r="O971" s="204"/>
      <c r="P971" s="204"/>
      <c r="Q971" s="204"/>
      <c r="R971" s="204"/>
      <c r="S971" s="204"/>
      <c r="T971" s="204"/>
      <c r="U971" s="204"/>
      <c r="V971" s="204"/>
      <c r="W971" s="204"/>
      <c r="X971" s="204"/>
      <c r="Y971" s="204"/>
      <c r="Z971" s="204"/>
      <c r="AA971" s="204"/>
    </row>
    <row r="972" spans="1:27" ht="15.75" customHeight="1" x14ac:dyDescent="0.2">
      <c r="A972" s="225"/>
      <c r="B972" s="225"/>
      <c r="C972" s="225"/>
      <c r="D972" s="225"/>
      <c r="E972" s="225"/>
      <c r="F972" s="225"/>
      <c r="G972" s="225"/>
      <c r="H972" s="204"/>
      <c r="I972" s="224"/>
      <c r="J972" s="224"/>
      <c r="K972" s="224"/>
      <c r="L972" s="204"/>
      <c r="M972" s="204"/>
      <c r="N972" s="204"/>
      <c r="O972" s="204"/>
      <c r="P972" s="204"/>
      <c r="Q972" s="204"/>
      <c r="R972" s="204"/>
      <c r="S972" s="204"/>
      <c r="T972" s="204"/>
      <c r="U972" s="204"/>
      <c r="V972" s="204"/>
      <c r="W972" s="204"/>
      <c r="X972" s="204"/>
      <c r="Y972" s="204"/>
      <c r="Z972" s="204"/>
      <c r="AA972" s="204"/>
    </row>
    <row r="973" spans="1:27" ht="15.75" customHeight="1" x14ac:dyDescent="0.2">
      <c r="A973" s="225"/>
      <c r="B973" s="225"/>
      <c r="C973" s="225"/>
      <c r="D973" s="225"/>
      <c r="E973" s="225"/>
      <c r="F973" s="225"/>
      <c r="G973" s="225"/>
      <c r="H973" s="204"/>
      <c r="I973" s="224"/>
      <c r="J973" s="224"/>
      <c r="K973" s="224"/>
      <c r="L973" s="204"/>
      <c r="M973" s="204"/>
      <c r="N973" s="204"/>
      <c r="O973" s="204"/>
      <c r="P973" s="204"/>
      <c r="Q973" s="204"/>
      <c r="R973" s="204"/>
      <c r="S973" s="204"/>
      <c r="T973" s="204"/>
      <c r="U973" s="204"/>
      <c r="V973" s="204"/>
      <c r="W973" s="204"/>
      <c r="X973" s="204"/>
      <c r="Y973" s="204"/>
      <c r="Z973" s="204"/>
      <c r="AA973" s="204"/>
    </row>
    <row r="974" spans="1:27" ht="15.75" customHeight="1" x14ac:dyDescent="0.2">
      <c r="A974" s="225"/>
      <c r="B974" s="225"/>
      <c r="C974" s="225"/>
      <c r="D974" s="225"/>
      <c r="E974" s="225"/>
      <c r="F974" s="225"/>
      <c r="G974" s="225"/>
      <c r="H974" s="204"/>
      <c r="I974" s="224"/>
      <c r="J974" s="224"/>
      <c r="K974" s="224"/>
      <c r="L974" s="204"/>
      <c r="M974" s="204"/>
      <c r="N974" s="204"/>
      <c r="O974" s="204"/>
      <c r="P974" s="204"/>
      <c r="Q974" s="204"/>
      <c r="R974" s="204"/>
      <c r="S974" s="204"/>
      <c r="T974" s="204"/>
      <c r="U974" s="204"/>
      <c r="V974" s="204"/>
      <c r="W974" s="204"/>
      <c r="X974" s="204"/>
      <c r="Y974" s="204"/>
      <c r="Z974" s="204"/>
      <c r="AA974" s="204"/>
    </row>
    <row r="975" spans="1:27" ht="15.75" customHeight="1" x14ac:dyDescent="0.2">
      <c r="A975" s="225"/>
      <c r="B975" s="225"/>
      <c r="C975" s="225"/>
      <c r="D975" s="225"/>
      <c r="E975" s="225"/>
      <c r="F975" s="225"/>
      <c r="G975" s="225"/>
      <c r="H975" s="204"/>
      <c r="I975" s="224"/>
      <c r="J975" s="224"/>
      <c r="K975" s="224"/>
      <c r="L975" s="204"/>
      <c r="M975" s="204"/>
      <c r="N975" s="204"/>
      <c r="O975" s="204"/>
      <c r="P975" s="204"/>
      <c r="Q975" s="204"/>
      <c r="R975" s="204"/>
      <c r="S975" s="204"/>
      <c r="T975" s="204"/>
      <c r="U975" s="204"/>
      <c r="V975" s="204"/>
      <c r="W975" s="204"/>
      <c r="X975" s="204"/>
      <c r="Y975" s="204"/>
      <c r="Z975" s="204"/>
      <c r="AA975" s="204"/>
    </row>
    <row r="976" spans="1:27" ht="15.75" customHeight="1" x14ac:dyDescent="0.2">
      <c r="A976" s="225"/>
      <c r="B976" s="225"/>
      <c r="C976" s="225"/>
      <c r="D976" s="225"/>
      <c r="E976" s="225"/>
      <c r="F976" s="225"/>
      <c r="G976" s="225"/>
      <c r="H976" s="204"/>
      <c r="I976" s="224"/>
      <c r="J976" s="224"/>
      <c r="K976" s="224"/>
      <c r="L976" s="204"/>
      <c r="M976" s="204"/>
      <c r="N976" s="204"/>
      <c r="O976" s="204"/>
      <c r="P976" s="204"/>
      <c r="Q976" s="204"/>
      <c r="R976" s="204"/>
      <c r="S976" s="204"/>
      <c r="T976" s="204"/>
      <c r="U976" s="204"/>
      <c r="V976" s="204"/>
      <c r="W976" s="204"/>
      <c r="X976" s="204"/>
      <c r="Y976" s="204"/>
      <c r="Z976" s="204"/>
      <c r="AA976" s="204"/>
    </row>
    <row r="977" spans="1:27" ht="15.75" customHeight="1" x14ac:dyDescent="0.2">
      <c r="A977" s="225"/>
      <c r="B977" s="225"/>
      <c r="C977" s="225"/>
      <c r="D977" s="225"/>
      <c r="E977" s="225"/>
      <c r="F977" s="225"/>
      <c r="G977" s="225"/>
      <c r="H977" s="204"/>
      <c r="I977" s="224"/>
      <c r="J977" s="224"/>
      <c r="K977" s="224"/>
      <c r="L977" s="204"/>
      <c r="M977" s="204"/>
      <c r="N977" s="204"/>
      <c r="O977" s="204"/>
      <c r="P977" s="204"/>
      <c r="Q977" s="204"/>
      <c r="R977" s="204"/>
      <c r="S977" s="204"/>
      <c r="T977" s="204"/>
      <c r="U977" s="204"/>
      <c r="V977" s="204"/>
      <c r="W977" s="204"/>
      <c r="X977" s="204"/>
      <c r="Y977" s="204"/>
      <c r="Z977" s="204"/>
      <c r="AA977" s="204"/>
    </row>
    <row r="978" spans="1:27" ht="15.75" customHeight="1" x14ac:dyDescent="0.2">
      <c r="A978" s="225"/>
      <c r="B978" s="225"/>
      <c r="C978" s="225"/>
      <c r="D978" s="225"/>
      <c r="E978" s="225"/>
      <c r="F978" s="225"/>
      <c r="G978" s="225"/>
      <c r="H978" s="204"/>
      <c r="I978" s="224"/>
      <c r="J978" s="224"/>
      <c r="K978" s="224"/>
      <c r="L978" s="204"/>
      <c r="M978" s="204"/>
      <c r="N978" s="204"/>
      <c r="O978" s="204"/>
      <c r="P978" s="204"/>
      <c r="Q978" s="204"/>
      <c r="R978" s="204"/>
      <c r="S978" s="204"/>
      <c r="T978" s="204"/>
      <c r="U978" s="204"/>
      <c r="V978" s="204"/>
      <c r="W978" s="204"/>
      <c r="X978" s="204"/>
      <c r="Y978" s="204"/>
      <c r="Z978" s="204"/>
      <c r="AA978" s="204"/>
    </row>
    <row r="979" spans="1:27" ht="15.75" customHeight="1" x14ac:dyDescent="0.2">
      <c r="A979" s="225"/>
      <c r="B979" s="225"/>
      <c r="C979" s="225"/>
      <c r="D979" s="225"/>
      <c r="E979" s="225"/>
      <c r="F979" s="225"/>
      <c r="G979" s="225"/>
      <c r="H979" s="204"/>
      <c r="I979" s="224"/>
      <c r="J979" s="224"/>
      <c r="K979" s="224"/>
      <c r="L979" s="204"/>
      <c r="M979" s="204"/>
      <c r="N979" s="204"/>
      <c r="O979" s="204"/>
      <c r="P979" s="204"/>
      <c r="Q979" s="204"/>
      <c r="R979" s="204"/>
      <c r="S979" s="204"/>
      <c r="T979" s="204"/>
      <c r="U979" s="204"/>
      <c r="V979" s="204"/>
      <c r="W979" s="204"/>
      <c r="X979" s="204"/>
      <c r="Y979" s="204"/>
      <c r="Z979" s="204"/>
      <c r="AA979" s="204"/>
    </row>
    <row r="980" spans="1:27" ht="15.75" customHeight="1" x14ac:dyDescent="0.2">
      <c r="A980" s="225"/>
      <c r="B980" s="225"/>
      <c r="C980" s="225"/>
      <c r="D980" s="225"/>
      <c r="E980" s="225"/>
      <c r="F980" s="225"/>
      <c r="G980" s="225"/>
      <c r="H980" s="204"/>
      <c r="I980" s="224"/>
      <c r="J980" s="224"/>
      <c r="K980" s="224"/>
      <c r="L980" s="204"/>
      <c r="M980" s="204"/>
      <c r="N980" s="204"/>
      <c r="O980" s="204"/>
      <c r="P980" s="204"/>
      <c r="Q980" s="204"/>
      <c r="R980" s="204"/>
      <c r="S980" s="204"/>
      <c r="T980" s="204"/>
      <c r="U980" s="204"/>
      <c r="V980" s="204"/>
      <c r="W980" s="204"/>
      <c r="X980" s="204"/>
      <c r="Y980" s="204"/>
      <c r="Z980" s="204"/>
      <c r="AA980" s="204"/>
    </row>
    <row r="981" spans="1:27" ht="15.75" customHeight="1" x14ac:dyDescent="0.2">
      <c r="A981" s="225"/>
      <c r="B981" s="225"/>
      <c r="C981" s="225"/>
      <c r="D981" s="225"/>
      <c r="E981" s="225"/>
      <c r="F981" s="225"/>
      <c r="G981" s="225"/>
      <c r="H981" s="204"/>
      <c r="I981" s="224"/>
      <c r="J981" s="224"/>
      <c r="K981" s="224"/>
      <c r="L981" s="204"/>
      <c r="M981" s="204"/>
      <c r="N981" s="204"/>
      <c r="O981" s="204"/>
      <c r="P981" s="204"/>
      <c r="Q981" s="204"/>
      <c r="R981" s="204"/>
      <c r="S981" s="204"/>
      <c r="T981" s="204"/>
      <c r="U981" s="204"/>
      <c r="V981" s="204"/>
      <c r="W981" s="204"/>
      <c r="X981" s="204"/>
      <c r="Y981" s="204"/>
      <c r="Z981" s="204"/>
      <c r="AA981" s="204"/>
    </row>
    <row r="982" spans="1:27" ht="15.75" customHeight="1" x14ac:dyDescent="0.2">
      <c r="A982" s="225"/>
      <c r="B982" s="225"/>
      <c r="C982" s="225"/>
      <c r="D982" s="225"/>
      <c r="E982" s="225"/>
      <c r="F982" s="225"/>
      <c r="G982" s="225"/>
      <c r="H982" s="204"/>
      <c r="I982" s="224"/>
      <c r="J982" s="224"/>
      <c r="K982" s="224"/>
      <c r="L982" s="204"/>
      <c r="M982" s="204"/>
      <c r="N982" s="204"/>
      <c r="O982" s="204"/>
      <c r="P982" s="204"/>
      <c r="Q982" s="204"/>
      <c r="R982" s="204"/>
      <c r="S982" s="204"/>
      <c r="T982" s="204"/>
      <c r="U982" s="204"/>
      <c r="V982" s="204"/>
      <c r="W982" s="204"/>
      <c r="X982" s="204"/>
      <c r="Y982" s="204"/>
      <c r="Z982" s="204"/>
      <c r="AA982" s="204"/>
    </row>
    <row r="983" spans="1:27" ht="15.75" customHeight="1" x14ac:dyDescent="0.2">
      <c r="A983" s="225"/>
      <c r="B983" s="225"/>
      <c r="C983" s="225"/>
      <c r="D983" s="225"/>
      <c r="E983" s="225"/>
      <c r="F983" s="225"/>
      <c r="G983" s="225"/>
      <c r="H983" s="204"/>
      <c r="I983" s="224"/>
      <c r="J983" s="224"/>
      <c r="K983" s="224"/>
      <c r="L983" s="204"/>
      <c r="M983" s="204"/>
      <c r="N983" s="204"/>
      <c r="O983" s="204"/>
      <c r="P983" s="204"/>
      <c r="Q983" s="204"/>
      <c r="R983" s="204"/>
      <c r="S983" s="204"/>
      <c r="T983" s="204"/>
      <c r="U983" s="204"/>
      <c r="V983" s="204"/>
      <c r="W983" s="204"/>
      <c r="X983" s="204"/>
      <c r="Y983" s="204"/>
      <c r="Z983" s="204"/>
      <c r="AA983" s="204"/>
    </row>
    <row r="984" spans="1:27" ht="15.75" customHeight="1" x14ac:dyDescent="0.2">
      <c r="A984" s="225"/>
      <c r="B984" s="225"/>
      <c r="C984" s="225"/>
      <c r="D984" s="225"/>
      <c r="E984" s="225"/>
      <c r="F984" s="225"/>
      <c r="G984" s="225"/>
      <c r="H984" s="204"/>
      <c r="I984" s="224"/>
      <c r="J984" s="224"/>
      <c r="K984" s="224"/>
      <c r="L984" s="204"/>
      <c r="M984" s="204"/>
      <c r="N984" s="204"/>
      <c r="O984" s="204"/>
      <c r="P984" s="204"/>
      <c r="Q984" s="204"/>
      <c r="R984" s="204"/>
      <c r="S984" s="204"/>
      <c r="T984" s="204"/>
      <c r="U984" s="204"/>
      <c r="V984" s="204"/>
      <c r="W984" s="204"/>
      <c r="X984" s="204"/>
      <c r="Y984" s="204"/>
      <c r="Z984" s="204"/>
      <c r="AA984" s="204"/>
    </row>
    <row r="985" spans="1:27" ht="15.75" customHeight="1" x14ac:dyDescent="0.2">
      <c r="A985" s="225"/>
      <c r="B985" s="225"/>
      <c r="C985" s="225"/>
      <c r="D985" s="225"/>
      <c r="E985" s="225"/>
      <c r="F985" s="225"/>
      <c r="G985" s="225"/>
      <c r="H985" s="204"/>
      <c r="I985" s="224"/>
      <c r="J985" s="224"/>
      <c r="K985" s="224"/>
      <c r="L985" s="204"/>
      <c r="M985" s="204"/>
      <c r="N985" s="204"/>
      <c r="O985" s="204"/>
      <c r="P985" s="204"/>
      <c r="Q985" s="204"/>
      <c r="R985" s="204"/>
      <c r="S985" s="204"/>
      <c r="T985" s="204"/>
      <c r="U985" s="204"/>
      <c r="V985" s="204"/>
      <c r="W985" s="204"/>
      <c r="X985" s="204"/>
      <c r="Y985" s="204"/>
      <c r="Z985" s="204"/>
      <c r="AA985" s="204"/>
    </row>
    <row r="986" spans="1:27" ht="15.75" customHeight="1" x14ac:dyDescent="0.2">
      <c r="A986" s="225"/>
      <c r="B986" s="225"/>
      <c r="C986" s="225"/>
      <c r="D986" s="225"/>
      <c r="E986" s="225"/>
      <c r="F986" s="225"/>
      <c r="G986" s="225"/>
      <c r="H986" s="204"/>
      <c r="I986" s="224"/>
      <c r="J986" s="224"/>
      <c r="K986" s="224"/>
      <c r="L986" s="204"/>
      <c r="M986" s="204"/>
      <c r="N986" s="204"/>
      <c r="O986" s="204"/>
      <c r="P986" s="204"/>
      <c r="Q986" s="204"/>
      <c r="R986" s="204"/>
      <c r="S986" s="204"/>
      <c r="T986" s="204"/>
      <c r="U986" s="204"/>
      <c r="V986" s="204"/>
      <c r="W986" s="204"/>
      <c r="X986" s="204"/>
      <c r="Y986" s="204"/>
      <c r="Z986" s="204"/>
      <c r="AA986" s="204"/>
    </row>
    <row r="987" spans="1:27" ht="15.75" customHeight="1" x14ac:dyDescent="0.2">
      <c r="A987" s="225"/>
      <c r="B987" s="225"/>
      <c r="C987" s="225"/>
      <c r="D987" s="225"/>
      <c r="E987" s="225"/>
      <c r="F987" s="225"/>
      <c r="G987" s="225"/>
      <c r="H987" s="204"/>
      <c r="I987" s="224"/>
      <c r="J987" s="224"/>
      <c r="K987" s="224"/>
      <c r="L987" s="204"/>
      <c r="M987" s="204"/>
      <c r="N987" s="204"/>
      <c r="O987" s="204"/>
      <c r="P987" s="204"/>
      <c r="Q987" s="204"/>
      <c r="R987" s="204"/>
      <c r="S987" s="204"/>
      <c r="T987" s="204"/>
      <c r="U987" s="204"/>
      <c r="V987" s="204"/>
      <c r="W987" s="204"/>
      <c r="X987" s="204"/>
      <c r="Y987" s="204"/>
      <c r="Z987" s="204"/>
      <c r="AA987" s="204"/>
    </row>
    <row r="988" spans="1:27" ht="15.75" customHeight="1" x14ac:dyDescent="0.2">
      <c r="A988" s="225"/>
      <c r="B988" s="225"/>
      <c r="C988" s="225"/>
      <c r="D988" s="225"/>
      <c r="E988" s="225"/>
      <c r="F988" s="225"/>
      <c r="G988" s="225"/>
      <c r="H988" s="204"/>
      <c r="I988" s="224"/>
      <c r="J988" s="224"/>
      <c r="K988" s="224"/>
      <c r="L988" s="204"/>
      <c r="M988" s="204"/>
      <c r="N988" s="204"/>
      <c r="O988" s="204"/>
      <c r="P988" s="204"/>
      <c r="Q988" s="204"/>
      <c r="R988" s="204"/>
      <c r="S988" s="204"/>
      <c r="T988" s="204"/>
      <c r="U988" s="204"/>
      <c r="V988" s="204"/>
      <c r="W988" s="204"/>
      <c r="X988" s="204"/>
      <c r="Y988" s="204"/>
      <c r="Z988" s="204"/>
      <c r="AA988" s="204"/>
    </row>
    <row r="989" spans="1:27" ht="15.75" customHeight="1" x14ac:dyDescent="0.2">
      <c r="A989" s="225"/>
      <c r="B989" s="225"/>
      <c r="C989" s="225"/>
      <c r="D989" s="225"/>
      <c r="E989" s="225"/>
      <c r="F989" s="225"/>
      <c r="G989" s="225"/>
      <c r="H989" s="204"/>
      <c r="I989" s="224"/>
      <c r="J989" s="224"/>
      <c r="K989" s="224"/>
      <c r="L989" s="204"/>
      <c r="M989" s="204"/>
      <c r="N989" s="204"/>
      <c r="O989" s="204"/>
      <c r="P989" s="204"/>
      <c r="Q989" s="204"/>
      <c r="R989" s="204"/>
      <c r="S989" s="204"/>
      <c r="T989" s="204"/>
      <c r="U989" s="204"/>
      <c r="V989" s="204"/>
      <c r="W989" s="204"/>
      <c r="X989" s="204"/>
      <c r="Y989" s="204"/>
      <c r="Z989" s="204"/>
      <c r="AA989" s="204"/>
    </row>
    <row r="990" spans="1:27" ht="15.75" customHeight="1" x14ac:dyDescent="0.2">
      <c r="A990" s="225"/>
      <c r="B990" s="225"/>
      <c r="C990" s="225"/>
      <c r="D990" s="225"/>
      <c r="E990" s="225"/>
      <c r="F990" s="225"/>
      <c r="G990" s="225"/>
      <c r="H990" s="204"/>
      <c r="I990" s="224"/>
      <c r="J990" s="224"/>
      <c r="K990" s="224"/>
      <c r="L990" s="204"/>
      <c r="M990" s="204"/>
      <c r="N990" s="204"/>
      <c r="O990" s="204"/>
      <c r="P990" s="204"/>
      <c r="Q990" s="204"/>
      <c r="R990" s="204"/>
      <c r="S990" s="204"/>
      <c r="T990" s="204"/>
      <c r="U990" s="204"/>
      <c r="V990" s="204"/>
      <c r="W990" s="204"/>
      <c r="X990" s="204"/>
      <c r="Y990" s="204"/>
      <c r="Z990" s="204"/>
      <c r="AA990" s="204"/>
    </row>
    <row r="991" spans="1:27" ht="15.75" customHeight="1" x14ac:dyDescent="0.2">
      <c r="A991" s="225"/>
      <c r="B991" s="225"/>
      <c r="C991" s="225"/>
      <c r="D991" s="225"/>
      <c r="E991" s="225"/>
      <c r="F991" s="225"/>
      <c r="G991" s="225"/>
      <c r="H991" s="204"/>
      <c r="I991" s="224"/>
      <c r="J991" s="224"/>
      <c r="K991" s="224"/>
      <c r="L991" s="204"/>
      <c r="M991" s="204"/>
      <c r="N991" s="204"/>
      <c r="O991" s="204"/>
      <c r="P991" s="204"/>
      <c r="Q991" s="204"/>
      <c r="R991" s="204"/>
      <c r="S991" s="204"/>
      <c r="T991" s="204"/>
      <c r="U991" s="204"/>
      <c r="V991" s="204"/>
      <c r="W991" s="204"/>
      <c r="X991" s="204"/>
      <c r="Y991" s="204"/>
      <c r="Z991" s="204"/>
      <c r="AA991" s="204"/>
    </row>
    <row r="992" spans="1:27" ht="15.75" customHeight="1" x14ac:dyDescent="0.2">
      <c r="A992" s="225"/>
      <c r="B992" s="225"/>
      <c r="C992" s="225"/>
      <c r="D992" s="225"/>
      <c r="E992" s="225"/>
      <c r="F992" s="225"/>
      <c r="G992" s="225"/>
      <c r="H992" s="204"/>
      <c r="I992" s="224"/>
      <c r="J992" s="224"/>
      <c r="K992" s="224"/>
      <c r="L992" s="204"/>
      <c r="M992" s="204"/>
      <c r="N992" s="204"/>
      <c r="O992" s="204"/>
      <c r="P992" s="204"/>
      <c r="Q992" s="204"/>
      <c r="R992" s="204"/>
      <c r="S992" s="204"/>
      <c r="T992" s="204"/>
      <c r="U992" s="204"/>
      <c r="V992" s="204"/>
      <c r="W992" s="204"/>
      <c r="X992" s="204"/>
      <c r="Y992" s="204"/>
      <c r="Z992" s="204"/>
      <c r="AA992" s="204"/>
    </row>
    <row r="993" spans="1:27" ht="15.75" customHeight="1" x14ac:dyDescent="0.2">
      <c r="A993" s="225"/>
      <c r="B993" s="225"/>
      <c r="C993" s="225"/>
      <c r="D993" s="225"/>
      <c r="E993" s="225"/>
      <c r="F993" s="225"/>
      <c r="G993" s="225"/>
      <c r="H993" s="204"/>
      <c r="I993" s="224"/>
      <c r="J993" s="224"/>
      <c r="K993" s="224"/>
      <c r="L993" s="204"/>
      <c r="M993" s="204"/>
      <c r="N993" s="204"/>
      <c r="O993" s="204"/>
      <c r="P993" s="204"/>
      <c r="Q993" s="204"/>
      <c r="R993" s="204"/>
      <c r="S993" s="204"/>
      <c r="T993" s="204"/>
      <c r="U993" s="204"/>
      <c r="V993" s="204"/>
      <c r="W993" s="204"/>
      <c r="X993" s="204"/>
      <c r="Y993" s="204"/>
      <c r="Z993" s="204"/>
      <c r="AA993" s="204"/>
    </row>
    <row r="994" spans="1:27" ht="15.75" customHeight="1" x14ac:dyDescent="0.2">
      <c r="A994" s="225"/>
      <c r="B994" s="225"/>
      <c r="C994" s="225"/>
      <c r="D994" s="225"/>
      <c r="E994" s="225"/>
      <c r="F994" s="225"/>
      <c r="G994" s="225"/>
      <c r="H994" s="204"/>
      <c r="I994" s="224"/>
      <c r="J994" s="224"/>
      <c r="K994" s="224"/>
      <c r="L994" s="204"/>
      <c r="M994" s="204"/>
      <c r="N994" s="204"/>
      <c r="O994" s="204"/>
      <c r="P994" s="204"/>
      <c r="Q994" s="204"/>
      <c r="R994" s="204"/>
      <c r="S994" s="204"/>
      <c r="T994" s="204"/>
      <c r="U994" s="204"/>
      <c r="V994" s="204"/>
      <c r="W994" s="204"/>
      <c r="X994" s="204"/>
      <c r="Y994" s="204"/>
      <c r="Z994" s="204"/>
      <c r="AA994" s="204"/>
    </row>
    <row r="995" spans="1:27" ht="15.75" customHeight="1" x14ac:dyDescent="0.2">
      <c r="A995" s="225"/>
      <c r="B995" s="225"/>
      <c r="C995" s="225"/>
      <c r="D995" s="225"/>
      <c r="E995" s="225"/>
      <c r="F995" s="225"/>
      <c r="G995" s="225"/>
      <c r="H995" s="204"/>
      <c r="I995" s="224"/>
      <c r="J995" s="224"/>
      <c r="K995" s="224"/>
      <c r="L995" s="204"/>
      <c r="M995" s="204"/>
      <c r="N995" s="204"/>
      <c r="O995" s="204"/>
      <c r="P995" s="204"/>
      <c r="Q995" s="204"/>
      <c r="R995" s="204"/>
      <c r="S995" s="204"/>
      <c r="T995" s="204"/>
      <c r="U995" s="204"/>
      <c r="V995" s="204"/>
      <c r="W995" s="204"/>
      <c r="X995" s="204"/>
      <c r="Y995" s="204"/>
      <c r="Z995" s="204"/>
      <c r="AA995" s="204"/>
    </row>
    <row r="996" spans="1:27" ht="15.75" customHeight="1" x14ac:dyDescent="0.2">
      <c r="A996" s="225"/>
      <c r="B996" s="225"/>
      <c r="C996" s="225"/>
      <c r="D996" s="225"/>
      <c r="E996" s="225"/>
      <c r="F996" s="225"/>
      <c r="G996" s="225"/>
      <c r="H996" s="204"/>
      <c r="I996" s="224"/>
      <c r="J996" s="224"/>
      <c r="K996" s="224"/>
      <c r="L996" s="204"/>
      <c r="M996" s="204"/>
      <c r="N996" s="204"/>
      <c r="O996" s="204"/>
      <c r="P996" s="204"/>
      <c r="Q996" s="204"/>
      <c r="R996" s="204"/>
      <c r="S996" s="204"/>
      <c r="T996" s="204"/>
      <c r="U996" s="204"/>
      <c r="V996" s="204"/>
      <c r="W996" s="204"/>
      <c r="X996" s="204"/>
      <c r="Y996" s="204"/>
      <c r="Z996" s="204"/>
      <c r="AA996" s="204"/>
    </row>
    <row r="997" spans="1:27" ht="15.75" customHeight="1" x14ac:dyDescent="0.2">
      <c r="A997" s="225"/>
      <c r="B997" s="225"/>
      <c r="C997" s="225"/>
      <c r="D997" s="225"/>
      <c r="E997" s="225"/>
      <c r="F997" s="225"/>
      <c r="G997" s="225"/>
      <c r="H997" s="204"/>
      <c r="I997" s="224"/>
      <c r="J997" s="224"/>
      <c r="K997" s="224"/>
      <c r="L997" s="204"/>
      <c r="M997" s="204"/>
      <c r="N997" s="204"/>
      <c r="O997" s="204"/>
      <c r="P997" s="204"/>
      <c r="Q997" s="204"/>
      <c r="R997" s="204"/>
      <c r="S997" s="204"/>
      <c r="T997" s="204"/>
      <c r="U997" s="204"/>
      <c r="V997" s="204"/>
      <c r="W997" s="204"/>
      <c r="X997" s="204"/>
      <c r="Y997" s="204"/>
      <c r="Z997" s="204"/>
      <c r="AA997" s="204"/>
    </row>
    <row r="998" spans="1:27" ht="15.75" customHeight="1" x14ac:dyDescent="0.2">
      <c r="A998" s="225"/>
      <c r="B998" s="225"/>
      <c r="C998" s="225"/>
      <c r="D998" s="225"/>
      <c r="E998" s="225"/>
      <c r="F998" s="225"/>
      <c r="G998" s="225"/>
      <c r="H998" s="204"/>
      <c r="I998" s="224"/>
      <c r="J998" s="224"/>
      <c r="K998" s="224"/>
      <c r="L998" s="204"/>
      <c r="M998" s="204"/>
      <c r="N998" s="204"/>
      <c r="O998" s="204"/>
      <c r="P998" s="204"/>
      <c r="Q998" s="204"/>
      <c r="R998" s="204"/>
      <c r="S998" s="204"/>
      <c r="T998" s="204"/>
      <c r="U998" s="204"/>
      <c r="V998" s="204"/>
      <c r="W998" s="204"/>
      <c r="X998" s="204"/>
      <c r="Y998" s="204"/>
      <c r="Z998" s="204"/>
      <c r="AA998" s="204"/>
    </row>
    <row r="999" spans="1:27" ht="15.75" customHeight="1" x14ac:dyDescent="0.2">
      <c r="A999" s="225"/>
      <c r="B999" s="225"/>
      <c r="C999" s="225"/>
      <c r="D999" s="225"/>
      <c r="E999" s="225"/>
      <c r="F999" s="225"/>
      <c r="G999" s="225"/>
      <c r="H999" s="204"/>
      <c r="I999" s="224"/>
      <c r="J999" s="224"/>
      <c r="K999" s="224"/>
      <c r="L999" s="204"/>
      <c r="M999" s="204"/>
      <c r="N999" s="204"/>
      <c r="O999" s="204"/>
      <c r="P999" s="204"/>
      <c r="Q999" s="204"/>
      <c r="R999" s="204"/>
      <c r="S999" s="204"/>
      <c r="T999" s="204"/>
      <c r="U999" s="204"/>
      <c r="V999" s="204"/>
      <c r="W999" s="204"/>
      <c r="X999" s="204"/>
      <c r="Y999" s="204"/>
      <c r="Z999" s="204"/>
      <c r="AA999" s="204"/>
    </row>
    <row r="1000" spans="1:27" ht="15.75" customHeight="1" x14ac:dyDescent="0.2">
      <c r="A1000" s="225"/>
      <c r="B1000" s="225"/>
      <c r="C1000" s="225"/>
      <c r="D1000" s="225"/>
      <c r="E1000" s="225"/>
      <c r="F1000" s="225"/>
      <c r="G1000" s="225"/>
      <c r="H1000" s="204"/>
      <c r="I1000" s="224"/>
      <c r="J1000" s="224"/>
      <c r="K1000" s="224"/>
      <c r="L1000" s="204"/>
      <c r="M1000" s="204"/>
      <c r="N1000" s="204"/>
      <c r="O1000" s="204"/>
      <c r="P1000" s="204"/>
      <c r="Q1000" s="204"/>
      <c r="R1000" s="204"/>
      <c r="S1000" s="204"/>
      <c r="T1000" s="204"/>
      <c r="U1000" s="204"/>
      <c r="V1000" s="204"/>
      <c r="W1000" s="204"/>
      <c r="X1000" s="204"/>
      <c r="Y1000" s="204"/>
      <c r="Z1000" s="204"/>
      <c r="AA1000" s="204"/>
    </row>
    <row r="1001" spans="1:27" ht="15.75" customHeight="1" x14ac:dyDescent="0.2">
      <c r="A1001" s="225"/>
      <c r="B1001" s="225"/>
      <c r="C1001" s="225"/>
      <c r="D1001" s="225"/>
      <c r="E1001" s="225"/>
      <c r="F1001" s="225"/>
      <c r="G1001" s="225"/>
      <c r="H1001" s="204"/>
      <c r="I1001" s="224"/>
      <c r="J1001" s="224"/>
      <c r="K1001" s="224"/>
      <c r="L1001" s="204"/>
      <c r="M1001" s="204"/>
      <c r="N1001" s="204"/>
      <c r="O1001" s="204"/>
      <c r="P1001" s="204"/>
      <c r="Q1001" s="204"/>
      <c r="R1001" s="204"/>
      <c r="S1001" s="204"/>
      <c r="T1001" s="204"/>
      <c r="U1001" s="204"/>
      <c r="V1001" s="204"/>
      <c r="W1001" s="204"/>
      <c r="X1001" s="204"/>
      <c r="Y1001" s="204"/>
      <c r="Z1001" s="204"/>
      <c r="AA1001" s="204"/>
    </row>
    <row r="1002" spans="1:27" ht="15.75" customHeight="1" x14ac:dyDescent="0.2">
      <c r="A1002" s="225"/>
      <c r="B1002" s="225"/>
      <c r="C1002" s="225"/>
      <c r="D1002" s="225"/>
      <c r="E1002" s="225"/>
      <c r="F1002" s="225"/>
      <c r="G1002" s="225"/>
      <c r="H1002" s="204"/>
      <c r="I1002" s="224"/>
      <c r="J1002" s="224"/>
      <c r="K1002" s="224"/>
      <c r="L1002" s="204"/>
      <c r="M1002" s="204"/>
      <c r="N1002" s="204"/>
      <c r="O1002" s="204"/>
      <c r="P1002" s="204"/>
      <c r="Q1002" s="204"/>
      <c r="R1002" s="204"/>
      <c r="S1002" s="204"/>
      <c r="T1002" s="204"/>
      <c r="U1002" s="204"/>
      <c r="V1002" s="204"/>
      <c r="W1002" s="204"/>
      <c r="X1002" s="204"/>
      <c r="Y1002" s="204"/>
      <c r="Z1002" s="204"/>
      <c r="AA1002" s="204"/>
    </row>
    <row r="1003" spans="1:27" ht="15.75" customHeight="1" x14ac:dyDescent="0.2">
      <c r="A1003" s="225"/>
      <c r="B1003" s="225"/>
      <c r="C1003" s="225"/>
      <c r="D1003" s="225"/>
      <c r="E1003" s="225"/>
      <c r="F1003" s="225"/>
      <c r="G1003" s="225"/>
      <c r="H1003" s="204"/>
      <c r="I1003" s="224"/>
      <c r="J1003" s="224"/>
      <c r="K1003" s="224"/>
      <c r="L1003" s="204"/>
      <c r="M1003" s="204"/>
      <c r="N1003" s="204"/>
      <c r="O1003" s="204"/>
      <c r="P1003" s="204"/>
      <c r="Q1003" s="204"/>
      <c r="R1003" s="204"/>
      <c r="S1003" s="204"/>
      <c r="T1003" s="204"/>
      <c r="U1003" s="204"/>
      <c r="V1003" s="204"/>
      <c r="W1003" s="204"/>
      <c r="X1003" s="204"/>
      <c r="Y1003" s="204"/>
      <c r="Z1003" s="204"/>
      <c r="AA1003" s="204"/>
    </row>
    <row r="1004" spans="1:27" ht="15.75" customHeight="1" x14ac:dyDescent="0.2">
      <c r="A1004" s="225"/>
      <c r="B1004" s="225"/>
      <c r="C1004" s="225"/>
      <c r="D1004" s="225"/>
      <c r="E1004" s="225"/>
      <c r="F1004" s="225"/>
      <c r="G1004" s="225"/>
      <c r="H1004" s="204"/>
      <c r="I1004" s="224"/>
      <c r="J1004" s="224"/>
      <c r="K1004" s="224"/>
      <c r="L1004" s="204"/>
      <c r="M1004" s="204"/>
      <c r="N1004" s="204"/>
      <c r="O1004" s="204"/>
      <c r="P1004" s="204"/>
      <c r="Q1004" s="204"/>
      <c r="R1004" s="204"/>
      <c r="S1004" s="204"/>
      <c r="T1004" s="204"/>
      <c r="U1004" s="204"/>
      <c r="V1004" s="204"/>
      <c r="W1004" s="204"/>
      <c r="X1004" s="204"/>
      <c r="Y1004" s="204"/>
      <c r="Z1004" s="204"/>
      <c r="AA1004" s="204"/>
    </row>
    <row r="1005" spans="1:27" ht="15.75" customHeight="1" x14ac:dyDescent="0.2">
      <c r="A1005" s="225"/>
      <c r="B1005" s="225"/>
      <c r="C1005" s="225"/>
      <c r="D1005" s="225"/>
      <c r="E1005" s="225"/>
      <c r="F1005" s="225"/>
      <c r="G1005" s="225"/>
      <c r="H1005" s="204"/>
      <c r="I1005" s="224"/>
      <c r="J1005" s="224"/>
      <c r="K1005" s="224"/>
      <c r="L1005" s="204"/>
      <c r="M1005" s="204"/>
      <c r="N1005" s="204"/>
      <c r="O1005" s="204"/>
      <c r="P1005" s="204"/>
      <c r="Q1005" s="204"/>
      <c r="R1005" s="204"/>
      <c r="S1005" s="204"/>
      <c r="T1005" s="204"/>
      <c r="U1005" s="204"/>
      <c r="V1005" s="204"/>
      <c r="W1005" s="204"/>
      <c r="X1005" s="204"/>
      <c r="Y1005" s="204"/>
      <c r="Z1005" s="204"/>
      <c r="AA1005" s="204"/>
    </row>
    <row r="1006" spans="1:27" ht="15.75" customHeight="1" x14ac:dyDescent="0.2">
      <c r="A1006" s="225"/>
      <c r="B1006" s="225"/>
      <c r="C1006" s="225"/>
      <c r="D1006" s="225"/>
      <c r="E1006" s="225"/>
      <c r="F1006" s="225"/>
      <c r="G1006" s="225"/>
      <c r="H1006" s="204"/>
      <c r="I1006" s="224"/>
      <c r="J1006" s="224"/>
      <c r="K1006" s="224"/>
      <c r="L1006" s="204"/>
      <c r="M1006" s="204"/>
      <c r="N1006" s="204"/>
      <c r="O1006" s="204"/>
      <c r="P1006" s="204"/>
      <c r="Q1006" s="204"/>
      <c r="R1006" s="204"/>
      <c r="S1006" s="204"/>
      <c r="T1006" s="204"/>
      <c r="U1006" s="204"/>
      <c r="V1006" s="204"/>
      <c r="W1006" s="204"/>
      <c r="X1006" s="204"/>
      <c r="Y1006" s="204"/>
      <c r="Z1006" s="204"/>
      <c r="AA1006" s="204"/>
    </row>
    <row r="1007" spans="1:27" ht="15.75" customHeight="1" x14ac:dyDescent="0.2">
      <c r="A1007" s="225"/>
      <c r="B1007" s="225"/>
      <c r="C1007" s="225"/>
      <c r="D1007" s="225"/>
      <c r="E1007" s="225"/>
      <c r="F1007" s="225"/>
      <c r="G1007" s="225"/>
      <c r="H1007" s="204"/>
      <c r="I1007" s="224"/>
      <c r="J1007" s="224"/>
      <c r="K1007" s="224"/>
      <c r="L1007" s="204"/>
      <c r="M1007" s="204"/>
      <c r="N1007" s="204"/>
      <c r="O1007" s="204"/>
      <c r="P1007" s="204"/>
      <c r="Q1007" s="204"/>
      <c r="R1007" s="204"/>
      <c r="S1007" s="204"/>
      <c r="T1007" s="204"/>
      <c r="U1007" s="204"/>
      <c r="V1007" s="204"/>
      <c r="W1007" s="204"/>
      <c r="X1007" s="204"/>
      <c r="Y1007" s="204"/>
      <c r="Z1007" s="204"/>
      <c r="AA1007" s="204"/>
    </row>
  </sheetData>
  <sheetProtection sheet="1" objects="1" scenarios="1"/>
  <autoFilter ref="A6:G6" xr:uid="{578194E9-9AD8-4B8B-A8AF-05E0DC5FE5A1}"/>
  <mergeCells count="26">
    <mergeCell ref="F162:G162"/>
    <mergeCell ref="F163:G163"/>
    <mergeCell ref="F115:G115"/>
    <mergeCell ref="F195:G195"/>
    <mergeCell ref="F155:G155"/>
    <mergeCell ref="F157:G157"/>
    <mergeCell ref="F158:G158"/>
    <mergeCell ref="F159:G159"/>
    <mergeCell ref="F160:G160"/>
    <mergeCell ref="F161:G161"/>
    <mergeCell ref="A1:G2"/>
    <mergeCell ref="B5:D5"/>
    <mergeCell ref="F5:G5"/>
    <mergeCell ref="A3:G3"/>
    <mergeCell ref="B156:D156"/>
    <mergeCell ref="F156:G156"/>
    <mergeCell ref="B115:D115"/>
    <mergeCell ref="B195:D195"/>
    <mergeCell ref="B157:D157"/>
    <mergeCell ref="B155:D155"/>
    <mergeCell ref="B161:D161"/>
    <mergeCell ref="B162:D162"/>
    <mergeCell ref="B163:D163"/>
    <mergeCell ref="B160:D160"/>
    <mergeCell ref="B159:D159"/>
    <mergeCell ref="B158:D158"/>
  </mergeCells>
  <pageMargins left="0.511811024" right="0.511811024" top="0.78740157499999996" bottom="0.78740157499999996" header="0.31496062000000002" footer="0.31496062000000002"/>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7480C-58C9-489F-B15C-70881220C0B0}">
  <sheetPr>
    <tabColor rgb="FFE72460"/>
  </sheetPr>
  <dimension ref="A1:J181"/>
  <sheetViews>
    <sheetView showZeros="0" zoomScaleNormal="100" workbookViewId="0"/>
  </sheetViews>
  <sheetFormatPr defaultRowHeight="15" x14ac:dyDescent="0.2"/>
  <cols>
    <col min="1" max="1" width="12.375" customWidth="1"/>
    <col min="2" max="2" width="11.97265625" style="2" customWidth="1"/>
    <col min="3" max="3" width="68.47265625" style="1" customWidth="1"/>
    <col min="4" max="4" width="20.4453125" style="227" customWidth="1"/>
    <col min="5" max="5" width="3.765625" style="21" customWidth="1"/>
    <col min="6" max="6" width="25.2890625" style="21" hidden="1" customWidth="1"/>
    <col min="7" max="7" width="3.765625" style="21" hidden="1" customWidth="1"/>
    <col min="8" max="8" width="14.66015625" style="242" hidden="1" customWidth="1"/>
    <col min="9" max="9" width="4.9765625" style="2" hidden="1" customWidth="1"/>
    <col min="10" max="10" width="8.609375" style="2" hidden="1" customWidth="1"/>
    <col min="11" max="13" width="3.765625" customWidth="1"/>
    <col min="14" max="14" width="20.58203125" bestFit="1" customWidth="1"/>
    <col min="15" max="17" width="3.765625" customWidth="1"/>
  </cols>
  <sheetData>
    <row r="1" spans="1:10" ht="30" thickBot="1" x14ac:dyDescent="0.25">
      <c r="C1" s="226" t="s">
        <v>771</v>
      </c>
      <c r="F1" s="62"/>
      <c r="G1" s="62"/>
      <c r="H1" s="25"/>
      <c r="I1" s="40"/>
      <c r="J1" s="40"/>
    </row>
    <row r="2" spans="1:10" ht="15.75" thickBot="1" x14ac:dyDescent="0.25">
      <c r="F2" s="62"/>
      <c r="G2" s="62"/>
      <c r="H2" s="25"/>
      <c r="I2" s="40"/>
      <c r="J2" s="40"/>
    </row>
    <row r="3" spans="1:10" ht="15.75" thickBot="1" x14ac:dyDescent="0.25">
      <c r="C3" s="228" t="s">
        <v>578</v>
      </c>
      <c r="F3" s="62"/>
      <c r="G3" s="62"/>
      <c r="H3" s="158" t="s">
        <v>954</v>
      </c>
      <c r="I3" s="159">
        <f>I7+I78+I117+I164</f>
        <v>0</v>
      </c>
      <c r="J3" s="40"/>
    </row>
    <row r="4" spans="1:10" x14ac:dyDescent="0.2">
      <c r="C4" s="312" t="s">
        <v>1089</v>
      </c>
      <c r="F4" s="62"/>
      <c r="G4" s="62"/>
      <c r="H4" s="160"/>
      <c r="I4" s="161"/>
      <c r="J4" s="40"/>
    </row>
    <row r="5" spans="1:10" ht="45.75" x14ac:dyDescent="0.2">
      <c r="C5" s="312" t="s">
        <v>1088</v>
      </c>
      <c r="F5" s="62"/>
      <c r="G5" s="62"/>
      <c r="H5" s="160"/>
      <c r="I5" s="161"/>
      <c r="J5" s="40"/>
    </row>
    <row r="6" spans="1:10" ht="15.75" thickBot="1" x14ac:dyDescent="0.25">
      <c r="F6" s="62"/>
      <c r="G6" s="62"/>
      <c r="H6" s="160"/>
      <c r="I6" s="161"/>
      <c r="J6" s="40"/>
    </row>
    <row r="7" spans="1:10" ht="15.75" thickBot="1" x14ac:dyDescent="0.25">
      <c r="A7" s="76"/>
      <c r="B7" s="229"/>
      <c r="C7" s="228" t="s">
        <v>982</v>
      </c>
      <c r="F7" s="230"/>
      <c r="G7" s="230"/>
      <c r="H7" s="158" t="s">
        <v>953</v>
      </c>
      <c r="I7" s="162">
        <f>IF(B8="Bloco concluído",1,0)</f>
        <v>0</v>
      </c>
      <c r="J7" s="40"/>
    </row>
    <row r="8" spans="1:10" ht="42" thickBot="1" x14ac:dyDescent="0.25">
      <c r="A8" s="231"/>
      <c r="B8" s="324" t="str">
        <f>IF(AND(A11="Atingiu 100% das ações fixas",A16="Atingiu 100% das ações variáveis"),"BLOCO CONCLUÍDO","")</f>
        <v/>
      </c>
      <c r="C8" s="329" t="s">
        <v>983</v>
      </c>
      <c r="F8" s="62"/>
      <c r="G8" s="62"/>
      <c r="H8" s="25"/>
      <c r="I8" s="232"/>
      <c r="J8" s="40"/>
    </row>
    <row r="9" spans="1:10" ht="15.75" thickBot="1" x14ac:dyDescent="0.25">
      <c r="A9" s="77"/>
      <c r="C9" s="233"/>
      <c r="F9" s="62"/>
      <c r="G9" s="62"/>
      <c r="H9" s="25"/>
      <c r="I9" s="232"/>
      <c r="J9" s="40"/>
    </row>
    <row r="10" spans="1:10" ht="15.75" thickBot="1" x14ac:dyDescent="0.25">
      <c r="A10" s="77"/>
      <c r="C10" s="228" t="s">
        <v>984</v>
      </c>
      <c r="F10" s="62"/>
      <c r="G10" s="62"/>
      <c r="H10" s="25"/>
      <c r="I10" s="232"/>
      <c r="J10" s="40"/>
    </row>
    <row r="11" spans="1:10" ht="27.75" x14ac:dyDescent="0.2">
      <c r="A11" s="369" t="str">
        <f>IF(J13&gt;=2,"Atingiu 100% das ações fixas","")</f>
        <v/>
      </c>
      <c r="B11" s="323" t="str">
        <f>IF(J11&gt;0,"Item OK","")</f>
        <v/>
      </c>
      <c r="C11" s="320" t="s">
        <v>576</v>
      </c>
      <c r="D11" s="164" t="s">
        <v>972</v>
      </c>
      <c r="E11" s="187">
        <v>0</v>
      </c>
      <c r="F11" s="68"/>
      <c r="G11" s="68"/>
      <c r="H11" s="234" t="s">
        <v>910</v>
      </c>
      <c r="I11" s="38">
        <f>'Especialidades ou Insígnias'!H313</f>
        <v>0</v>
      </c>
      <c r="J11" s="38">
        <f>IF(E11+I11&gt;=1,1,0)</f>
        <v>0</v>
      </c>
    </row>
    <row r="12" spans="1:10" ht="28.5" thickBot="1" x14ac:dyDescent="0.25">
      <c r="A12" s="369"/>
      <c r="B12" s="323" t="str">
        <f>IF(J12&gt;0,"Item OK","")</f>
        <v/>
      </c>
      <c r="C12" s="23" t="s">
        <v>577</v>
      </c>
      <c r="D12" s="164" t="s">
        <v>972</v>
      </c>
      <c r="E12" s="187"/>
      <c r="F12" s="235" t="s">
        <v>1086</v>
      </c>
      <c r="G12" s="63">
        <f>'Pistas e Trilha'!A41</f>
        <v>0</v>
      </c>
      <c r="H12" s="235" t="s">
        <v>948</v>
      </c>
      <c r="I12" s="38">
        <f>'Pistas e Trilha'!A42</f>
        <v>0</v>
      </c>
      <c r="J12" s="38">
        <f>IF(G12+I12&gt;=2,1,0)+E12</f>
        <v>0</v>
      </c>
    </row>
    <row r="13" spans="1:10" ht="15.75" thickBot="1" x14ac:dyDescent="0.25">
      <c r="A13" s="77"/>
      <c r="C13" s="233"/>
      <c r="F13" s="62"/>
      <c r="G13" s="62"/>
      <c r="H13" s="25"/>
      <c r="I13" s="70" t="s">
        <v>852</v>
      </c>
      <c r="J13" s="40">
        <f>SUM(J11:J12)</f>
        <v>0</v>
      </c>
    </row>
    <row r="14" spans="1:10" ht="15.75" thickBot="1" x14ac:dyDescent="0.25">
      <c r="A14" s="77"/>
      <c r="C14" s="228" t="s">
        <v>985</v>
      </c>
      <c r="F14" s="62"/>
      <c r="G14" s="62"/>
      <c r="H14" s="25"/>
      <c r="I14" s="40"/>
      <c r="J14" s="40"/>
    </row>
    <row r="15" spans="1:10" ht="18" thickBot="1" x14ac:dyDescent="0.25">
      <c r="A15" s="77"/>
      <c r="C15" s="236" t="s">
        <v>579</v>
      </c>
      <c r="F15" s="62"/>
      <c r="G15" s="62"/>
      <c r="H15" s="25"/>
      <c r="I15" s="40"/>
      <c r="J15" s="40"/>
    </row>
    <row r="16" spans="1:10" ht="45.75" customHeight="1" x14ac:dyDescent="0.2">
      <c r="A16" s="370" t="str">
        <f>IF(OR(J71&gt;0,J66&gt;=4),"Atingiu 100% das ações variáveis","")</f>
        <v/>
      </c>
      <c r="B16" s="357" t="str">
        <f>IF(J18&gt;0,"Item OK","")</f>
        <v/>
      </c>
      <c r="C16" s="366" t="s">
        <v>581</v>
      </c>
      <c r="D16" s="164" t="s">
        <v>972</v>
      </c>
      <c r="E16" s="187"/>
      <c r="F16" s="235" t="s">
        <v>912</v>
      </c>
      <c r="G16" s="63">
        <f>'Pistas e Trilha'!A67</f>
        <v>0</v>
      </c>
      <c r="H16" s="26" t="s">
        <v>601</v>
      </c>
      <c r="I16" s="38">
        <f>'Rumo e Travessia'!A70</f>
        <v>0</v>
      </c>
      <c r="J16" s="38"/>
    </row>
    <row r="17" spans="1:10" ht="15.75" thickBot="1" x14ac:dyDescent="0.25">
      <c r="A17" s="370"/>
      <c r="B17" s="371"/>
      <c r="C17" s="356"/>
      <c r="F17" s="235" t="s">
        <v>911</v>
      </c>
      <c r="G17" s="63">
        <f>'Especialidades ou Insígnias'!H102</f>
        <v>0</v>
      </c>
      <c r="H17" s="26"/>
      <c r="I17" s="38"/>
      <c r="J17" s="38"/>
    </row>
    <row r="18" spans="1:10" ht="15.75" hidden="1" thickBot="1" x14ac:dyDescent="0.25">
      <c r="A18" s="370"/>
      <c r="B18" s="325"/>
      <c r="C18" s="319"/>
      <c r="E18" s="186"/>
      <c r="F18" s="235"/>
      <c r="G18" s="63"/>
      <c r="H18" s="26"/>
      <c r="I18" s="68" t="s">
        <v>852</v>
      </c>
      <c r="J18" s="38">
        <f>IF(G16+G17+I16+I17&gt;=1,1,0)+E16</f>
        <v>0</v>
      </c>
    </row>
    <row r="19" spans="1:10" ht="28.5" thickBot="1" x14ac:dyDescent="0.25">
      <c r="A19" s="370"/>
      <c r="B19" s="323" t="str">
        <f>IF(J19&gt;0,"Item OK","")</f>
        <v/>
      </c>
      <c r="C19" s="318" t="s">
        <v>986</v>
      </c>
      <c r="D19" s="164" t="s">
        <v>972</v>
      </c>
      <c r="E19" s="187"/>
      <c r="F19" s="235" t="s">
        <v>913</v>
      </c>
      <c r="G19" s="63">
        <f>'Pistas e Trilha'!A146</f>
        <v>0</v>
      </c>
      <c r="H19" s="26"/>
      <c r="I19" s="38"/>
      <c r="J19" s="38">
        <f>IF(G19+I19&gt;=1,1,0)+E19</f>
        <v>0</v>
      </c>
    </row>
    <row r="20" spans="1:10" ht="30.75" customHeight="1" x14ac:dyDescent="0.2">
      <c r="A20" s="370"/>
      <c r="B20" s="357" t="str">
        <f>IF(J22&gt;0,"Item OK","")</f>
        <v/>
      </c>
      <c r="C20" s="366" t="s">
        <v>580</v>
      </c>
      <c r="D20" s="353" t="s">
        <v>972</v>
      </c>
      <c r="E20" s="359"/>
      <c r="F20" s="235" t="s">
        <v>914</v>
      </c>
      <c r="G20" s="63">
        <f>'Especialidades ou Insígnias'!H164</f>
        <v>0</v>
      </c>
      <c r="H20" s="26" t="s">
        <v>602</v>
      </c>
      <c r="I20" s="38">
        <f>'Rumo e Travessia'!A69</f>
        <v>0</v>
      </c>
      <c r="J20" s="38">
        <f>IF(G20+I20&gt;=1,1,0)</f>
        <v>0</v>
      </c>
    </row>
    <row r="21" spans="1:10" ht="15.75" thickBot="1" x14ac:dyDescent="0.25">
      <c r="A21" s="370"/>
      <c r="B21" s="371"/>
      <c r="C21" s="356"/>
      <c r="D21" s="354"/>
      <c r="E21" s="360"/>
      <c r="F21" s="235" t="s">
        <v>915</v>
      </c>
      <c r="G21" s="63">
        <f>'Especialidades ou Insígnias'!H253</f>
        <v>0</v>
      </c>
      <c r="H21" s="26"/>
      <c r="I21" s="38"/>
      <c r="J21" s="38">
        <f>IF(G21+I21&gt;=1,1,0)</f>
        <v>0</v>
      </c>
    </row>
    <row r="22" spans="1:10" ht="15.75" hidden="1" thickBot="1" x14ac:dyDescent="0.25">
      <c r="A22" s="370"/>
      <c r="B22" s="325"/>
      <c r="C22" s="319"/>
      <c r="E22" s="186"/>
      <c r="F22" s="235"/>
      <c r="G22" s="63"/>
      <c r="H22" s="26"/>
      <c r="I22" s="68" t="s">
        <v>852</v>
      </c>
      <c r="J22" s="38">
        <f>IF(G20+G21+I20+I21&gt;=1,1,0)+E20</f>
        <v>0</v>
      </c>
    </row>
    <row r="23" spans="1:10" ht="28.5" thickBot="1" x14ac:dyDescent="0.25">
      <c r="A23" s="370"/>
      <c r="B23" s="323" t="str">
        <f>IF(J25&gt;0,"Item OK","")</f>
        <v/>
      </c>
      <c r="C23" s="318" t="s">
        <v>582</v>
      </c>
      <c r="D23" s="164" t="s">
        <v>972</v>
      </c>
      <c r="E23" s="187"/>
      <c r="F23" s="235" t="s">
        <v>598</v>
      </c>
      <c r="G23" s="63">
        <f>'Pistas e Trilha'!A124</f>
        <v>0</v>
      </c>
      <c r="H23" s="26" t="s">
        <v>1111</v>
      </c>
      <c r="I23" s="38">
        <f>'Rumo e Travessia'!A38</f>
        <v>0</v>
      </c>
      <c r="J23" s="38">
        <f>IF(G23+I23&gt;=1,1,0)+E23</f>
        <v>0</v>
      </c>
    </row>
    <row r="24" spans="1:10" ht="15.75" hidden="1" thickBot="1" x14ac:dyDescent="0.25">
      <c r="A24" s="370"/>
      <c r="B24" s="323"/>
      <c r="C24" s="318"/>
      <c r="D24" s="164"/>
      <c r="E24" s="187"/>
      <c r="F24" s="26" t="s">
        <v>942</v>
      </c>
      <c r="G24" s="63">
        <f>'Pistas e Trilha'!A59</f>
        <v>0</v>
      </c>
      <c r="H24" s="26"/>
      <c r="I24" s="38"/>
      <c r="J24" s="38"/>
    </row>
    <row r="25" spans="1:10" ht="15.75" hidden="1" thickBot="1" x14ac:dyDescent="0.25">
      <c r="A25" s="370"/>
      <c r="B25" s="323"/>
      <c r="C25" s="318"/>
      <c r="D25" s="164"/>
      <c r="E25" s="187"/>
      <c r="F25" s="235"/>
      <c r="G25" s="63"/>
      <c r="H25" s="26"/>
      <c r="I25" s="68" t="s">
        <v>852</v>
      </c>
      <c r="J25" s="38">
        <f>IF(G23+G24+I23&gt;=1,1,0)+E23</f>
        <v>0</v>
      </c>
    </row>
    <row r="26" spans="1:10" ht="15.75" thickBot="1" x14ac:dyDescent="0.25">
      <c r="A26" s="370"/>
      <c r="B26" s="323" t="str">
        <f>IF(J26&gt;0,"Item OK","")</f>
        <v/>
      </c>
      <c r="C26" s="318" t="s">
        <v>987</v>
      </c>
      <c r="D26" s="164" t="s">
        <v>972</v>
      </c>
      <c r="E26" s="187"/>
      <c r="F26" s="235" t="s">
        <v>599</v>
      </c>
      <c r="G26" s="63">
        <f>'Pistas e Trilha'!A68</f>
        <v>0</v>
      </c>
      <c r="H26" s="26"/>
      <c r="I26" s="38"/>
      <c r="J26" s="38">
        <f>IF(G26+I26&gt;=1,1,0)+E26</f>
        <v>0</v>
      </c>
    </row>
    <row r="27" spans="1:10" ht="28.5" thickBot="1" x14ac:dyDescent="0.25">
      <c r="A27" s="370"/>
      <c r="B27" s="323" t="str">
        <f>IF(J27&gt;0,"Item OK","")</f>
        <v/>
      </c>
      <c r="C27" s="318" t="s">
        <v>988</v>
      </c>
      <c r="D27" s="164" t="s">
        <v>972</v>
      </c>
      <c r="E27" s="187"/>
      <c r="F27" s="235" t="s">
        <v>600</v>
      </c>
      <c r="G27" s="63">
        <f>'Pistas e Trilha'!A109</f>
        <v>0</v>
      </c>
      <c r="H27" s="26" t="s">
        <v>603</v>
      </c>
      <c r="I27" s="38">
        <f>'Rumo e Travessia'!A47</f>
        <v>0</v>
      </c>
      <c r="J27" s="38">
        <f>IF(G27+I27&gt;=1,1,0)+E27</f>
        <v>0</v>
      </c>
    </row>
    <row r="28" spans="1:10" ht="28.5" thickBot="1" x14ac:dyDescent="0.25">
      <c r="A28" s="370"/>
      <c r="B28" s="323" t="str">
        <f>IF(J28&gt;0,"Item OK","")</f>
        <v/>
      </c>
      <c r="C28" s="318" t="s">
        <v>989</v>
      </c>
      <c r="D28" s="164" t="s">
        <v>972</v>
      </c>
      <c r="E28" s="187"/>
      <c r="F28" s="235"/>
      <c r="G28" s="63"/>
      <c r="H28" s="26" t="s">
        <v>604</v>
      </c>
      <c r="I28" s="38">
        <f>'Rumo e Travessia'!A154</f>
        <v>0</v>
      </c>
      <c r="J28" s="38">
        <f>IF(G28+I28&gt;=1,1,0)+E28</f>
        <v>0</v>
      </c>
    </row>
    <row r="29" spans="1:10" ht="15.75" customHeight="1" thickBot="1" x14ac:dyDescent="0.25">
      <c r="A29" s="370"/>
      <c r="B29" s="22"/>
      <c r="C29" s="228" t="s">
        <v>981</v>
      </c>
      <c r="F29" s="41"/>
      <c r="G29" s="238"/>
      <c r="H29" s="41"/>
      <c r="I29" s="66"/>
      <c r="J29" s="239"/>
    </row>
    <row r="30" spans="1:10" x14ac:dyDescent="0.2">
      <c r="A30" s="370"/>
      <c r="B30" s="323" t="str">
        <f t="shared" ref="B30:B65" si="0">IF(J30&gt;0,"Item OK","")</f>
        <v/>
      </c>
      <c r="C30" s="320" t="s">
        <v>990</v>
      </c>
      <c r="F30" s="235"/>
      <c r="G30" s="63"/>
      <c r="H30" s="240"/>
      <c r="I30" s="38"/>
      <c r="J30" s="241"/>
    </row>
    <row r="31" spans="1:10" x14ac:dyDescent="0.2">
      <c r="A31" s="370"/>
      <c r="B31" s="323" t="str">
        <f t="shared" si="0"/>
        <v/>
      </c>
      <c r="C31" s="50" t="s">
        <v>541</v>
      </c>
      <c r="F31" s="235"/>
      <c r="G31" s="63"/>
      <c r="H31" s="240"/>
      <c r="I31" s="38"/>
      <c r="J31" s="241">
        <f>'Especialidades ou Insígnias'!H22</f>
        <v>0</v>
      </c>
    </row>
    <row r="32" spans="1:10" x14ac:dyDescent="0.2">
      <c r="A32" s="370"/>
      <c r="B32" s="323" t="str">
        <f t="shared" si="0"/>
        <v/>
      </c>
      <c r="C32" s="50" t="s">
        <v>289</v>
      </c>
      <c r="F32" s="235"/>
      <c r="G32" s="63"/>
      <c r="H32" s="240"/>
      <c r="I32" s="38"/>
      <c r="J32" s="241">
        <f>'Especialidades ou Insígnias'!H32</f>
        <v>0</v>
      </c>
    </row>
    <row r="33" spans="1:10" x14ac:dyDescent="0.2">
      <c r="A33" s="370"/>
      <c r="B33" s="323" t="str">
        <f t="shared" si="0"/>
        <v/>
      </c>
      <c r="C33" s="50" t="s">
        <v>295</v>
      </c>
      <c r="F33" s="235"/>
      <c r="G33" s="63"/>
      <c r="H33" s="240"/>
      <c r="I33" s="38"/>
      <c r="J33" s="241">
        <f>'Especialidades ou Insígnias'!H38</f>
        <v>0</v>
      </c>
    </row>
    <row r="34" spans="1:10" x14ac:dyDescent="0.2">
      <c r="A34" s="370"/>
      <c r="B34" s="323" t="str">
        <f t="shared" si="0"/>
        <v/>
      </c>
      <c r="C34" s="50" t="s">
        <v>306</v>
      </c>
      <c r="F34" s="235"/>
      <c r="G34" s="63"/>
      <c r="H34" s="240"/>
      <c r="I34" s="38"/>
      <c r="J34" s="241">
        <f>'Especialidades ou Insígnias'!H50</f>
        <v>0</v>
      </c>
    </row>
    <row r="35" spans="1:10" x14ac:dyDescent="0.2">
      <c r="A35" s="370"/>
      <c r="B35" s="323" t="str">
        <f t="shared" si="0"/>
        <v/>
      </c>
      <c r="C35" s="50" t="s">
        <v>317</v>
      </c>
      <c r="F35" s="235"/>
      <c r="G35" s="63"/>
      <c r="H35" s="240"/>
      <c r="I35" s="38"/>
      <c r="J35" s="241">
        <f>'Especialidades ou Insígnias'!H62</f>
        <v>0</v>
      </c>
    </row>
    <row r="36" spans="1:10" x14ac:dyDescent="0.2">
      <c r="A36" s="370"/>
      <c r="B36" s="323" t="str">
        <f t="shared" si="0"/>
        <v/>
      </c>
      <c r="C36" s="50" t="s">
        <v>318</v>
      </c>
      <c r="F36" s="235"/>
      <c r="G36" s="63"/>
      <c r="H36" s="240"/>
      <c r="I36" s="38"/>
      <c r="J36" s="241">
        <f>'Especialidades ou Insígnias'!H63</f>
        <v>0</v>
      </c>
    </row>
    <row r="37" spans="1:10" x14ac:dyDescent="0.2">
      <c r="A37" s="370"/>
      <c r="B37" s="323" t="str">
        <f t="shared" si="0"/>
        <v/>
      </c>
      <c r="C37" s="50" t="s">
        <v>319</v>
      </c>
      <c r="F37" s="235"/>
      <c r="G37" s="63"/>
      <c r="H37" s="240"/>
      <c r="I37" s="38"/>
      <c r="J37" s="241">
        <f>'Especialidades ou Insígnias'!H64</f>
        <v>0</v>
      </c>
    </row>
    <row r="38" spans="1:10" x14ac:dyDescent="0.2">
      <c r="A38" s="370"/>
      <c r="B38" s="323" t="str">
        <f t="shared" si="0"/>
        <v/>
      </c>
      <c r="C38" s="50" t="s">
        <v>326</v>
      </c>
      <c r="F38" s="235"/>
      <c r="G38" s="63"/>
      <c r="H38" s="240"/>
      <c r="I38" s="38"/>
      <c r="J38" s="241">
        <f>'Especialidades ou Insígnias'!H71</f>
        <v>0</v>
      </c>
    </row>
    <row r="39" spans="1:10" x14ac:dyDescent="0.2">
      <c r="A39" s="370"/>
      <c r="B39" s="323" t="str">
        <f t="shared" si="0"/>
        <v/>
      </c>
      <c r="C39" s="50" t="s">
        <v>330</v>
      </c>
      <c r="F39" s="235"/>
      <c r="G39" s="63"/>
      <c r="H39" s="240"/>
      <c r="I39" s="38"/>
      <c r="J39" s="241">
        <f>'Especialidades ou Insígnias'!H75</f>
        <v>0</v>
      </c>
    </row>
    <row r="40" spans="1:10" x14ac:dyDescent="0.2">
      <c r="A40" s="370"/>
      <c r="B40" s="323" t="str">
        <f t="shared" si="0"/>
        <v/>
      </c>
      <c r="C40" s="50" t="s">
        <v>542</v>
      </c>
      <c r="F40" s="235"/>
      <c r="G40" s="63"/>
      <c r="H40" s="240"/>
      <c r="I40" s="38"/>
      <c r="J40" s="241">
        <f>'Especialidades ou Insígnias'!H85</f>
        <v>0</v>
      </c>
    </row>
    <row r="41" spans="1:10" x14ac:dyDescent="0.2">
      <c r="A41" s="370"/>
      <c r="B41" s="323" t="str">
        <f t="shared" si="0"/>
        <v/>
      </c>
      <c r="C41" s="50" t="s">
        <v>543</v>
      </c>
      <c r="F41" s="235"/>
      <c r="G41" s="63"/>
      <c r="H41" s="240"/>
      <c r="I41" s="38"/>
      <c r="J41" s="241">
        <f>'Especialidades ou Insígnias'!H108</f>
        <v>0</v>
      </c>
    </row>
    <row r="42" spans="1:10" x14ac:dyDescent="0.2">
      <c r="A42" s="370"/>
      <c r="B42" s="323" t="str">
        <f t="shared" si="0"/>
        <v/>
      </c>
      <c r="C42" s="50" t="s">
        <v>362</v>
      </c>
      <c r="F42" s="235"/>
      <c r="G42" s="63"/>
      <c r="H42" s="240"/>
      <c r="I42" s="38"/>
      <c r="J42" s="241">
        <f>'Especialidades ou Insígnias'!H112</f>
        <v>0</v>
      </c>
    </row>
    <row r="43" spans="1:10" x14ac:dyDescent="0.2">
      <c r="A43" s="370"/>
      <c r="B43" s="323" t="str">
        <f t="shared" si="0"/>
        <v/>
      </c>
      <c r="C43" s="50" t="s">
        <v>366</v>
      </c>
      <c r="F43" s="235"/>
      <c r="G43" s="63"/>
      <c r="H43" s="240"/>
      <c r="I43" s="38"/>
      <c r="J43" s="241">
        <f>'Especialidades ou Insígnias'!H118</f>
        <v>0</v>
      </c>
    </row>
    <row r="44" spans="1:10" x14ac:dyDescent="0.2">
      <c r="A44" s="370"/>
      <c r="B44" s="323"/>
      <c r="C44" s="50" t="s">
        <v>381</v>
      </c>
      <c r="F44" s="235"/>
      <c r="G44" s="63"/>
      <c r="H44" s="240"/>
      <c r="I44" s="38"/>
      <c r="J44" s="241">
        <f>'Especialidades ou Insígnias'!H133</f>
        <v>0</v>
      </c>
    </row>
    <row r="45" spans="1:10" x14ac:dyDescent="0.2">
      <c r="A45" s="370"/>
      <c r="B45" s="323" t="str">
        <f t="shared" si="0"/>
        <v/>
      </c>
      <c r="C45" s="50" t="s">
        <v>401</v>
      </c>
      <c r="F45" s="235"/>
      <c r="G45" s="63"/>
      <c r="H45" s="240"/>
      <c r="I45" s="38"/>
      <c r="J45" s="241">
        <f>'Especialidades ou Insígnias'!H154</f>
        <v>0</v>
      </c>
    </row>
    <row r="46" spans="1:10" x14ac:dyDescent="0.2">
      <c r="A46" s="370"/>
      <c r="B46" s="323" t="str">
        <f t="shared" si="0"/>
        <v/>
      </c>
      <c r="C46" s="321" t="s">
        <v>409</v>
      </c>
      <c r="F46" s="235"/>
      <c r="G46" s="63"/>
      <c r="H46" s="240"/>
      <c r="I46" s="38"/>
      <c r="J46" s="241">
        <f>'Especialidades ou Insígnias'!H172</f>
        <v>0</v>
      </c>
    </row>
    <row r="47" spans="1:10" x14ac:dyDescent="0.2">
      <c r="A47" s="370"/>
      <c r="B47" s="323" t="str">
        <f t="shared" si="0"/>
        <v/>
      </c>
      <c r="C47" s="321" t="s">
        <v>420</v>
      </c>
      <c r="F47" s="235"/>
      <c r="G47" s="63"/>
      <c r="H47" s="240"/>
      <c r="I47" s="38"/>
      <c r="J47" s="241">
        <f>'Especialidades ou Insígnias'!H184</f>
        <v>0</v>
      </c>
    </row>
    <row r="48" spans="1:10" x14ac:dyDescent="0.2">
      <c r="A48" s="370"/>
      <c r="B48" s="323" t="str">
        <f t="shared" si="0"/>
        <v/>
      </c>
      <c r="C48" s="321" t="s">
        <v>421</v>
      </c>
      <c r="F48" s="235"/>
      <c r="G48" s="63"/>
      <c r="H48" s="240"/>
      <c r="I48" s="38"/>
      <c r="J48" s="241">
        <f>'Especialidades ou Insígnias'!H185</f>
        <v>0</v>
      </c>
    </row>
    <row r="49" spans="1:10" x14ac:dyDescent="0.2">
      <c r="A49" s="370"/>
      <c r="B49" s="323" t="str">
        <f t="shared" si="0"/>
        <v/>
      </c>
      <c r="C49" s="321" t="s">
        <v>424</v>
      </c>
      <c r="F49" s="235"/>
      <c r="G49" s="63"/>
      <c r="H49" s="240"/>
      <c r="I49" s="38"/>
      <c r="J49" s="241">
        <f>'Especialidades ou Insígnias'!H188</f>
        <v>0</v>
      </c>
    </row>
    <row r="50" spans="1:10" x14ac:dyDescent="0.2">
      <c r="A50" s="370"/>
      <c r="B50" s="323" t="str">
        <f t="shared" si="0"/>
        <v/>
      </c>
      <c r="C50" s="321" t="s">
        <v>425</v>
      </c>
      <c r="F50" s="235"/>
      <c r="G50" s="63"/>
      <c r="H50" s="240"/>
      <c r="I50" s="38"/>
      <c r="J50" s="241">
        <f>'Especialidades ou Insígnias'!H189</f>
        <v>0</v>
      </c>
    </row>
    <row r="51" spans="1:10" x14ac:dyDescent="0.2">
      <c r="A51" s="370"/>
      <c r="B51" s="323" t="str">
        <f t="shared" si="0"/>
        <v/>
      </c>
      <c r="C51" s="321" t="s">
        <v>426</v>
      </c>
      <c r="F51" s="235"/>
      <c r="G51" s="63"/>
      <c r="H51" s="240"/>
      <c r="I51" s="38"/>
      <c r="J51" s="241">
        <f>'Especialidades ou Insígnias'!H190</f>
        <v>0</v>
      </c>
    </row>
    <row r="52" spans="1:10" x14ac:dyDescent="0.2">
      <c r="A52" s="370"/>
      <c r="B52" s="323" t="str">
        <f t="shared" si="0"/>
        <v/>
      </c>
      <c r="C52" s="321" t="s">
        <v>428</v>
      </c>
      <c r="F52" s="235"/>
      <c r="G52" s="63"/>
      <c r="H52" s="240"/>
      <c r="I52" s="38"/>
      <c r="J52" s="241">
        <f>'Especialidades ou Insígnias'!H192</f>
        <v>0</v>
      </c>
    </row>
    <row r="53" spans="1:10" x14ac:dyDescent="0.2">
      <c r="A53" s="370"/>
      <c r="B53" s="323" t="str">
        <f t="shared" si="0"/>
        <v/>
      </c>
      <c r="C53" s="321" t="s">
        <v>463</v>
      </c>
      <c r="F53" s="235"/>
      <c r="G53" s="63"/>
      <c r="H53" s="240"/>
      <c r="I53" s="38"/>
      <c r="J53" s="241">
        <f>'Especialidades ou Insígnias'!H231</f>
        <v>0</v>
      </c>
    </row>
    <row r="54" spans="1:10" x14ac:dyDescent="0.2">
      <c r="A54" s="370"/>
      <c r="B54" s="323" t="str">
        <f t="shared" si="0"/>
        <v/>
      </c>
      <c r="C54" s="321" t="s">
        <v>473</v>
      </c>
      <c r="F54" s="235"/>
      <c r="G54" s="63"/>
      <c r="H54" s="240"/>
      <c r="I54" s="38"/>
      <c r="J54" s="241">
        <f>'Especialidades ou Insígnias'!H241</f>
        <v>0</v>
      </c>
    </row>
    <row r="55" spans="1:10" x14ac:dyDescent="0.2">
      <c r="A55" s="370"/>
      <c r="B55" s="323" t="str">
        <f t="shared" si="0"/>
        <v/>
      </c>
      <c r="C55" s="321" t="s">
        <v>545</v>
      </c>
      <c r="F55" s="235"/>
      <c r="G55" s="63"/>
      <c r="H55" s="240"/>
      <c r="I55" s="38"/>
      <c r="J55" s="241">
        <f>'Especialidades ou Insígnias'!H245</f>
        <v>0</v>
      </c>
    </row>
    <row r="56" spans="1:10" x14ac:dyDescent="0.2">
      <c r="A56" s="370"/>
      <c r="B56" s="323" t="str">
        <f t="shared" si="0"/>
        <v/>
      </c>
      <c r="C56" s="321" t="s">
        <v>478</v>
      </c>
      <c r="F56" s="235"/>
      <c r="G56" s="63"/>
      <c r="H56" s="240"/>
      <c r="I56" s="38"/>
      <c r="J56" s="241">
        <f>'Especialidades ou Insígnias'!H247</f>
        <v>0</v>
      </c>
    </row>
    <row r="57" spans="1:10" x14ac:dyDescent="0.2">
      <c r="A57" s="370"/>
      <c r="B57" s="323" t="str">
        <f t="shared" si="0"/>
        <v/>
      </c>
      <c r="C57" s="321" t="s">
        <v>483</v>
      </c>
      <c r="F57" s="235"/>
      <c r="G57" s="63"/>
      <c r="H57" s="240"/>
      <c r="I57" s="38"/>
      <c r="J57" s="241">
        <f>'Especialidades ou Insígnias'!H252</f>
        <v>0</v>
      </c>
    </row>
    <row r="58" spans="1:10" x14ac:dyDescent="0.2">
      <c r="A58" s="370"/>
      <c r="B58" s="323" t="str">
        <f t="shared" si="0"/>
        <v/>
      </c>
      <c r="C58" s="321" t="s">
        <v>484</v>
      </c>
      <c r="F58" s="235"/>
      <c r="G58" s="63"/>
      <c r="H58" s="240"/>
      <c r="I58" s="38"/>
      <c r="J58" s="241">
        <f>'Especialidades ou Insígnias'!H253</f>
        <v>0</v>
      </c>
    </row>
    <row r="59" spans="1:10" x14ac:dyDescent="0.2">
      <c r="A59" s="370"/>
      <c r="B59" s="323" t="str">
        <f t="shared" si="0"/>
        <v/>
      </c>
      <c r="C59" s="321" t="s">
        <v>485</v>
      </c>
      <c r="F59" s="235"/>
      <c r="G59" s="63"/>
      <c r="H59" s="240"/>
      <c r="I59" s="38"/>
      <c r="J59" s="241">
        <f>'Especialidades ou Insígnias'!H254</f>
        <v>0</v>
      </c>
    </row>
    <row r="60" spans="1:10" x14ac:dyDescent="0.2">
      <c r="A60" s="370"/>
      <c r="B60" s="323" t="str">
        <f t="shared" si="0"/>
        <v/>
      </c>
      <c r="C60" s="321" t="s">
        <v>546</v>
      </c>
      <c r="F60" s="235"/>
      <c r="G60" s="63"/>
      <c r="H60" s="240"/>
      <c r="I60" s="38"/>
      <c r="J60" s="241">
        <f>'Especialidades ou Insígnias'!H256</f>
        <v>0</v>
      </c>
    </row>
    <row r="61" spans="1:10" x14ac:dyDescent="0.2">
      <c r="A61" s="370"/>
      <c r="B61" s="323" t="str">
        <f t="shared" si="0"/>
        <v/>
      </c>
      <c r="C61" s="321" t="s">
        <v>504</v>
      </c>
      <c r="F61" s="235"/>
      <c r="G61" s="63"/>
      <c r="H61" s="240"/>
      <c r="I61" s="38"/>
      <c r="J61" s="241">
        <f>'Especialidades ou Insígnias'!H274</f>
        <v>0</v>
      </c>
    </row>
    <row r="62" spans="1:10" x14ac:dyDescent="0.2">
      <c r="A62" s="370"/>
      <c r="B62" s="323" t="str">
        <f t="shared" si="0"/>
        <v/>
      </c>
      <c r="C62" s="321" t="s">
        <v>507</v>
      </c>
      <c r="F62" s="235"/>
      <c r="G62" s="63"/>
      <c r="H62" s="240"/>
      <c r="I62" s="38"/>
      <c r="J62" s="241">
        <f>'Especialidades ou Insígnias'!H269</f>
        <v>0</v>
      </c>
    </row>
    <row r="63" spans="1:10" x14ac:dyDescent="0.2">
      <c r="A63" s="370"/>
      <c r="B63" s="323" t="str">
        <f t="shared" si="0"/>
        <v/>
      </c>
      <c r="C63" s="321" t="s">
        <v>508</v>
      </c>
      <c r="F63" s="235"/>
      <c r="G63" s="63"/>
      <c r="H63" s="240"/>
      <c r="I63" s="38"/>
      <c r="J63" s="241">
        <f>'Especialidades ou Insígnias'!H278</f>
        <v>0</v>
      </c>
    </row>
    <row r="64" spans="1:10" x14ac:dyDescent="0.2">
      <c r="A64" s="370"/>
      <c r="B64" s="323" t="str">
        <f t="shared" si="0"/>
        <v/>
      </c>
      <c r="C64" s="321" t="s">
        <v>531</v>
      </c>
      <c r="F64" s="235"/>
      <c r="G64" s="63"/>
      <c r="H64" s="240"/>
      <c r="I64" s="38"/>
      <c r="J64" s="241">
        <f>'Especialidades ou Insígnias'!H302</f>
        <v>0</v>
      </c>
    </row>
    <row r="65" spans="1:10" ht="15.75" thickBot="1" x14ac:dyDescent="0.25">
      <c r="A65" s="370"/>
      <c r="B65" s="323" t="str">
        <f t="shared" si="0"/>
        <v/>
      </c>
      <c r="C65" s="322" t="s">
        <v>548</v>
      </c>
      <c r="F65" s="235"/>
      <c r="G65" s="63"/>
      <c r="H65" s="240"/>
      <c r="I65" s="38"/>
      <c r="J65" s="241">
        <f>'Especialidades ou Insígnias'!H308</f>
        <v>0</v>
      </c>
    </row>
    <row r="66" spans="1:10" ht="15.75" thickBot="1" x14ac:dyDescent="0.25">
      <c r="A66" s="298"/>
      <c r="B66" s="22"/>
      <c r="C66" s="299"/>
      <c r="F66" s="24"/>
      <c r="G66" s="62"/>
      <c r="H66" s="25"/>
      <c r="I66" s="243" t="s">
        <v>852</v>
      </c>
      <c r="J66" s="243">
        <f>SUM(J22:J65)+J19+J18</f>
        <v>0</v>
      </c>
    </row>
    <row r="67" spans="1:10" ht="18" thickBot="1" x14ac:dyDescent="0.25">
      <c r="A67" s="77"/>
      <c r="B67" s="22"/>
      <c r="C67" s="228" t="s">
        <v>901</v>
      </c>
      <c r="F67" s="227"/>
    </row>
    <row r="68" spans="1:10" x14ac:dyDescent="0.2">
      <c r="A68" s="77"/>
      <c r="B68" s="323" t="str">
        <f>IF(J68&gt;0,"Item OK","")</f>
        <v/>
      </c>
      <c r="C68" s="320" t="s">
        <v>549</v>
      </c>
      <c r="F68" s="235"/>
      <c r="G68" s="63"/>
      <c r="H68" s="240"/>
      <c r="I68" s="38"/>
      <c r="J68" s="241">
        <f>'Especialidades ou Insígnias'!B160</f>
        <v>0</v>
      </c>
    </row>
    <row r="69" spans="1:10" x14ac:dyDescent="0.2">
      <c r="A69" s="77"/>
      <c r="B69" s="323" t="str">
        <f>IF(J69&gt;0,"Item OK","")</f>
        <v/>
      </c>
      <c r="C69" s="50" t="s">
        <v>608</v>
      </c>
      <c r="F69" s="235"/>
      <c r="G69" s="63"/>
      <c r="H69" s="240"/>
      <c r="I69" s="38"/>
      <c r="J69" s="241">
        <f>'Especialidades ou Insígnias'!B159</f>
        <v>0</v>
      </c>
    </row>
    <row r="70" spans="1:10" ht="15.75" thickBot="1" x14ac:dyDescent="0.25">
      <c r="A70" s="78"/>
      <c r="B70" s="270" t="str">
        <f>IF(J70&gt;0,"Item OK","")</f>
        <v/>
      </c>
      <c r="C70" s="23" t="s">
        <v>609</v>
      </c>
      <c r="F70" s="235"/>
      <c r="G70" s="63"/>
      <c r="H70" s="240"/>
      <c r="I70" s="38"/>
      <c r="J70" s="241">
        <f>'Especialidades ou Insígnias'!B158</f>
        <v>0</v>
      </c>
    </row>
    <row r="71" spans="1:10" hidden="1" x14ac:dyDescent="0.2">
      <c r="A71" s="41"/>
      <c r="B71" s="59"/>
      <c r="C71" s="59"/>
      <c r="F71" s="40"/>
      <c r="G71" s="62"/>
      <c r="H71" s="40"/>
      <c r="I71" s="243" t="s">
        <v>852</v>
      </c>
      <c r="J71" s="72">
        <f>SUM(J68:J70)</f>
        <v>0</v>
      </c>
    </row>
    <row r="72" spans="1:10" x14ac:dyDescent="0.2">
      <c r="B72" s="22"/>
    </row>
    <row r="73" spans="1:10" ht="15.75" thickBot="1" x14ac:dyDescent="0.25">
      <c r="B73" s="22"/>
    </row>
    <row r="74" spans="1:10" ht="15.75" thickBot="1" x14ac:dyDescent="0.25">
      <c r="A74" s="76"/>
      <c r="B74" s="80"/>
      <c r="C74" s="228" t="s">
        <v>583</v>
      </c>
    </row>
    <row r="75" spans="1:10" x14ac:dyDescent="0.2">
      <c r="A75" s="77"/>
      <c r="B75" s="22"/>
      <c r="C75" s="311" t="s">
        <v>1089</v>
      </c>
    </row>
    <row r="76" spans="1:10" ht="67.5" x14ac:dyDescent="0.2">
      <c r="A76" s="77"/>
      <c r="B76" s="22"/>
      <c r="C76" s="311" t="s">
        <v>1090</v>
      </c>
    </row>
    <row r="77" spans="1:10" ht="15.75" thickBot="1" x14ac:dyDescent="0.25">
      <c r="A77" s="77"/>
      <c r="B77" s="22"/>
      <c r="C77" s="244"/>
      <c r="F77" s="62"/>
      <c r="G77" s="62"/>
      <c r="H77" s="25"/>
      <c r="I77" s="40"/>
      <c r="J77" s="40"/>
    </row>
    <row r="78" spans="1:10" ht="15.75" thickBot="1" x14ac:dyDescent="0.25">
      <c r="A78" s="77"/>
      <c r="B78" s="22"/>
      <c r="C78" s="228" t="s">
        <v>982</v>
      </c>
      <c r="F78" s="230"/>
      <c r="G78" s="230"/>
      <c r="H78" s="135" t="s">
        <v>953</v>
      </c>
      <c r="I78" s="134">
        <f>IF(B79="Bloco concluído",1,0)</f>
        <v>0</v>
      </c>
      <c r="J78" s="40"/>
    </row>
    <row r="79" spans="1:10" ht="55.5" thickBot="1" x14ac:dyDescent="0.25">
      <c r="A79" s="77"/>
      <c r="B79" s="324" t="str">
        <f>IF(AND(A83="Atingiu 100% das ações fixas",A87="Atingiu 100% das ações variáveis"),"BLOCO CONCLUÍDO","")</f>
        <v/>
      </c>
      <c r="C79" s="329" t="s">
        <v>991</v>
      </c>
      <c r="F79" s="62"/>
      <c r="G79" s="62"/>
      <c r="H79" s="25"/>
      <c r="I79" s="40"/>
      <c r="J79" s="40"/>
    </row>
    <row r="80" spans="1:10" hidden="1" x14ac:dyDescent="0.2">
      <c r="A80" s="77"/>
      <c r="B80" s="22"/>
      <c r="C80" s="246"/>
      <c r="D80" s="247" t="s">
        <v>852</v>
      </c>
      <c r="E80" s="248">
        <f>SUM(E78:E79)</f>
        <v>0</v>
      </c>
      <c r="F80" s="63"/>
      <c r="G80" s="63"/>
      <c r="H80" s="249"/>
      <c r="I80" s="250"/>
      <c r="J80" s="38"/>
    </row>
    <row r="81" spans="1:10" ht="15.75" thickBot="1" x14ac:dyDescent="0.25">
      <c r="A81" s="77"/>
      <c r="B81" s="22"/>
      <c r="C81" s="233"/>
    </row>
    <row r="82" spans="1:10" ht="15.75" thickBot="1" x14ac:dyDescent="0.25">
      <c r="A82" s="77"/>
      <c r="B82" s="22"/>
      <c r="C82" s="228" t="s">
        <v>984</v>
      </c>
      <c r="F82" s="251"/>
      <c r="G82" s="251"/>
      <c r="H82" s="252"/>
      <c r="I82" s="253"/>
      <c r="J82" s="253"/>
    </row>
    <row r="83" spans="1:10" ht="52.5" customHeight="1" thickBot="1" x14ac:dyDescent="0.25">
      <c r="A83" s="131" t="str">
        <f>IF(J83&gt;=1,"Atingiu 100% das ações fixas","")</f>
        <v/>
      </c>
      <c r="B83" s="39" t="str">
        <f>IF(J83&gt;0,"Item OK","")</f>
        <v/>
      </c>
      <c r="C83" s="237" t="s">
        <v>584</v>
      </c>
      <c r="D83" s="164" t="s">
        <v>972</v>
      </c>
      <c r="E83" s="187"/>
      <c r="F83" s="235" t="s">
        <v>208</v>
      </c>
      <c r="G83" s="63">
        <f>'Pistas e Trilha'!A22</f>
        <v>0</v>
      </c>
      <c r="H83" s="26" t="s">
        <v>207</v>
      </c>
      <c r="I83" s="38">
        <f>'Rumo e Travessia'!A20</f>
        <v>0</v>
      </c>
      <c r="J83" s="38">
        <f>IF(G83+I83&gt;=1,1,0)+E83</f>
        <v>0</v>
      </c>
    </row>
    <row r="84" spans="1:10" ht="15.75" thickBot="1" x14ac:dyDescent="0.25">
      <c r="A84" s="77"/>
      <c r="B84" s="22"/>
      <c r="C84" s="233"/>
      <c r="D84"/>
      <c r="E84" s="37"/>
      <c r="F84" s="37"/>
      <c r="G84" s="37"/>
      <c r="H84"/>
      <c r="I84" s="37"/>
      <c r="J84" s="37"/>
    </row>
    <row r="85" spans="1:10" ht="15.75" thickBot="1" x14ac:dyDescent="0.25">
      <c r="A85" s="77"/>
      <c r="B85" s="22"/>
      <c r="C85" s="245" t="s">
        <v>985</v>
      </c>
      <c r="D85"/>
      <c r="E85" s="37"/>
      <c r="F85" s="37"/>
      <c r="G85" s="37"/>
      <c r="H85"/>
      <c r="I85" s="37"/>
      <c r="J85" s="37"/>
    </row>
    <row r="86" spans="1:10" ht="17.25" x14ac:dyDescent="0.2">
      <c r="A86" s="77"/>
      <c r="B86" s="22"/>
      <c r="C86" s="254" t="s">
        <v>585</v>
      </c>
      <c r="D86"/>
      <c r="E86" s="37"/>
      <c r="F86" s="37"/>
      <c r="G86" s="37"/>
      <c r="H86"/>
      <c r="I86" s="37"/>
      <c r="J86" s="37"/>
    </row>
    <row r="87" spans="1:10" x14ac:dyDescent="0.2">
      <c r="A87" s="369" t="str">
        <f>IF(J110&gt;=5,"Atingiu 100% das ações variáveis","")</f>
        <v/>
      </c>
      <c r="B87" s="255" t="str">
        <f>IF(J87&gt;0,"Item OK","")</f>
        <v/>
      </c>
      <c r="C87" s="50" t="s">
        <v>586</v>
      </c>
      <c r="D87" s="164" t="s">
        <v>972</v>
      </c>
      <c r="E87" s="187"/>
      <c r="F87" s="235" t="s">
        <v>1</v>
      </c>
      <c r="G87" s="63">
        <f>'Pistas e Trilha'!A54</f>
        <v>0</v>
      </c>
      <c r="H87" s="26"/>
      <c r="I87" s="38"/>
      <c r="J87" s="38">
        <f>IF(G87+I87&gt;=1,1,0)+E87</f>
        <v>0</v>
      </c>
    </row>
    <row r="88" spans="1:10" ht="27.75" x14ac:dyDescent="0.2">
      <c r="A88" s="369"/>
      <c r="B88" s="255" t="str">
        <f>IF(J88&gt;0,"Item OK","")</f>
        <v/>
      </c>
      <c r="C88" s="50" t="s">
        <v>587</v>
      </c>
      <c r="D88" s="164" t="s">
        <v>972</v>
      </c>
      <c r="E88" s="187"/>
      <c r="F88" s="235" t="s">
        <v>13</v>
      </c>
      <c r="G88" s="63">
        <f>'Pistas e Trilha'!A169</f>
        <v>0</v>
      </c>
      <c r="H88" s="26"/>
      <c r="I88" s="38"/>
      <c r="J88" s="38">
        <f>IF(G88+I88&gt;=1,1,0)+E88</f>
        <v>0</v>
      </c>
    </row>
    <row r="89" spans="1:10" ht="27.75" x14ac:dyDescent="0.2">
      <c r="A89" s="369"/>
      <c r="B89" s="255" t="str">
        <f>IF(J89&gt;0,"Item OK","")</f>
        <v/>
      </c>
      <c r="C89" s="50" t="s">
        <v>588</v>
      </c>
      <c r="D89" s="164" t="s">
        <v>972</v>
      </c>
      <c r="E89" s="187"/>
      <c r="F89" s="235"/>
      <c r="G89" s="63"/>
      <c r="H89" s="26" t="s">
        <v>611</v>
      </c>
      <c r="I89" s="38">
        <f>'Rumo e Travessia'!A22</f>
        <v>0</v>
      </c>
      <c r="J89" s="38">
        <f t="shared" ref="J89:J91" si="1">IF(G89+I89&gt;=1,1,0)+E89</f>
        <v>0</v>
      </c>
    </row>
    <row r="90" spans="1:10" ht="27.75" x14ac:dyDescent="0.2">
      <c r="A90" s="369"/>
      <c r="B90" s="255" t="str">
        <f>IF(J90&gt;0,"Item OK","")</f>
        <v/>
      </c>
      <c r="C90" s="50" t="s">
        <v>992</v>
      </c>
      <c r="D90" s="164" t="s">
        <v>972</v>
      </c>
      <c r="E90" s="187"/>
      <c r="F90" s="235" t="s">
        <v>610</v>
      </c>
      <c r="G90" s="63">
        <f>'Pistas e Trilha'!A147</f>
        <v>0</v>
      </c>
      <c r="H90" s="26" t="s">
        <v>1082</v>
      </c>
      <c r="I90" s="38">
        <f>'Pistas e Trilha'!A148</f>
        <v>0</v>
      </c>
      <c r="J90" s="38">
        <f>IF(G90+I90&gt;=1,1,0)+E90</f>
        <v>0</v>
      </c>
    </row>
    <row r="91" spans="1:10" ht="27.75" x14ac:dyDescent="0.2">
      <c r="A91" s="369"/>
      <c r="B91" s="255" t="str">
        <f>IF(J91&gt;0,"Item OK","")</f>
        <v/>
      </c>
      <c r="C91" s="50" t="s">
        <v>993</v>
      </c>
      <c r="D91" s="164" t="s">
        <v>972</v>
      </c>
      <c r="E91" s="187"/>
      <c r="F91" s="235" t="s">
        <v>1107</v>
      </c>
      <c r="G91" s="63">
        <f>'Pistas e Trilha'!A133</f>
        <v>0</v>
      </c>
      <c r="H91" s="26"/>
      <c r="I91" s="38"/>
      <c r="J91" s="38">
        <f t="shared" si="1"/>
        <v>0</v>
      </c>
    </row>
    <row r="92" spans="1:10" x14ac:dyDescent="0.2">
      <c r="A92" s="369"/>
      <c r="B92" s="255" t="str">
        <f t="shared" ref="B92:B109" si="2">IF(J92&gt;0,"Item OK","")</f>
        <v/>
      </c>
      <c r="C92" s="50" t="s">
        <v>994</v>
      </c>
      <c r="D92" s="164" t="s">
        <v>972</v>
      </c>
      <c r="E92" s="187"/>
      <c r="F92" s="235" t="s">
        <v>1131</v>
      </c>
      <c r="G92" s="63">
        <f>'Especialidades ou Insígnias'!H93</f>
        <v>0</v>
      </c>
      <c r="H92" s="26"/>
      <c r="I92" s="38"/>
      <c r="J92" s="38">
        <f>IF(G92+I92&gt;=1,1,0)+E92</f>
        <v>0</v>
      </c>
    </row>
    <row r="93" spans="1:10" x14ac:dyDescent="0.2">
      <c r="A93" s="369"/>
      <c r="B93" s="374" t="str">
        <f>IF(J96&gt;0,"Item OK","")</f>
        <v/>
      </c>
      <c r="C93" s="372" t="s">
        <v>995</v>
      </c>
      <c r="D93" s="353" t="s">
        <v>972</v>
      </c>
      <c r="E93" s="359"/>
      <c r="F93" s="235" t="s">
        <v>209</v>
      </c>
      <c r="G93" s="63">
        <f>'Pistas e Trilha'!A80</f>
        <v>0</v>
      </c>
      <c r="H93" s="26" t="s">
        <v>597</v>
      </c>
      <c r="I93" s="38">
        <f>'Rumo e Travessia'!A86</f>
        <v>0</v>
      </c>
      <c r="J93" s="38">
        <f>IF(G93+I93&gt;=1,1,0)</f>
        <v>0</v>
      </c>
    </row>
    <row r="94" spans="1:10" x14ac:dyDescent="0.2">
      <c r="A94" s="369"/>
      <c r="B94" s="374"/>
      <c r="C94" s="372"/>
      <c r="D94" s="367"/>
      <c r="E94" s="368"/>
      <c r="F94" s="235" t="s">
        <v>216</v>
      </c>
      <c r="G94" s="63">
        <f>'Pistas e Trilha'!A94</f>
        <v>0</v>
      </c>
      <c r="H94" s="26" t="s">
        <v>595</v>
      </c>
      <c r="I94" s="38">
        <f>'Rumo e Travessia'!A87</f>
        <v>0</v>
      </c>
      <c r="J94" s="38">
        <f>IF(G94+I94&gt;=1,1,0)</f>
        <v>0</v>
      </c>
    </row>
    <row r="95" spans="1:10" x14ac:dyDescent="0.2">
      <c r="A95" s="369"/>
      <c r="B95" s="374"/>
      <c r="C95" s="372"/>
      <c r="D95" s="367"/>
      <c r="E95" s="368"/>
      <c r="F95" s="235" t="s">
        <v>210</v>
      </c>
      <c r="G95" s="63">
        <f>'Pistas e Trilha'!A134</f>
        <v>0</v>
      </c>
      <c r="H95" s="26" t="s">
        <v>596</v>
      </c>
      <c r="I95" s="38">
        <f>'Rumo e Travessia'!A88</f>
        <v>0</v>
      </c>
      <c r="J95" s="38">
        <f>IF(G95+I95&gt;=1,1,0)</f>
        <v>0</v>
      </c>
    </row>
    <row r="96" spans="1:10" x14ac:dyDescent="0.2">
      <c r="A96" s="369"/>
      <c r="B96" s="374"/>
      <c r="C96" s="372"/>
      <c r="D96" s="354"/>
      <c r="E96" s="360"/>
      <c r="F96" s="235"/>
      <c r="G96" s="63"/>
      <c r="H96" s="26"/>
      <c r="I96" s="68" t="s">
        <v>852</v>
      </c>
      <c r="J96" s="38">
        <f>IF(G93+I93+G94+G95+I94+I95&gt;=1,1,0)+E93</f>
        <v>0</v>
      </c>
    </row>
    <row r="97" spans="1:10" ht="27.75" x14ac:dyDescent="0.2">
      <c r="A97" s="369"/>
      <c r="B97" s="255" t="str">
        <f>IF(J99&gt;0,"Item OK","")</f>
        <v/>
      </c>
      <c r="C97" s="50" t="s">
        <v>996</v>
      </c>
      <c r="D97" s="164" t="s">
        <v>972</v>
      </c>
      <c r="E97" s="187"/>
      <c r="F97" s="235" t="s">
        <v>1108</v>
      </c>
      <c r="G97" s="63">
        <f>'Pistas e Trilha'!A134</f>
        <v>0</v>
      </c>
      <c r="H97" s="26" t="s">
        <v>1110</v>
      </c>
      <c r="I97" s="38">
        <f>'Rumo e Travessia'!A86</f>
        <v>0</v>
      </c>
      <c r="J97" s="38">
        <f>IF(G97+I97&gt;=1,1,0)+E97</f>
        <v>0</v>
      </c>
    </row>
    <row r="98" spans="1:10" hidden="1" x14ac:dyDescent="0.2">
      <c r="A98" s="369"/>
      <c r="B98" s="255"/>
      <c r="C98" s="50"/>
      <c r="D98" s="164"/>
      <c r="E98" s="187"/>
      <c r="F98" s="235" t="s">
        <v>1109</v>
      </c>
      <c r="G98" s="63">
        <f>'Pistas e Trilha'!A135</f>
        <v>0</v>
      </c>
      <c r="H98" s="26"/>
      <c r="I98" s="38"/>
      <c r="J98" s="38"/>
    </row>
    <row r="99" spans="1:10" hidden="1" x14ac:dyDescent="0.2">
      <c r="A99" s="369"/>
      <c r="B99" s="255"/>
      <c r="C99" s="50"/>
      <c r="D99" s="164"/>
      <c r="E99" s="187"/>
      <c r="F99" s="235"/>
      <c r="G99" s="63"/>
      <c r="H99" s="26"/>
      <c r="I99" s="68" t="s">
        <v>852</v>
      </c>
      <c r="J99" s="38">
        <f>IF(G97+G98+I97&gt;=1,1,0)+E97</f>
        <v>0</v>
      </c>
    </row>
    <row r="100" spans="1:10" ht="27.75" x14ac:dyDescent="0.2">
      <c r="A100" s="369"/>
      <c r="B100" s="255" t="str">
        <f>IF(J100&gt;0,"Item OK","")</f>
        <v/>
      </c>
      <c r="C100" s="50" t="s">
        <v>997</v>
      </c>
      <c r="D100" s="164" t="s">
        <v>972</v>
      </c>
      <c r="E100" s="187"/>
      <c r="F100" s="235"/>
      <c r="G100" s="63"/>
      <c r="H100" s="26"/>
      <c r="I100" s="38"/>
      <c r="J100" s="38">
        <f t="shared" ref="J100" si="3">IF(G100+I100&gt;=1,1,0)+E100</f>
        <v>0</v>
      </c>
    </row>
    <row r="101" spans="1:10" ht="30" customHeight="1" x14ac:dyDescent="0.2">
      <c r="A101" s="369"/>
      <c r="B101" s="357" t="str">
        <f>IF(J103&gt;0,"Item OK","")</f>
        <v/>
      </c>
      <c r="C101" s="355" t="s">
        <v>589</v>
      </c>
      <c r="D101" s="353" t="s">
        <v>972</v>
      </c>
      <c r="E101" s="359"/>
      <c r="F101" s="235" t="s">
        <v>916</v>
      </c>
      <c r="G101" s="63">
        <f>'Pistas e Trilha'!A53</f>
        <v>0</v>
      </c>
      <c r="H101" s="26" t="s">
        <v>918</v>
      </c>
      <c r="I101" s="38">
        <f>'Rumo e Travessia'!A113</f>
        <v>0</v>
      </c>
      <c r="J101" s="38"/>
    </row>
    <row r="102" spans="1:10" ht="15.75" thickBot="1" x14ac:dyDescent="0.25">
      <c r="A102" s="369"/>
      <c r="B102" s="358"/>
      <c r="C102" s="356"/>
      <c r="D102" s="354"/>
      <c r="E102" s="360"/>
      <c r="F102" s="235" t="s">
        <v>917</v>
      </c>
      <c r="G102" s="63">
        <f>'Pistas e Trilha'!A108</f>
        <v>0</v>
      </c>
      <c r="H102" s="26"/>
      <c r="I102" s="38"/>
      <c r="J102" s="38">
        <f>IF(G102+I102&gt;=1,1,0)</f>
        <v>0</v>
      </c>
    </row>
    <row r="103" spans="1:10" ht="15.75" hidden="1" customHeight="1" thickBot="1" x14ac:dyDescent="0.25">
      <c r="A103" s="369"/>
      <c r="B103" s="59"/>
      <c r="C103" s="258"/>
      <c r="F103" s="235"/>
      <c r="G103" s="63"/>
      <c r="H103" s="26"/>
      <c r="I103" s="68" t="s">
        <v>852</v>
      </c>
      <c r="J103" s="38">
        <f>IF(G101+G102+I101+I102&gt;=1,1,0)+E101</f>
        <v>0</v>
      </c>
    </row>
    <row r="104" spans="1:10" ht="15.75" thickBot="1" x14ac:dyDescent="0.25">
      <c r="A104" s="369"/>
      <c r="B104" s="22"/>
      <c r="C104" s="228" t="s">
        <v>998</v>
      </c>
      <c r="F104" s="259"/>
      <c r="G104" s="248"/>
      <c r="H104" s="260"/>
    </row>
    <row r="105" spans="1:10" x14ac:dyDescent="0.2">
      <c r="A105" s="369"/>
      <c r="B105" s="255" t="str">
        <f t="shared" si="2"/>
        <v/>
      </c>
      <c r="C105" s="256" t="s">
        <v>268</v>
      </c>
      <c r="F105" s="261"/>
      <c r="G105" s="63"/>
      <c r="H105" s="240"/>
      <c r="I105" s="38"/>
      <c r="J105" s="241">
        <f>'Especialidades ou Insígnias'!H9</f>
        <v>0</v>
      </c>
    </row>
    <row r="106" spans="1:10" x14ac:dyDescent="0.2">
      <c r="A106" s="369"/>
      <c r="B106" s="255" t="str">
        <f t="shared" si="2"/>
        <v/>
      </c>
      <c r="C106" s="256" t="s">
        <v>344</v>
      </c>
      <c r="F106" s="261"/>
      <c r="G106" s="63"/>
      <c r="H106" s="240"/>
      <c r="I106" s="38"/>
      <c r="J106" s="241">
        <f>'Especialidades ou Insígnias'!H93</f>
        <v>0</v>
      </c>
    </row>
    <row r="107" spans="1:10" x14ac:dyDescent="0.2">
      <c r="A107" s="369"/>
      <c r="B107" s="255" t="str">
        <f t="shared" si="2"/>
        <v/>
      </c>
      <c r="C107" s="256" t="s">
        <v>347</v>
      </c>
      <c r="F107" s="261"/>
      <c r="G107" s="63"/>
      <c r="H107" s="240"/>
      <c r="I107" s="38"/>
      <c r="J107" s="241">
        <f>'Especialidades ou Insígnias'!H96</f>
        <v>0</v>
      </c>
    </row>
    <row r="108" spans="1:10" x14ac:dyDescent="0.2">
      <c r="A108" s="369"/>
      <c r="B108" s="255" t="str">
        <f t="shared" si="2"/>
        <v/>
      </c>
      <c r="C108" s="256" t="s">
        <v>450</v>
      </c>
      <c r="F108" s="261"/>
      <c r="G108" s="63"/>
      <c r="H108" s="240"/>
      <c r="I108" s="38"/>
      <c r="J108" s="241">
        <f>'Especialidades ou Insígnias'!H216</f>
        <v>0</v>
      </c>
    </row>
    <row r="109" spans="1:10" ht="15.75" thickBot="1" x14ac:dyDescent="0.25">
      <c r="A109" s="369"/>
      <c r="B109" s="313" t="str">
        <f t="shared" si="2"/>
        <v/>
      </c>
      <c r="C109" s="314" t="s">
        <v>491</v>
      </c>
      <c r="F109" s="261"/>
      <c r="G109" s="63"/>
      <c r="H109" s="240"/>
      <c r="I109" s="38"/>
      <c r="J109" s="241">
        <f>'Especialidades ou Insígnias'!H260</f>
        <v>0</v>
      </c>
    </row>
    <row r="110" spans="1:10" hidden="1" x14ac:dyDescent="0.2">
      <c r="A110" s="41"/>
      <c r="B110" s="59"/>
      <c r="C110" s="262"/>
      <c r="F110" s="62"/>
      <c r="G110" s="62"/>
      <c r="H110" s="25"/>
      <c r="I110" s="68" t="s">
        <v>852</v>
      </c>
      <c r="J110" s="68">
        <f>J87+J88+J89+J90+J91+J92+J96+J99+J100+J103+J105+J106+J107+J108+J109</f>
        <v>0</v>
      </c>
    </row>
    <row r="111" spans="1:10" x14ac:dyDescent="0.2">
      <c r="B111" s="22"/>
      <c r="J111" s="2">
        <f>E111+I111</f>
        <v>0</v>
      </c>
    </row>
    <row r="112" spans="1:10" ht="15.75" thickBot="1" x14ac:dyDescent="0.25">
      <c r="B112" s="22"/>
      <c r="J112" s="2">
        <f>E112+I112</f>
        <v>0</v>
      </c>
    </row>
    <row r="113" spans="1:10" ht="15.75" thickBot="1" x14ac:dyDescent="0.25">
      <c r="A113" s="76"/>
      <c r="B113" s="80"/>
      <c r="C113" s="228" t="s">
        <v>590</v>
      </c>
      <c r="F113" s="62"/>
      <c r="G113" s="62"/>
      <c r="H113" s="25"/>
      <c r="I113" s="40"/>
      <c r="J113" s="40">
        <f>E113+I113</f>
        <v>0</v>
      </c>
    </row>
    <row r="114" spans="1:10" x14ac:dyDescent="0.2">
      <c r="A114" s="77"/>
      <c r="B114" s="22"/>
      <c r="C114" s="311" t="s">
        <v>1087</v>
      </c>
      <c r="F114" s="62"/>
      <c r="G114" s="62"/>
      <c r="H114" s="25"/>
      <c r="I114" s="40"/>
      <c r="J114" s="40"/>
    </row>
    <row r="115" spans="1:10" ht="45.75" x14ac:dyDescent="0.2">
      <c r="A115" s="77"/>
      <c r="B115" s="22"/>
      <c r="C115" s="311" t="s">
        <v>1091</v>
      </c>
      <c r="F115" s="62"/>
      <c r="G115" s="62"/>
      <c r="H115" s="25"/>
      <c r="I115" s="40"/>
      <c r="J115" s="40"/>
    </row>
    <row r="116" spans="1:10" ht="15.75" thickBot="1" x14ac:dyDescent="0.25">
      <c r="A116" s="77"/>
      <c r="B116" s="22"/>
      <c r="C116" s="233"/>
      <c r="F116" s="62"/>
      <c r="G116" s="62"/>
      <c r="H116" s="25"/>
      <c r="I116" s="40"/>
      <c r="J116" s="40">
        <f>E116+I116</f>
        <v>0</v>
      </c>
    </row>
    <row r="117" spans="1:10" ht="15.75" thickBot="1" x14ac:dyDescent="0.25">
      <c r="A117" s="77"/>
      <c r="B117" s="22"/>
      <c r="C117" s="228" t="s">
        <v>982</v>
      </c>
      <c r="F117" s="230"/>
      <c r="G117" s="230"/>
      <c r="H117" s="135" t="s">
        <v>953</v>
      </c>
      <c r="I117" s="134">
        <f>IF(B118="Bloco concluído",1,0)</f>
        <v>0</v>
      </c>
      <c r="J117" s="40"/>
    </row>
    <row r="118" spans="1:10" ht="28.5" thickBot="1" x14ac:dyDescent="0.25">
      <c r="A118" s="77"/>
      <c r="B118" s="324" t="str">
        <f>IF(AND(A122="Atingiu 100% das ações fixas",A128="Atingiu 100% das ações variáveis"),"BLOCO CONCLUÍDO","")</f>
        <v/>
      </c>
      <c r="C118" s="318" t="s">
        <v>999</v>
      </c>
      <c r="F118" s="62"/>
      <c r="G118" s="62"/>
      <c r="H118" s="25"/>
      <c r="I118" s="40"/>
      <c r="J118" s="40">
        <f>E118+I118</f>
        <v>0</v>
      </c>
    </row>
    <row r="119" spans="1:10" hidden="1" x14ac:dyDescent="0.2">
      <c r="A119" s="77"/>
      <c r="B119" s="59"/>
      <c r="C119" s="263"/>
      <c r="D119" s="247" t="s">
        <v>852</v>
      </c>
      <c r="E119" s="248">
        <f>SUM(E117:E118)</f>
        <v>0</v>
      </c>
      <c r="F119" s="63"/>
      <c r="G119" s="63"/>
      <c r="H119" s="249"/>
      <c r="I119" s="250"/>
      <c r="J119" s="38"/>
    </row>
    <row r="120" spans="1:10" ht="15.75" thickBot="1" x14ac:dyDescent="0.25">
      <c r="A120" s="77"/>
      <c r="B120" s="22"/>
      <c r="C120" s="233"/>
      <c r="F120" s="62"/>
      <c r="G120" s="62"/>
      <c r="H120" s="25"/>
      <c r="I120" s="40"/>
      <c r="J120" s="40">
        <f>E120+I120</f>
        <v>0</v>
      </c>
    </row>
    <row r="121" spans="1:10" ht="15.75" thickBot="1" x14ac:dyDescent="0.25">
      <c r="A121" s="77"/>
      <c r="B121" s="22"/>
      <c r="C121" s="228" t="s">
        <v>984</v>
      </c>
      <c r="F121" s="62"/>
      <c r="G121" s="62"/>
      <c r="H121" s="25"/>
      <c r="I121" s="40"/>
      <c r="J121" s="40">
        <f>E121+I121</f>
        <v>0</v>
      </c>
    </row>
    <row r="122" spans="1:10" ht="15.75" thickBot="1" x14ac:dyDescent="0.25">
      <c r="A122" s="375" t="str">
        <f>IF(J124&gt;=2,"Atingiu 100% das ações fixas","")</f>
        <v/>
      </c>
      <c r="B122" s="323" t="str">
        <f>IF(J122&gt;0,"Item OK","")</f>
        <v/>
      </c>
      <c r="C122" s="318" t="s">
        <v>605</v>
      </c>
      <c r="D122" s="164" t="s">
        <v>972</v>
      </c>
      <c r="E122" s="187"/>
      <c r="F122" s="235" t="s">
        <v>2</v>
      </c>
      <c r="G122" s="63">
        <f>'Pistas e Trilha'!A91</f>
        <v>0</v>
      </c>
      <c r="H122" s="26" t="s">
        <v>212</v>
      </c>
      <c r="I122" s="38">
        <f>'Rumo e Travessia'!A62</f>
        <v>0</v>
      </c>
      <c r="J122" s="38">
        <f>IF(G122+I122&gt;=1,1,0)+E122</f>
        <v>0</v>
      </c>
    </row>
    <row r="123" spans="1:10" ht="28.5" thickBot="1" x14ac:dyDescent="0.25">
      <c r="A123" s="376"/>
      <c r="B123" s="323" t="str">
        <f>IF(J123&gt;0,"Item OK","")</f>
        <v/>
      </c>
      <c r="C123" s="318" t="s">
        <v>591</v>
      </c>
      <c r="D123" s="164" t="s">
        <v>972</v>
      </c>
      <c r="E123" s="187"/>
      <c r="F123" s="235"/>
      <c r="G123" s="63"/>
      <c r="H123" s="26" t="s">
        <v>3</v>
      </c>
      <c r="I123" s="38">
        <f>'Rumo e Travessia'!A74</f>
        <v>0</v>
      </c>
      <c r="J123" s="38">
        <f>IF(G123+I123&gt;=1,1,0)+E123</f>
        <v>0</v>
      </c>
    </row>
    <row r="124" spans="1:10" hidden="1" x14ac:dyDescent="0.2">
      <c r="A124" s="81"/>
      <c r="B124" s="59"/>
      <c r="C124" s="263"/>
      <c r="E124" s="186"/>
      <c r="F124" s="41"/>
      <c r="G124" s="60"/>
      <c r="H124" s="41"/>
      <c r="I124" s="71" t="s">
        <v>852</v>
      </c>
      <c r="J124" s="38">
        <f>SUM(J122:J123)</f>
        <v>0</v>
      </c>
    </row>
    <row r="125" spans="1:10" ht="15.75" thickBot="1" x14ac:dyDescent="0.25">
      <c r="A125" s="77"/>
      <c r="B125" s="22"/>
      <c r="C125" s="233"/>
      <c r="D125"/>
      <c r="E125" s="37"/>
      <c r="F125" s="37"/>
      <c r="G125" s="37"/>
      <c r="H125"/>
      <c r="I125" s="264"/>
      <c r="J125" s="264"/>
    </row>
    <row r="126" spans="1:10" ht="15.75" thickBot="1" x14ac:dyDescent="0.25">
      <c r="A126" s="77"/>
      <c r="B126" s="22"/>
      <c r="C126" s="228" t="s">
        <v>985</v>
      </c>
      <c r="D126"/>
      <c r="E126" s="37"/>
      <c r="F126" s="37"/>
      <c r="G126" s="37"/>
      <c r="H126"/>
      <c r="I126" s="37"/>
      <c r="J126" s="37"/>
    </row>
    <row r="127" spans="1:10" ht="18" thickBot="1" x14ac:dyDescent="0.25">
      <c r="A127" s="77"/>
      <c r="B127" s="22"/>
      <c r="C127" s="316" t="s">
        <v>579</v>
      </c>
      <c r="D127"/>
      <c r="E127" s="37"/>
      <c r="F127" s="37"/>
      <c r="G127" s="37"/>
      <c r="H127"/>
      <c r="I127" s="37"/>
      <c r="J127" s="37"/>
    </row>
    <row r="128" spans="1:10" ht="28.5" thickBot="1" x14ac:dyDescent="0.25">
      <c r="A128" s="369" t="str">
        <f>IF(J158&gt;=4,"Atingiu 100% das ações variáveis","")</f>
        <v/>
      </c>
      <c r="B128" s="255" t="str">
        <f>IF(J128&gt;0,"Item OK","")</f>
        <v/>
      </c>
      <c r="C128" s="317" t="s">
        <v>592</v>
      </c>
      <c r="D128" s="265" t="s">
        <v>972</v>
      </c>
      <c r="E128" s="188"/>
      <c r="F128" s="235"/>
      <c r="G128" s="63"/>
      <c r="H128" s="26" t="s">
        <v>4</v>
      </c>
      <c r="I128" s="38">
        <f>'Rumo e Travessia'!A54</f>
        <v>0</v>
      </c>
      <c r="J128" s="38">
        <f>IF(G128+I128&gt;=1,1,0)+E128</f>
        <v>0</v>
      </c>
    </row>
    <row r="129" spans="1:10" x14ac:dyDescent="0.2">
      <c r="A129" s="369"/>
      <c r="B129" s="357" t="str">
        <f>IF(J132&gt;0,"Item OK","")</f>
        <v/>
      </c>
      <c r="C129" s="366" t="s">
        <v>1000</v>
      </c>
      <c r="D129" s="361" t="s">
        <v>972</v>
      </c>
      <c r="E129" s="352"/>
      <c r="F129" s="235" t="s">
        <v>211</v>
      </c>
      <c r="G129" s="63">
        <f>'Pistas e Trilha'!A64</f>
        <v>0</v>
      </c>
      <c r="H129" s="26" t="s">
        <v>212</v>
      </c>
      <c r="I129" s="38">
        <f>'Rumo e Travessia'!A62</f>
        <v>0</v>
      </c>
      <c r="J129" s="38">
        <f>IF(G129+I129&gt;=1,1,0)</f>
        <v>0</v>
      </c>
    </row>
    <row r="130" spans="1:10" x14ac:dyDescent="0.2">
      <c r="A130" s="369"/>
      <c r="B130" s="358"/>
      <c r="C130" s="373"/>
      <c r="D130" s="362"/>
      <c r="E130" s="352"/>
      <c r="F130" s="235"/>
      <c r="G130" s="63"/>
      <c r="H130" s="26" t="s">
        <v>214</v>
      </c>
      <c r="I130" s="38">
        <f>'Rumo e Travessia'!A64</f>
        <v>0</v>
      </c>
      <c r="J130" s="38">
        <f>IF(G130+I130&gt;=1,1,0)</f>
        <v>0</v>
      </c>
    </row>
    <row r="131" spans="1:10" x14ac:dyDescent="0.2">
      <c r="A131" s="369"/>
      <c r="B131" s="358"/>
      <c r="C131" s="373"/>
      <c r="D131" s="362"/>
      <c r="E131" s="352"/>
      <c r="F131" s="235"/>
      <c r="G131" s="63"/>
      <c r="H131" s="26" t="s">
        <v>213</v>
      </c>
      <c r="I131" s="38">
        <f>'Rumo e Travessia'!A102</f>
        <v>0</v>
      </c>
      <c r="J131" s="38">
        <f>IF(G131+I131&gt;=1,1,0)</f>
        <v>0</v>
      </c>
    </row>
    <row r="132" spans="1:10" ht="15.75" thickBot="1" x14ac:dyDescent="0.25">
      <c r="A132" s="369"/>
      <c r="B132" s="371"/>
      <c r="C132" s="356"/>
      <c r="D132" s="363"/>
      <c r="E132" s="352"/>
      <c r="F132" s="235"/>
      <c r="G132" s="63"/>
      <c r="H132" s="26"/>
      <c r="I132" s="68" t="s">
        <v>852</v>
      </c>
      <c r="J132" s="38">
        <f>SUM(J129:J131)+E129</f>
        <v>0</v>
      </c>
    </row>
    <row r="133" spans="1:10" ht="28.5" thickBot="1" x14ac:dyDescent="0.25">
      <c r="A133" s="369"/>
      <c r="B133" s="255" t="str">
        <f>IF(J133&gt;0,"Item OK","")</f>
        <v/>
      </c>
      <c r="C133" s="318" t="s">
        <v>1001</v>
      </c>
      <c r="D133" s="265" t="s">
        <v>972</v>
      </c>
      <c r="E133" s="188"/>
      <c r="F133" s="235"/>
      <c r="G133" s="63"/>
      <c r="H133" s="26" t="s">
        <v>919</v>
      </c>
      <c r="I133" s="38">
        <f>'Rumo e Travessia'!A103</f>
        <v>0</v>
      </c>
      <c r="J133" s="38">
        <f>IF(G133+I133&gt;=1,1,0)+E133</f>
        <v>0</v>
      </c>
    </row>
    <row r="134" spans="1:10" ht="28.5" thickBot="1" x14ac:dyDescent="0.25">
      <c r="A134" s="369"/>
      <c r="B134" s="255" t="str">
        <f>IF(J134&gt;0,"Item OK","")</f>
        <v/>
      </c>
      <c r="C134" s="318" t="s">
        <v>1002</v>
      </c>
      <c r="D134" s="265" t="s">
        <v>972</v>
      </c>
      <c r="E134" s="188"/>
      <c r="F134" s="235" t="s">
        <v>920</v>
      </c>
      <c r="G134" s="63">
        <f>'Pistas e Trilha'!A20</f>
        <v>0</v>
      </c>
      <c r="H134" s="26"/>
      <c r="I134" s="38"/>
      <c r="J134" s="38">
        <f>IF(G134+I134&gt;=1,1,0)+E134</f>
        <v>0</v>
      </c>
    </row>
    <row r="135" spans="1:10" ht="28.5" thickBot="1" x14ac:dyDescent="0.25">
      <c r="A135" s="369"/>
      <c r="B135" s="255" t="str">
        <f>IF(J135&gt;0,"Item OK","")</f>
        <v/>
      </c>
      <c r="C135" s="318" t="s">
        <v>1003</v>
      </c>
      <c r="D135" s="265" t="s">
        <v>972</v>
      </c>
      <c r="E135" s="188"/>
      <c r="F135" s="235"/>
      <c r="G135" s="63"/>
      <c r="H135" s="26" t="s">
        <v>921</v>
      </c>
      <c r="I135" s="38">
        <f>'Rumo e Travessia'!A66</f>
        <v>0</v>
      </c>
      <c r="J135" s="38">
        <f>IF(G135+I135&gt;=1,1,0)+E135</f>
        <v>0</v>
      </c>
    </row>
    <row r="136" spans="1:10" ht="15.75" thickBot="1" x14ac:dyDescent="0.25">
      <c r="A136" s="369"/>
      <c r="B136" s="255" t="str">
        <f>IF(J136&gt;0,"Item OK","")</f>
        <v/>
      </c>
      <c r="C136" s="318" t="s">
        <v>1004</v>
      </c>
      <c r="D136" s="265" t="s">
        <v>972</v>
      </c>
      <c r="E136" s="188"/>
      <c r="F136" s="235"/>
      <c r="G136" s="63"/>
      <c r="H136" s="26"/>
      <c r="I136" s="38"/>
      <c r="J136" s="38">
        <f>IF(G136+I136&gt;=1,1,0)+E136</f>
        <v>0</v>
      </c>
    </row>
    <row r="137" spans="1:10" ht="30.75" customHeight="1" x14ac:dyDescent="0.2">
      <c r="A137" s="369"/>
      <c r="B137" s="364" t="str">
        <f>IF(J139&gt;0,"Item OK","")</f>
        <v/>
      </c>
      <c r="C137" s="366" t="s">
        <v>1005</v>
      </c>
      <c r="D137" s="351" t="s">
        <v>972</v>
      </c>
      <c r="E137" s="352"/>
      <c r="F137" s="235" t="s">
        <v>922</v>
      </c>
      <c r="G137" s="63">
        <f>'Pistas e Trilha'!A19</f>
        <v>0</v>
      </c>
      <c r="H137" s="26" t="s">
        <v>255</v>
      </c>
      <c r="I137" s="38">
        <f>'Rumo e Travessia'!A17</f>
        <v>0</v>
      </c>
      <c r="J137" s="38">
        <f>IF(G137+I137&gt;=1,1,0)</f>
        <v>0</v>
      </c>
    </row>
    <row r="138" spans="1:10" ht="15.75" thickBot="1" x14ac:dyDescent="0.25">
      <c r="A138" s="369"/>
      <c r="B138" s="365"/>
      <c r="C138" s="356"/>
      <c r="D138" s="351"/>
      <c r="E138" s="352"/>
      <c r="F138" s="235" t="s">
        <v>920</v>
      </c>
      <c r="G138" s="63">
        <f>'Pistas e Trilha'!A20</f>
        <v>0</v>
      </c>
      <c r="H138" s="26"/>
      <c r="I138" s="38"/>
      <c r="J138" s="38">
        <f>IF(G138+I138&gt;=1,1,0)</f>
        <v>0</v>
      </c>
    </row>
    <row r="139" spans="1:10" ht="15.75" hidden="1" thickBot="1" x14ac:dyDescent="0.25">
      <c r="A139" s="369"/>
      <c r="B139" s="315"/>
      <c r="C139" s="319"/>
      <c r="E139" s="186"/>
      <c r="F139" s="235"/>
      <c r="G139" s="63"/>
      <c r="H139" s="26"/>
      <c r="I139" s="68" t="s">
        <v>852</v>
      </c>
      <c r="J139" s="38">
        <f>IF(G137+I137+G138+I138&gt;=1,1,0)+E137</f>
        <v>0</v>
      </c>
    </row>
    <row r="140" spans="1:10" ht="15.75" thickBot="1" x14ac:dyDescent="0.25">
      <c r="A140" s="369"/>
      <c r="B140" s="255" t="str">
        <f t="shared" ref="B140:B157" si="4">IF(J140&gt;0,"Item OK","")</f>
        <v/>
      </c>
      <c r="C140" s="318" t="s">
        <v>681</v>
      </c>
      <c r="D140" s="164" t="s">
        <v>972</v>
      </c>
      <c r="E140" s="187"/>
      <c r="F140" s="63"/>
      <c r="G140" s="63"/>
      <c r="H140" s="26" t="s">
        <v>5</v>
      </c>
      <c r="I140" s="38">
        <f>'Rumo e Travessia'!A89</f>
        <v>0</v>
      </c>
      <c r="J140" s="38">
        <f>IF(E140+I140&gt;=1,1,0)</f>
        <v>0</v>
      </c>
    </row>
    <row r="141" spans="1:10" ht="28.5" thickBot="1" x14ac:dyDescent="0.25">
      <c r="A141" s="369"/>
      <c r="B141" s="255" t="str">
        <f t="shared" si="4"/>
        <v/>
      </c>
      <c r="C141" s="318" t="s">
        <v>1006</v>
      </c>
      <c r="D141" s="164" t="s">
        <v>972</v>
      </c>
      <c r="E141" s="187"/>
      <c r="F141" s="63"/>
      <c r="G141" s="63"/>
      <c r="H141" s="26" t="s">
        <v>6</v>
      </c>
      <c r="I141" s="38">
        <f>'Rumo e Travessia'!A51</f>
        <v>0</v>
      </c>
      <c r="J141" s="38">
        <f>IF(E141+I141&gt;=1,1,0)</f>
        <v>0</v>
      </c>
    </row>
    <row r="142" spans="1:10" ht="15.75" thickBot="1" x14ac:dyDescent="0.25">
      <c r="A142" s="369"/>
      <c r="B142" s="255" t="str">
        <f t="shared" si="4"/>
        <v/>
      </c>
      <c r="C142" s="318" t="s">
        <v>1007</v>
      </c>
      <c r="D142" s="164" t="s">
        <v>972</v>
      </c>
      <c r="E142" s="187"/>
      <c r="F142" s="63"/>
      <c r="G142" s="63"/>
      <c r="H142" s="26" t="s">
        <v>7</v>
      </c>
      <c r="I142" s="38">
        <f>'Rumo e Travessia'!A103</f>
        <v>0</v>
      </c>
      <c r="J142" s="38">
        <f>IF(E142+I142&gt;=1,1,0)</f>
        <v>0</v>
      </c>
    </row>
    <row r="143" spans="1:10" ht="15.75" thickBot="1" x14ac:dyDescent="0.25">
      <c r="A143" s="369"/>
      <c r="B143" s="22"/>
      <c r="C143" s="228" t="s">
        <v>998</v>
      </c>
      <c r="F143" s="62"/>
      <c r="G143" s="62"/>
      <c r="H143" s="25"/>
      <c r="I143" s="40"/>
      <c r="J143" s="40"/>
    </row>
    <row r="144" spans="1:10" x14ac:dyDescent="0.2">
      <c r="A144" s="369"/>
      <c r="B144" s="255" t="str">
        <f t="shared" si="4"/>
        <v/>
      </c>
      <c r="C144" s="320" t="s">
        <v>282</v>
      </c>
      <c r="F144" s="261"/>
      <c r="G144" s="63"/>
      <c r="H144" s="240"/>
      <c r="I144" s="38"/>
      <c r="J144" s="241">
        <f>'Especialidades ou Insígnias'!H24</f>
        <v>0</v>
      </c>
    </row>
    <row r="145" spans="1:10" x14ac:dyDescent="0.2">
      <c r="A145" s="369"/>
      <c r="B145" s="255" t="str">
        <f t="shared" si="4"/>
        <v/>
      </c>
      <c r="C145" s="50" t="s">
        <v>550</v>
      </c>
      <c r="F145" s="261"/>
      <c r="G145" s="63"/>
      <c r="H145" s="240"/>
      <c r="I145" s="38"/>
      <c r="J145" s="241">
        <f>'Especialidades ou Insígnias'!H28</f>
        <v>0</v>
      </c>
    </row>
    <row r="146" spans="1:10" x14ac:dyDescent="0.2">
      <c r="A146" s="369"/>
      <c r="B146" s="255" t="str">
        <f t="shared" si="4"/>
        <v/>
      </c>
      <c r="C146" s="50" t="s">
        <v>287</v>
      </c>
      <c r="F146" s="261"/>
      <c r="G146" s="63"/>
      <c r="H146" s="240"/>
      <c r="I146" s="38"/>
      <c r="J146" s="241">
        <f>'Especialidades ou Insígnias'!H30</f>
        <v>0</v>
      </c>
    </row>
    <row r="147" spans="1:10" x14ac:dyDescent="0.2">
      <c r="A147" s="369"/>
      <c r="B147" s="255" t="str">
        <f t="shared" si="4"/>
        <v/>
      </c>
      <c r="C147" s="50" t="s">
        <v>314</v>
      </c>
      <c r="F147" s="261"/>
      <c r="G147" s="63"/>
      <c r="H147" s="240"/>
      <c r="I147" s="38"/>
      <c r="J147" s="241">
        <f>'Especialidades ou Insígnias'!H59</f>
        <v>0</v>
      </c>
    </row>
    <row r="148" spans="1:10" x14ac:dyDescent="0.2">
      <c r="A148" s="369"/>
      <c r="B148" s="255" t="str">
        <f t="shared" si="4"/>
        <v/>
      </c>
      <c r="C148" s="50" t="s">
        <v>551</v>
      </c>
      <c r="F148" s="261"/>
      <c r="G148" s="63"/>
      <c r="H148" s="240"/>
      <c r="I148" s="38"/>
      <c r="J148" s="241">
        <f>'Especialidades ou Insígnias'!H69</f>
        <v>0</v>
      </c>
    </row>
    <row r="149" spans="1:10" x14ac:dyDescent="0.2">
      <c r="A149" s="369"/>
      <c r="B149" s="255" t="str">
        <f t="shared" si="4"/>
        <v/>
      </c>
      <c r="C149" s="50" t="s">
        <v>348</v>
      </c>
      <c r="F149" s="261"/>
      <c r="G149" s="63"/>
      <c r="H149" s="240"/>
      <c r="I149" s="38"/>
      <c r="J149" s="241">
        <f>'Especialidades ou Insígnias'!H97</f>
        <v>0</v>
      </c>
    </row>
    <row r="150" spans="1:10" x14ac:dyDescent="0.2">
      <c r="A150" s="369"/>
      <c r="B150" s="255" t="str">
        <f t="shared" si="4"/>
        <v/>
      </c>
      <c r="C150" s="50" t="s">
        <v>382</v>
      </c>
      <c r="F150" s="261"/>
      <c r="G150" s="63"/>
      <c r="H150" s="240"/>
      <c r="I150" s="38"/>
      <c r="J150" s="241">
        <f>'Especialidades ou Insígnias'!H134</f>
        <v>0</v>
      </c>
    </row>
    <row r="151" spans="1:10" x14ac:dyDescent="0.2">
      <c r="A151" s="369"/>
      <c r="B151" s="255" t="str">
        <f t="shared" si="4"/>
        <v/>
      </c>
      <c r="C151" s="50" t="s">
        <v>397</v>
      </c>
      <c r="F151" s="261"/>
      <c r="G151" s="63"/>
      <c r="H151" s="240"/>
      <c r="I151" s="38"/>
      <c r="J151" s="241">
        <f>'Especialidades ou Insígnias'!H150</f>
        <v>0</v>
      </c>
    </row>
    <row r="152" spans="1:10" x14ac:dyDescent="0.2">
      <c r="A152" s="369"/>
      <c r="B152" s="255" t="str">
        <f t="shared" si="4"/>
        <v/>
      </c>
      <c r="C152" s="50" t="s">
        <v>422</v>
      </c>
      <c r="F152" s="261"/>
      <c r="G152" s="63"/>
      <c r="H152" s="240"/>
      <c r="I152" s="38"/>
      <c r="J152" s="241">
        <f>'Especialidades ou Insígnias'!H186</f>
        <v>0</v>
      </c>
    </row>
    <row r="153" spans="1:10" x14ac:dyDescent="0.2">
      <c r="A153" s="369"/>
      <c r="B153" s="255" t="str">
        <f t="shared" si="4"/>
        <v/>
      </c>
      <c r="C153" s="321" t="s">
        <v>458</v>
      </c>
      <c r="F153" s="261"/>
      <c r="G153" s="63"/>
      <c r="H153" s="240"/>
      <c r="I153" s="38"/>
      <c r="J153" s="241">
        <f>'Especialidades ou Insígnias'!H226</f>
        <v>0</v>
      </c>
    </row>
    <row r="154" spans="1:10" x14ac:dyDescent="0.2">
      <c r="A154" s="369"/>
      <c r="B154" s="255"/>
      <c r="C154" s="321" t="s">
        <v>465</v>
      </c>
      <c r="F154" s="261"/>
      <c r="G154" s="63"/>
      <c r="H154" s="240"/>
      <c r="I154" s="38"/>
      <c r="J154" s="241">
        <f>'Especialidades ou Insígnias'!H233</f>
        <v>0</v>
      </c>
    </row>
    <row r="155" spans="1:10" x14ac:dyDescent="0.2">
      <c r="A155" s="369"/>
      <c r="B155" s="255" t="str">
        <f t="shared" si="4"/>
        <v/>
      </c>
      <c r="C155" s="321" t="s">
        <v>479</v>
      </c>
      <c r="F155" s="261"/>
      <c r="G155" s="63"/>
      <c r="H155" s="240"/>
      <c r="I155" s="38"/>
      <c r="J155" s="241">
        <f>'Especialidades ou Insígnias'!H248</f>
        <v>0</v>
      </c>
    </row>
    <row r="156" spans="1:10" x14ac:dyDescent="0.2">
      <c r="A156" s="369"/>
      <c r="B156" s="255" t="str">
        <f t="shared" si="4"/>
        <v/>
      </c>
      <c r="C156" s="321" t="s">
        <v>494</v>
      </c>
      <c r="F156" s="261"/>
      <c r="G156" s="63"/>
      <c r="H156" s="240"/>
      <c r="I156" s="38"/>
      <c r="J156" s="241">
        <f>'Especialidades ou Insígnias'!H263</f>
        <v>0</v>
      </c>
    </row>
    <row r="157" spans="1:10" ht="15.75" thickBot="1" x14ac:dyDescent="0.25">
      <c r="A157" s="369"/>
      <c r="B157" s="313" t="str">
        <f t="shared" si="4"/>
        <v/>
      </c>
      <c r="C157" s="322" t="s">
        <v>552</v>
      </c>
      <c r="F157" s="261"/>
      <c r="G157" s="63"/>
      <c r="H157" s="240"/>
      <c r="I157" s="38"/>
      <c r="J157" s="241">
        <f>'Especialidades ou Insígnias'!H303</f>
        <v>0</v>
      </c>
    </row>
    <row r="158" spans="1:10" hidden="1" x14ac:dyDescent="0.2">
      <c r="A158" s="41"/>
      <c r="B158" s="59"/>
      <c r="C158" s="262"/>
      <c r="F158" s="62"/>
      <c r="G158" s="62"/>
      <c r="H158" s="25"/>
      <c r="I158" s="68" t="s">
        <v>852</v>
      </c>
      <c r="J158" s="38">
        <f>J128+J132+J133+J134+J135+J136+J139+J140+J141+J142+J144+J145+J146+J147+J148+J149+J150+J151+J152+J153+J155+J156+J157</f>
        <v>0</v>
      </c>
    </row>
    <row r="159" spans="1:10" ht="15.75" thickBot="1" x14ac:dyDescent="0.25">
      <c r="B159" s="22"/>
    </row>
    <row r="160" spans="1:10" ht="15.75" thickBot="1" x14ac:dyDescent="0.25">
      <c r="A160" s="76"/>
      <c r="B160" s="80"/>
      <c r="C160" s="228" t="s">
        <v>593</v>
      </c>
      <c r="J160" s="2">
        <f>E160+I160</f>
        <v>0</v>
      </c>
    </row>
    <row r="161" spans="1:10" x14ac:dyDescent="0.2">
      <c r="A161" s="77"/>
      <c r="B161" s="22"/>
      <c r="C161" s="311" t="s">
        <v>1089</v>
      </c>
    </row>
    <row r="162" spans="1:10" ht="45.75" x14ac:dyDescent="0.2">
      <c r="A162" s="77"/>
      <c r="B162" s="22"/>
      <c r="C162" s="311" t="s">
        <v>1092</v>
      </c>
    </row>
    <row r="163" spans="1:10" ht="15.75" thickBot="1" x14ac:dyDescent="0.25">
      <c r="A163" s="77"/>
      <c r="B163" s="22"/>
      <c r="C163" s="233"/>
      <c r="F163" s="62"/>
      <c r="G163" s="62"/>
      <c r="H163" s="25"/>
      <c r="I163" s="40"/>
      <c r="J163" s="40">
        <f>E163+I163</f>
        <v>0</v>
      </c>
    </row>
    <row r="164" spans="1:10" ht="15.75" thickBot="1" x14ac:dyDescent="0.25">
      <c r="A164" s="77"/>
      <c r="B164" s="22"/>
      <c r="C164" s="228" t="s">
        <v>982</v>
      </c>
      <c r="F164" s="230"/>
      <c r="G164" s="230"/>
      <c r="H164" s="135" t="s">
        <v>953</v>
      </c>
      <c r="I164" s="134">
        <f>IF(B165="Bloco concluído",1,0)</f>
        <v>0</v>
      </c>
      <c r="J164" s="40"/>
    </row>
    <row r="165" spans="1:10" ht="28.5" thickBot="1" x14ac:dyDescent="0.25">
      <c r="A165" s="77"/>
      <c r="B165" s="324" t="str">
        <f>IF(AND(A169="Atingiu 100% das ações fixas",A173="Atingiu 100% das ações variáveis"),"BLOCO CONCLUÍDO","")</f>
        <v/>
      </c>
      <c r="C165" s="318" t="s">
        <v>1084</v>
      </c>
      <c r="F165" s="62"/>
      <c r="G165" s="62"/>
      <c r="H165" s="25"/>
      <c r="I165" s="40"/>
      <c r="J165" s="40">
        <f>E165+I165</f>
        <v>0</v>
      </c>
    </row>
    <row r="166" spans="1:10" hidden="1" x14ac:dyDescent="0.2">
      <c r="A166" s="77"/>
      <c r="B166" s="22"/>
      <c r="C166" s="246"/>
      <c r="F166" s="62"/>
      <c r="G166" s="62"/>
      <c r="H166" s="25"/>
      <c r="I166" s="40"/>
      <c r="J166" s="40">
        <f>E166+I166</f>
        <v>0</v>
      </c>
    </row>
    <row r="167" spans="1:10" ht="15.75" thickBot="1" x14ac:dyDescent="0.25">
      <c r="A167" s="77"/>
      <c r="B167" s="22"/>
      <c r="C167" s="233"/>
      <c r="F167" s="62"/>
      <c r="G167" s="62"/>
      <c r="H167" s="25"/>
      <c r="I167" s="40"/>
      <c r="J167" s="40">
        <f>E167+I167</f>
        <v>0</v>
      </c>
    </row>
    <row r="168" spans="1:10" ht="15.75" thickBot="1" x14ac:dyDescent="0.25">
      <c r="A168" s="77"/>
      <c r="B168" s="22"/>
      <c r="C168" s="228" t="s">
        <v>984</v>
      </c>
      <c r="D168"/>
      <c r="E168" s="267"/>
      <c r="F168" s="267"/>
      <c r="G168" s="267"/>
      <c r="H168"/>
      <c r="I168" s="37"/>
      <c r="J168" s="37"/>
    </row>
    <row r="169" spans="1:10" ht="28.5" thickBot="1" x14ac:dyDescent="0.25">
      <c r="A169" s="131" t="str">
        <f>IF(J169&gt;=1,"Atingiu 100% das ações fixas","")</f>
        <v/>
      </c>
      <c r="B169" s="323" t="str">
        <f>IF(J169&gt;0,"Item OK","")</f>
        <v/>
      </c>
      <c r="C169" s="318" t="s">
        <v>1008</v>
      </c>
      <c r="D169" s="164" t="s">
        <v>972</v>
      </c>
      <c r="E169" s="187"/>
      <c r="F169" s="235"/>
      <c r="G169" s="63"/>
      <c r="H169" s="26" t="s">
        <v>607</v>
      </c>
      <c r="I169" s="38">
        <f>'Rumo e Travessia'!A119</f>
        <v>0</v>
      </c>
      <c r="J169" s="38">
        <f>IF(G169+I169&gt;=1,1,0)+E169</f>
        <v>0</v>
      </c>
    </row>
    <row r="170" spans="1:10" ht="15.75" thickBot="1" x14ac:dyDescent="0.25">
      <c r="A170" s="77"/>
      <c r="B170" s="22"/>
      <c r="C170" s="233"/>
      <c r="D170"/>
      <c r="E170" s="267"/>
      <c r="F170" s="267"/>
      <c r="G170" s="267"/>
      <c r="H170"/>
      <c r="I170" s="37"/>
      <c r="J170" s="37"/>
    </row>
    <row r="171" spans="1:10" ht="15.75" thickBot="1" x14ac:dyDescent="0.25">
      <c r="A171" s="77"/>
      <c r="B171" s="22"/>
      <c r="C171" s="228" t="s">
        <v>985</v>
      </c>
      <c r="D171"/>
      <c r="E171" s="267"/>
      <c r="F171" s="267"/>
      <c r="G171" s="267"/>
      <c r="H171"/>
      <c r="I171" s="37"/>
      <c r="J171" s="37"/>
    </row>
    <row r="172" spans="1:10" ht="18" thickBot="1" x14ac:dyDescent="0.25">
      <c r="A172" s="77"/>
      <c r="B172" s="22"/>
      <c r="C172" s="268" t="s">
        <v>579</v>
      </c>
      <c r="D172"/>
      <c r="E172" s="267"/>
      <c r="F172" s="267"/>
      <c r="G172" s="267"/>
      <c r="H172"/>
      <c r="I172" s="37"/>
      <c r="J172" s="37"/>
    </row>
    <row r="173" spans="1:10" ht="27.75" x14ac:dyDescent="0.2">
      <c r="A173" s="369" t="str">
        <f>IF(OR(J181&gt;=4),"Atingiu 100% das ações variáveis","")</f>
        <v/>
      </c>
      <c r="B173" s="257" t="str">
        <f t="shared" ref="B173:B180" si="5">IF(J173&gt;0,"Item OK","")</f>
        <v/>
      </c>
      <c r="C173" s="269" t="s">
        <v>1010</v>
      </c>
      <c r="D173" s="164" t="s">
        <v>972</v>
      </c>
      <c r="E173" s="187"/>
      <c r="F173" s="235" t="s">
        <v>606</v>
      </c>
      <c r="G173" s="63">
        <f>'Pistas e Trilha'!A55</f>
        <v>0</v>
      </c>
      <c r="H173" s="26" t="s">
        <v>767</v>
      </c>
      <c r="I173" s="38">
        <f>'Rumo e Travessia'!A79</f>
        <v>0</v>
      </c>
      <c r="J173" s="38">
        <f t="shared" ref="J173:J180" si="6">IF(G173+I173&gt;=1,1,0)+E173</f>
        <v>0</v>
      </c>
    </row>
    <row r="174" spans="1:10" ht="27.75" x14ac:dyDescent="0.2">
      <c r="A174" s="369"/>
      <c r="B174" s="257" t="str">
        <f t="shared" si="5"/>
        <v/>
      </c>
      <c r="C174" s="256" t="s">
        <v>1009</v>
      </c>
      <c r="D174" s="164" t="s">
        <v>972</v>
      </c>
      <c r="E174" s="187"/>
      <c r="F174" s="235"/>
      <c r="G174" s="63"/>
      <c r="H174" s="26" t="s">
        <v>768</v>
      </c>
      <c r="I174" s="38">
        <f>'Rumo e Travessia'!A106</f>
        <v>0</v>
      </c>
      <c r="J174" s="38">
        <f t="shared" si="6"/>
        <v>0</v>
      </c>
    </row>
    <row r="175" spans="1:10" ht="27.75" x14ac:dyDescent="0.2">
      <c r="A175" s="369"/>
      <c r="B175" s="257" t="str">
        <f t="shared" si="5"/>
        <v/>
      </c>
      <c r="C175" s="50" t="s">
        <v>1011</v>
      </c>
      <c r="D175" s="164" t="s">
        <v>972</v>
      </c>
      <c r="E175" s="187"/>
      <c r="F175" s="235" t="s">
        <v>8</v>
      </c>
      <c r="G175" s="63">
        <f>'Pistas e Trilha'!A103</f>
        <v>0</v>
      </c>
      <c r="H175" s="26"/>
      <c r="I175" s="38"/>
      <c r="J175" s="38">
        <f t="shared" si="6"/>
        <v>0</v>
      </c>
    </row>
    <row r="176" spans="1:10" x14ac:dyDescent="0.2">
      <c r="A176" s="369"/>
      <c r="B176" s="257" t="str">
        <f t="shared" si="5"/>
        <v/>
      </c>
      <c r="C176" s="50" t="s">
        <v>1012</v>
      </c>
      <c r="D176" s="164" t="s">
        <v>972</v>
      </c>
      <c r="E176" s="187"/>
      <c r="F176" s="235" t="s">
        <v>769</v>
      </c>
      <c r="G176" s="63">
        <f>'Pistas e Trilha'!A37</f>
        <v>0</v>
      </c>
      <c r="H176" s="26" t="s">
        <v>215</v>
      </c>
      <c r="I176" s="38">
        <f>'Rumo e Travessia'!A35</f>
        <v>0</v>
      </c>
      <c r="J176" s="38">
        <f t="shared" si="6"/>
        <v>0</v>
      </c>
    </row>
    <row r="177" spans="1:10" ht="27.75" x14ac:dyDescent="0.2">
      <c r="A177" s="369"/>
      <c r="B177" s="257" t="str">
        <f t="shared" si="5"/>
        <v/>
      </c>
      <c r="C177" s="50" t="s">
        <v>1013</v>
      </c>
      <c r="D177" s="164" t="s">
        <v>972</v>
      </c>
      <c r="E177" s="187"/>
      <c r="F177" s="235" t="s">
        <v>923</v>
      </c>
      <c r="G177" s="63">
        <f>'Pistas e Trilha'!A182</f>
        <v>0</v>
      </c>
      <c r="H177" s="26" t="s">
        <v>924</v>
      </c>
      <c r="I177" s="38">
        <f>'Rumo e Travessia'!A186</f>
        <v>0</v>
      </c>
      <c r="J177" s="38">
        <f t="shared" si="6"/>
        <v>0</v>
      </c>
    </row>
    <row r="178" spans="1:10" ht="27.75" x14ac:dyDescent="0.2">
      <c r="A178" s="369"/>
      <c r="B178" s="257" t="str">
        <f t="shared" si="5"/>
        <v/>
      </c>
      <c r="C178" s="256" t="s">
        <v>1014</v>
      </c>
      <c r="D178" s="164" t="s">
        <v>972</v>
      </c>
      <c r="E178" s="187"/>
      <c r="F178" s="235" t="s">
        <v>216</v>
      </c>
      <c r="G178" s="63">
        <f>'Pistas e Trilha'!A94</f>
        <v>0</v>
      </c>
      <c r="H178" s="26" t="s">
        <v>770</v>
      </c>
      <c r="I178" s="38">
        <f>'Rumo e Travessia'!A111</f>
        <v>0</v>
      </c>
      <c r="J178" s="38">
        <f t="shared" si="6"/>
        <v>0</v>
      </c>
    </row>
    <row r="179" spans="1:10" ht="27.75" x14ac:dyDescent="0.2">
      <c r="A179" s="369"/>
      <c r="B179" s="257" t="str">
        <f t="shared" si="5"/>
        <v/>
      </c>
      <c r="C179" s="50" t="s">
        <v>1015</v>
      </c>
      <c r="D179" s="164" t="s">
        <v>972</v>
      </c>
      <c r="E179" s="187"/>
      <c r="F179" s="235" t="s">
        <v>925</v>
      </c>
      <c r="G179" s="63">
        <f>'Pistas e Trilha'!A77</f>
        <v>0</v>
      </c>
      <c r="H179" s="26" t="s">
        <v>767</v>
      </c>
      <c r="I179" s="38">
        <f>'Rumo e Travessia'!A79</f>
        <v>0</v>
      </c>
      <c r="J179" s="38">
        <f t="shared" si="6"/>
        <v>0</v>
      </c>
    </row>
    <row r="180" spans="1:10" ht="28.5" thickBot="1" x14ac:dyDescent="0.25">
      <c r="A180" s="369"/>
      <c r="B180" s="270" t="str">
        <f t="shared" si="5"/>
        <v/>
      </c>
      <c r="C180" s="23" t="s">
        <v>594</v>
      </c>
      <c r="D180" s="164" t="s">
        <v>972</v>
      </c>
      <c r="E180" s="187"/>
      <c r="F180" s="235" t="s">
        <v>9</v>
      </c>
      <c r="G180" s="63">
        <f>'Pistas e Trilha'!A92</f>
        <v>0</v>
      </c>
      <c r="H180" s="26"/>
      <c r="I180" s="38"/>
      <c r="J180" s="38">
        <f t="shared" si="6"/>
        <v>0</v>
      </c>
    </row>
    <row r="181" spans="1:10" hidden="1" x14ac:dyDescent="0.2">
      <c r="A181" s="41"/>
      <c r="B181" s="40"/>
      <c r="C181" s="262"/>
      <c r="F181" s="24"/>
      <c r="G181" s="62"/>
      <c r="H181" s="25"/>
      <c r="I181" s="68" t="s">
        <v>852</v>
      </c>
      <c r="J181" s="38">
        <f>SUM(J173:J180)</f>
        <v>0</v>
      </c>
    </row>
  </sheetData>
  <sheetProtection sheet="1" objects="1" scenarios="1"/>
  <mergeCells count="28">
    <mergeCell ref="A173:A180"/>
    <mergeCell ref="A16:A65"/>
    <mergeCell ref="C16:C17"/>
    <mergeCell ref="B16:B17"/>
    <mergeCell ref="C20:C21"/>
    <mergeCell ref="B20:B21"/>
    <mergeCell ref="A128:A157"/>
    <mergeCell ref="C93:C96"/>
    <mergeCell ref="C129:C132"/>
    <mergeCell ref="B93:B96"/>
    <mergeCell ref="B129:B132"/>
    <mergeCell ref="A87:A109"/>
    <mergeCell ref="A122:A123"/>
    <mergeCell ref="D20:D21"/>
    <mergeCell ref="E20:E21"/>
    <mergeCell ref="D93:D96"/>
    <mergeCell ref="E93:E96"/>
    <mergeCell ref="A11:A12"/>
    <mergeCell ref="D137:D138"/>
    <mergeCell ref="E137:E138"/>
    <mergeCell ref="D101:D102"/>
    <mergeCell ref="C101:C102"/>
    <mergeCell ref="B101:B102"/>
    <mergeCell ref="E101:E102"/>
    <mergeCell ref="D129:D132"/>
    <mergeCell ref="E129:E132"/>
    <mergeCell ref="B137:B138"/>
    <mergeCell ref="C137:C138"/>
  </mergeCells>
  <phoneticPr fontId="8" type="noConversion"/>
  <conditionalFormatting sqref="A11:A12">
    <cfRule type="containsText" dxfId="186" priority="8" operator="containsText" text="Atingiu 100% das ações fixas">
      <formula>NOT(ISERROR(SEARCH("Atingiu 100% das ações fixas",A11)))</formula>
    </cfRule>
  </conditionalFormatting>
  <conditionalFormatting sqref="A16:A18 B16 B18:B20 B22:B78 B139:B164 C71 F71:H71 B166:B180">
    <cfRule type="cellIs" dxfId="185" priority="94" operator="greaterThan">
      <formula>0</formula>
    </cfRule>
  </conditionalFormatting>
  <conditionalFormatting sqref="A16:A66">
    <cfRule type="containsText" dxfId="184" priority="7" operator="containsText" text="Atingiu 100% das ações variáveis">
      <formula>NOT(ISERROR(SEARCH("Atingiu 100% das ações variáveis",A16)))</formula>
    </cfRule>
    <cfRule type="containsText" dxfId="183" priority="88" operator="containsText" text="Já atingiu 100% do itens variáveis pois conquistou Insígnia">
      <formula>NOT(ISERROR(SEARCH("Já atingiu 100% do itens variáveis pois conquistou Insígnia",A16)))</formula>
    </cfRule>
  </conditionalFormatting>
  <conditionalFormatting sqref="A83">
    <cfRule type="containsText" dxfId="182" priority="5" operator="containsText" text="Atingiu 100% das ações fixas">
      <formula>NOT(ISERROR(SEARCH("Atingiu 100% das ações fixas",A83)))</formula>
    </cfRule>
  </conditionalFormatting>
  <conditionalFormatting sqref="A87:A109">
    <cfRule type="containsText" dxfId="181" priority="6" operator="containsText" text="Atingiu 100% das ações variáveis">
      <formula>NOT(ISERROR(SEARCH("Atingiu 100% das ações variáveis",A87)))</formula>
    </cfRule>
  </conditionalFormatting>
  <conditionalFormatting sqref="A122:A123">
    <cfRule type="containsText" dxfId="180" priority="4" operator="containsText" text="Atingiu 100% das ações fixas">
      <formula>NOT(ISERROR(SEARCH("Atingiu 100% das ações fixas",A122)))</formula>
    </cfRule>
  </conditionalFormatting>
  <conditionalFormatting sqref="A128:A157">
    <cfRule type="containsText" dxfId="179" priority="3" operator="containsText" text="Atingiu 100% das ações variáveis">
      <formula>NOT(ISERROR(SEARCH("Atingiu 100% das ações variáveis",A128)))</formula>
    </cfRule>
  </conditionalFormatting>
  <conditionalFormatting sqref="A169">
    <cfRule type="containsText" dxfId="178" priority="2" operator="containsText" text="Atingiu 100% das ações fixas">
      <formula>NOT(ISERROR(SEARCH("Atingiu 100% das ações fixas",A169)))</formula>
    </cfRule>
  </conditionalFormatting>
  <conditionalFormatting sqref="A173:A180">
    <cfRule type="containsText" dxfId="177" priority="1" operator="containsText" text="Atingiu 100% das ações variáveis">
      <formula>NOT(ISERROR(SEARCH("Atingiu 100% das ações variáveis",A173)))</formula>
    </cfRule>
  </conditionalFormatting>
  <conditionalFormatting sqref="A8:B8">
    <cfRule type="containsText" dxfId="176" priority="16" operator="containsText" text="BLOCO CONCLUÍDO">
      <formula>NOT(ISERROR(SEARCH("BLOCO CONCLUÍDO",A8)))</formula>
    </cfRule>
  </conditionalFormatting>
  <conditionalFormatting sqref="B11:B12">
    <cfRule type="cellIs" dxfId="175" priority="60" operator="greaterThan">
      <formula>0</formula>
    </cfRule>
    <cfRule type="cellIs" dxfId="174" priority="59" operator="equal">
      <formula>"Item OK"</formula>
    </cfRule>
  </conditionalFormatting>
  <conditionalFormatting sqref="B16 B18:B20 B22:B28 B30:B66">
    <cfRule type="cellIs" dxfId="173" priority="37" operator="equal">
      <formula>"Item OK"</formula>
    </cfRule>
    <cfRule type="containsText" dxfId="172" priority="28" operator="containsText" text="Item OK">
      <formula>NOT(ISERROR(SEARCH("Item OK",B16)))</formula>
    </cfRule>
  </conditionalFormatting>
  <conditionalFormatting sqref="B68">
    <cfRule type="containsText" dxfId="171" priority="26" operator="containsText" text="Item OK">
      <formula>NOT(ISERROR(SEARCH("Item OK",B68)))</formula>
    </cfRule>
  </conditionalFormatting>
  <conditionalFormatting sqref="B68:B70 B173:B180">
    <cfRule type="cellIs" dxfId="170" priority="33" operator="equal">
      <formula>"Item OK"</formula>
    </cfRule>
  </conditionalFormatting>
  <conditionalFormatting sqref="B79">
    <cfRule type="containsText" dxfId="169" priority="15" operator="containsText" text="BLOCO CONCLUÍDO">
      <formula>NOT(ISERROR(SEARCH("BLOCO CONCLUÍDO",B79)))</formula>
    </cfRule>
  </conditionalFormatting>
  <conditionalFormatting sqref="B80">
    <cfRule type="containsText" dxfId="168" priority="25" operator="containsText" text="Item OK">
      <formula>NOT(ISERROR(SEARCH("Item OK",B80)))</formula>
    </cfRule>
    <cfRule type="cellIs" dxfId="167" priority="31" operator="equal">
      <formula>"Item OK"</formula>
    </cfRule>
  </conditionalFormatting>
  <conditionalFormatting sqref="B80:B93">
    <cfRule type="cellIs" dxfId="166" priority="30" operator="greaterThan">
      <formula>0</formula>
    </cfRule>
  </conditionalFormatting>
  <conditionalFormatting sqref="B83">
    <cfRule type="cellIs" dxfId="165" priority="29" operator="equal">
      <formula>"Item OK"</formula>
    </cfRule>
  </conditionalFormatting>
  <conditionalFormatting sqref="B87:B93 B97:B101 B103">
    <cfRule type="cellIs" dxfId="164" priority="45" operator="equal">
      <formula>"Item OK"</formula>
    </cfRule>
  </conditionalFormatting>
  <conditionalFormatting sqref="B87:B101 B103">
    <cfRule type="containsText" dxfId="163" priority="22" operator="containsText" text="Item OK">
      <formula>NOT(ISERROR(SEARCH("Item OK",B87)))</formula>
    </cfRule>
  </conditionalFormatting>
  <conditionalFormatting sqref="B97:B101 B103:B117">
    <cfRule type="cellIs" dxfId="162" priority="42" operator="greaterThan">
      <formula>0</formula>
    </cfRule>
  </conditionalFormatting>
  <conditionalFormatting sqref="B105:B109">
    <cfRule type="containsText" dxfId="161" priority="21" operator="containsText" text="Item OK">
      <formula>NOT(ISERROR(SEARCH("Item OK",B105)))</formula>
    </cfRule>
    <cfRule type="cellIs" dxfId="160" priority="43" operator="equal">
      <formula>"Item OK"</formula>
    </cfRule>
  </conditionalFormatting>
  <conditionalFormatting sqref="B118">
    <cfRule type="containsText" dxfId="159" priority="14" operator="containsText" text="BLOCO CONCLUÍDO">
      <formula>NOT(ISERROR(SEARCH("BLOCO CONCLUÍDO",B118)))</formula>
    </cfRule>
  </conditionalFormatting>
  <conditionalFormatting sqref="B119:B129">
    <cfRule type="cellIs" dxfId="158" priority="11" operator="greaterThan">
      <formula>0</formula>
    </cfRule>
  </conditionalFormatting>
  <conditionalFormatting sqref="B122:B123">
    <cfRule type="containsText" dxfId="157" priority="10" operator="containsText" text="Item OK">
      <formula>NOT(ISERROR(SEARCH("Item OK",B122)))</formula>
    </cfRule>
    <cfRule type="cellIs" dxfId="156" priority="12" operator="equal">
      <formula>"Item OK"</formula>
    </cfRule>
  </conditionalFormatting>
  <conditionalFormatting sqref="B128:B129 B133:B137 B139:B142">
    <cfRule type="cellIs" dxfId="155" priority="41" operator="equal">
      <formula>"Item OK"</formula>
    </cfRule>
  </conditionalFormatting>
  <conditionalFormatting sqref="B129 B133:B137 B139:B142">
    <cfRule type="containsText" dxfId="154" priority="9" operator="containsText" text="Item OK">
      <formula>NOT(ISERROR(SEARCH("Item OK",B129)))</formula>
    </cfRule>
  </conditionalFormatting>
  <conditionalFormatting sqref="B133:B137">
    <cfRule type="cellIs" dxfId="153" priority="40" operator="greaterThan">
      <formula>0</formula>
    </cfRule>
  </conditionalFormatting>
  <conditionalFormatting sqref="B144:B157">
    <cfRule type="cellIs" dxfId="152" priority="39" operator="equal">
      <formula>"Item OK"</formula>
    </cfRule>
  </conditionalFormatting>
  <conditionalFormatting sqref="B165">
    <cfRule type="containsText" dxfId="151" priority="13" operator="containsText" text="BLOCO CONCLUÍDO">
      <formula>NOT(ISERROR(SEARCH("BLOCO CONCLUÍDO",B165)))</formula>
    </cfRule>
  </conditionalFormatting>
  <conditionalFormatting sqref="B169">
    <cfRule type="cellIs" dxfId="150" priority="63" operator="equal">
      <formula>"Item OK"</formula>
    </cfRule>
  </conditionalFormatting>
  <pageMargins left="0.511811024" right="0.511811024" top="0.78740157499999996" bottom="0.78740157499999996" header="0.31496062000000002" footer="0.31496062000000002"/>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1CE03-07FC-4C0D-A3FB-4B2AA3C4C0E6}">
  <sheetPr>
    <tabColor rgb="FFE1F3CD"/>
  </sheetPr>
  <dimension ref="A1:J154"/>
  <sheetViews>
    <sheetView showZeros="0" workbookViewId="0"/>
  </sheetViews>
  <sheetFormatPr defaultRowHeight="15" x14ac:dyDescent="0.2"/>
  <cols>
    <col min="1" max="1" width="12.5078125" customWidth="1"/>
    <col min="3" max="3" width="66.18359375" style="281" customWidth="1"/>
    <col min="4" max="4" width="21.7890625" style="2" customWidth="1"/>
    <col min="5" max="5" width="3.765625" style="21" customWidth="1"/>
    <col min="6" max="6" width="11.43359375" style="168" hidden="1" customWidth="1"/>
    <col min="7" max="7" width="6.05078125" style="21" hidden="1" customWidth="1"/>
    <col min="8" max="8" width="11.97265625" style="168" hidden="1" customWidth="1"/>
    <col min="9" max="9" width="5.6484375" style="2" hidden="1" customWidth="1"/>
    <col min="10" max="10" width="3.765625" hidden="1" customWidth="1"/>
    <col min="11" max="11" width="9.14453125" customWidth="1"/>
  </cols>
  <sheetData>
    <row r="1" spans="1:10" ht="29.25" x14ac:dyDescent="0.2">
      <c r="C1" s="271" t="s">
        <v>803</v>
      </c>
      <c r="F1" s="161"/>
      <c r="G1" s="62"/>
      <c r="H1" s="161"/>
    </row>
    <row r="2" spans="1:10" ht="15.75" thickBot="1" x14ac:dyDescent="0.25">
      <c r="C2" s="22"/>
      <c r="F2" s="161"/>
      <c r="G2" s="62"/>
      <c r="H2" s="161"/>
    </row>
    <row r="3" spans="1:10" x14ac:dyDescent="0.2">
      <c r="A3" s="76"/>
      <c r="B3" s="83"/>
      <c r="C3" s="272" t="s">
        <v>772</v>
      </c>
      <c r="F3" s="161"/>
      <c r="G3" s="62"/>
      <c r="H3" s="158" t="s">
        <v>954</v>
      </c>
      <c r="I3" s="63">
        <f>I7+I45+I71+I111</f>
        <v>0</v>
      </c>
    </row>
    <row r="4" spans="1:10" x14ac:dyDescent="0.2">
      <c r="A4" s="77"/>
      <c r="C4" s="312" t="s">
        <v>1089</v>
      </c>
      <c r="F4" s="161"/>
      <c r="G4" s="62"/>
      <c r="H4" s="160"/>
      <c r="I4" s="62"/>
    </row>
    <row r="5" spans="1:10" ht="23.25" x14ac:dyDescent="0.2">
      <c r="A5" s="77"/>
      <c r="C5" s="312" t="s">
        <v>1093</v>
      </c>
      <c r="F5" s="161"/>
      <c r="G5" s="62"/>
      <c r="H5" s="160"/>
      <c r="I5" s="62"/>
    </row>
    <row r="6" spans="1:10" x14ac:dyDescent="0.2">
      <c r="A6" s="77"/>
      <c r="C6" s="244"/>
      <c r="F6" s="161"/>
      <c r="G6" s="62"/>
      <c r="H6" s="160"/>
      <c r="I6" s="62"/>
    </row>
    <row r="7" spans="1:10" x14ac:dyDescent="0.2">
      <c r="A7" s="77"/>
      <c r="C7" s="273" t="s">
        <v>982</v>
      </c>
      <c r="F7" s="161"/>
      <c r="G7" s="62"/>
      <c r="H7" s="158" t="s">
        <v>953</v>
      </c>
      <c r="I7" s="134">
        <f>IF(B8="Bloco concluído",1,0)</f>
        <v>0</v>
      </c>
    </row>
    <row r="8" spans="1:10" ht="27.75" x14ac:dyDescent="0.2">
      <c r="A8" s="77"/>
      <c r="B8" s="67" t="str">
        <f>IF(AND(A11="Atingiu 100% das ações fixas",A17="Atingiu 100% das ações variáveis"),"BLOCO CONCLUÍDO","")</f>
        <v/>
      </c>
      <c r="C8" s="82" t="s">
        <v>773</v>
      </c>
      <c r="F8" s="161"/>
      <c r="G8" s="62"/>
      <c r="H8" s="161"/>
    </row>
    <row r="9" spans="1:10" x14ac:dyDescent="0.2">
      <c r="A9" s="77"/>
      <c r="B9" s="22"/>
      <c r="C9" s="266"/>
      <c r="F9" s="161"/>
      <c r="G9" s="62"/>
      <c r="H9" s="161"/>
    </row>
    <row r="10" spans="1:10" x14ac:dyDescent="0.2">
      <c r="A10" s="77"/>
      <c r="C10" s="273" t="s">
        <v>984</v>
      </c>
      <c r="F10" s="161"/>
      <c r="G10" s="62"/>
      <c r="H10" s="161"/>
    </row>
    <row r="11" spans="1:10" ht="27.75" x14ac:dyDescent="0.2">
      <c r="A11" s="369" t="str">
        <f>IF(J13&gt;=2,"Atingiu 100% das ações fixas","")</f>
        <v/>
      </c>
      <c r="B11" s="39" t="str">
        <f>IF(J11&gt;0,"Item OK","")</f>
        <v/>
      </c>
      <c r="C11" s="274" t="s">
        <v>774</v>
      </c>
      <c r="D11" s="164" t="s">
        <v>972</v>
      </c>
      <c r="E11" s="187"/>
      <c r="F11" s="166" t="s">
        <v>10</v>
      </c>
      <c r="G11" s="63">
        <f>'Pistas e Trilha'!A19</f>
        <v>0</v>
      </c>
      <c r="H11" s="159"/>
      <c r="I11" s="63"/>
      <c r="J11" s="38">
        <f>IF(G11+I11&gt;=1,1,0)+E11</f>
        <v>0</v>
      </c>
    </row>
    <row r="12" spans="1:10" ht="27.75" x14ac:dyDescent="0.2">
      <c r="A12" s="369"/>
      <c r="B12" s="39" t="str">
        <f>IF(J12&gt;0,"Item OK","")</f>
        <v/>
      </c>
      <c r="C12" s="274" t="s">
        <v>775</v>
      </c>
      <c r="D12" s="164" t="s">
        <v>972</v>
      </c>
      <c r="E12" s="187"/>
      <c r="F12" s="166"/>
      <c r="G12" s="63"/>
      <c r="H12" s="159" t="s">
        <v>11</v>
      </c>
      <c r="I12" s="63">
        <f>'Rumo e Travessia'!A24</f>
        <v>0</v>
      </c>
      <c r="J12" s="38">
        <f>IF(G12+I12&gt;=1,1,0)+E12</f>
        <v>0</v>
      </c>
    </row>
    <row r="13" spans="1:10" x14ac:dyDescent="0.2">
      <c r="A13" s="77"/>
      <c r="C13" s="266"/>
      <c r="F13" s="160"/>
      <c r="G13" s="62"/>
      <c r="H13" s="161"/>
      <c r="I13" s="68" t="s">
        <v>852</v>
      </c>
      <c r="J13" s="63">
        <f>SUM(J11:J12)</f>
        <v>0</v>
      </c>
    </row>
    <row r="14" spans="1:10" x14ac:dyDescent="0.2">
      <c r="A14" s="77"/>
      <c r="C14" s="266"/>
      <c r="F14" s="161"/>
      <c r="G14" s="70"/>
      <c r="H14" s="161"/>
    </row>
    <row r="15" spans="1:10" x14ac:dyDescent="0.2">
      <c r="A15" s="77"/>
      <c r="C15" s="273" t="s">
        <v>985</v>
      </c>
      <c r="F15" s="161"/>
      <c r="G15" s="62"/>
      <c r="H15" s="161"/>
    </row>
    <row r="16" spans="1:10" ht="17.25" x14ac:dyDescent="0.2">
      <c r="A16" s="77"/>
      <c r="C16" s="275" t="s">
        <v>585</v>
      </c>
      <c r="F16" s="161"/>
      <c r="G16" s="62"/>
      <c r="H16" s="161"/>
    </row>
    <row r="17" spans="1:10" ht="45" customHeight="1" x14ac:dyDescent="0.2">
      <c r="A17" s="380" t="str">
        <f>IF(OR(H39&gt;0,H35&gt;=5),"Atingiu 100% das ações variáveis","")</f>
        <v/>
      </c>
      <c r="B17" s="39" t="str">
        <f>IF(J17&gt;0,"Item OK","")</f>
        <v/>
      </c>
      <c r="C17" s="274" t="s">
        <v>1017</v>
      </c>
      <c r="D17" s="164" t="s">
        <v>972</v>
      </c>
      <c r="E17" s="187"/>
      <c r="F17" s="166" t="s">
        <v>926</v>
      </c>
      <c r="G17" s="63">
        <f>'Especialidades ou Insígnias'!H98</f>
        <v>0</v>
      </c>
      <c r="H17" s="159"/>
      <c r="I17" s="63"/>
      <c r="J17" s="38">
        <f>IF(G17+I17&gt;=1,1,0)+E17</f>
        <v>0</v>
      </c>
    </row>
    <row r="18" spans="1:10" ht="27.75" x14ac:dyDescent="0.2">
      <c r="A18" s="381"/>
      <c r="B18" s="39" t="str">
        <f>IF(J18&gt;0,"Item OK","")</f>
        <v/>
      </c>
      <c r="C18" s="274" t="s">
        <v>1016</v>
      </c>
      <c r="D18" s="164" t="s">
        <v>972</v>
      </c>
      <c r="E18" s="187"/>
      <c r="F18" s="166" t="s">
        <v>217</v>
      </c>
      <c r="G18" s="63">
        <f>'Pistas e Trilha'!A8</f>
        <v>0</v>
      </c>
      <c r="H18" s="159" t="s">
        <v>218</v>
      </c>
      <c r="I18" s="63">
        <f>'Rumo e Travessia'!A6</f>
        <v>0</v>
      </c>
      <c r="J18" s="38">
        <f>IF(G18+I18&gt;=1,1,0)+E18</f>
        <v>0</v>
      </c>
    </row>
    <row r="19" spans="1:10" ht="27.75" x14ac:dyDescent="0.2">
      <c r="A19" s="381"/>
      <c r="B19" s="39" t="str">
        <f>IF(J19&gt;0,"Item OK","")</f>
        <v/>
      </c>
      <c r="C19" s="274" t="s">
        <v>1018</v>
      </c>
      <c r="D19" s="164" t="s">
        <v>972</v>
      </c>
      <c r="E19" s="187"/>
      <c r="F19" s="166" t="s">
        <v>926</v>
      </c>
      <c r="G19" s="63">
        <f>'Especialidades ou Insígnias'!H98</f>
        <v>0</v>
      </c>
      <c r="H19" s="159"/>
      <c r="I19" s="63"/>
      <c r="J19" s="38">
        <f>IF(G19+I19&gt;=1,1,0)+E19</f>
        <v>0</v>
      </c>
    </row>
    <row r="20" spans="1:10" ht="41.25" x14ac:dyDescent="0.2">
      <c r="A20" s="381"/>
      <c r="B20" s="39" t="str">
        <f>IF(J20&gt;0,"Item OK","")</f>
        <v/>
      </c>
      <c r="C20" s="274" t="s">
        <v>1019</v>
      </c>
      <c r="D20" s="164" t="s">
        <v>972</v>
      </c>
      <c r="E20" s="187"/>
      <c r="F20" s="167" t="s">
        <v>927</v>
      </c>
      <c r="G20" s="63">
        <f>'Especialidades ou Insígnias'!H260</f>
        <v>0</v>
      </c>
      <c r="H20" s="159"/>
      <c r="I20" s="63"/>
      <c r="J20" s="38">
        <f>IF(G20+I20&gt;=1,1,0)+E20</f>
        <v>0</v>
      </c>
    </row>
    <row r="21" spans="1:10" ht="30" customHeight="1" x14ac:dyDescent="0.2">
      <c r="A21" s="381"/>
      <c r="B21" s="386" t="str">
        <f>IF(J21&gt;0,"Item OK","")</f>
        <v/>
      </c>
      <c r="C21" s="383" t="s">
        <v>1020</v>
      </c>
      <c r="D21" s="377" t="s">
        <v>972</v>
      </c>
      <c r="E21" s="359"/>
      <c r="F21" s="166" t="s">
        <v>928</v>
      </c>
      <c r="G21" s="63">
        <f>'Pistas e Trilha'!A167</f>
        <v>0</v>
      </c>
      <c r="H21" s="159" t="s">
        <v>218</v>
      </c>
      <c r="I21" s="63">
        <f>'Rumo e Travessia'!A6</f>
        <v>0</v>
      </c>
      <c r="J21" s="38">
        <f t="shared" ref="J21:J30" si="0">IF(G21+I21&gt;=1,1,0)+E21</f>
        <v>0</v>
      </c>
    </row>
    <row r="22" spans="1:10" x14ac:dyDescent="0.2">
      <c r="A22" s="381"/>
      <c r="B22" s="387"/>
      <c r="C22" s="384"/>
      <c r="D22" s="378"/>
      <c r="E22" s="368"/>
      <c r="F22" s="166" t="s">
        <v>973</v>
      </c>
      <c r="G22" s="63">
        <f>'Pistas e Trilha'!A8</f>
        <v>0</v>
      </c>
      <c r="H22" s="159"/>
      <c r="I22" s="63"/>
      <c r="J22" s="38"/>
    </row>
    <row r="23" spans="1:10" x14ac:dyDescent="0.2">
      <c r="A23" s="381"/>
      <c r="B23" s="388"/>
      <c r="C23" s="385"/>
      <c r="D23" s="379"/>
      <c r="E23" s="360"/>
      <c r="F23" s="166"/>
      <c r="G23" s="63"/>
      <c r="H23" s="159"/>
      <c r="I23" s="68" t="s">
        <v>852</v>
      </c>
      <c r="J23" s="38">
        <f>IF(G21+G22+I21+I22&gt;=2,1,0)+E21</f>
        <v>0</v>
      </c>
    </row>
    <row r="24" spans="1:10" ht="41.25" x14ac:dyDescent="0.2">
      <c r="A24" s="381"/>
      <c r="B24" s="39" t="str">
        <f t="shared" ref="B24:B30" si="1">IF(J24&gt;0,"Item OK","")</f>
        <v/>
      </c>
      <c r="C24" s="274" t="s">
        <v>1021</v>
      </c>
      <c r="D24" s="164" t="s">
        <v>972</v>
      </c>
      <c r="E24" s="187"/>
      <c r="F24" s="167" t="s">
        <v>929</v>
      </c>
      <c r="G24" s="63">
        <f>'Especialidades ou Insígnias'!H61</f>
        <v>0</v>
      </c>
      <c r="H24" s="159"/>
      <c r="I24" s="63"/>
      <c r="J24" s="38">
        <f t="shared" si="0"/>
        <v>0</v>
      </c>
    </row>
    <row r="25" spans="1:10" ht="27.75" x14ac:dyDescent="0.2">
      <c r="A25" s="381"/>
      <c r="B25" s="39" t="str">
        <f t="shared" si="1"/>
        <v/>
      </c>
      <c r="C25" s="274" t="s">
        <v>1022</v>
      </c>
      <c r="D25" s="164" t="s">
        <v>972</v>
      </c>
      <c r="E25" s="187"/>
      <c r="F25" s="166"/>
      <c r="G25" s="63"/>
      <c r="H25" s="159"/>
      <c r="I25" s="63"/>
      <c r="J25" s="38">
        <f t="shared" si="0"/>
        <v>0</v>
      </c>
    </row>
    <row r="26" spans="1:10" x14ac:dyDescent="0.2">
      <c r="A26" s="381"/>
      <c r="B26" s="39" t="str">
        <f t="shared" si="1"/>
        <v/>
      </c>
      <c r="C26" s="274" t="s">
        <v>1023</v>
      </c>
      <c r="D26" s="164" t="s">
        <v>972</v>
      </c>
      <c r="E26" s="187"/>
      <c r="F26" s="166"/>
      <c r="G26" s="63"/>
      <c r="H26" s="159"/>
      <c r="I26" s="63"/>
      <c r="J26" s="38">
        <f t="shared" si="0"/>
        <v>0</v>
      </c>
    </row>
    <row r="27" spans="1:10" ht="27.75" x14ac:dyDescent="0.2">
      <c r="A27" s="381"/>
      <c r="B27" s="39" t="str">
        <f t="shared" si="1"/>
        <v/>
      </c>
      <c r="C27" s="274" t="s">
        <v>1024</v>
      </c>
      <c r="D27" s="164" t="s">
        <v>972</v>
      </c>
      <c r="E27" s="187"/>
      <c r="F27" s="166"/>
      <c r="G27" s="63"/>
      <c r="H27" s="159"/>
      <c r="I27" s="63"/>
      <c r="J27" s="38">
        <f t="shared" si="0"/>
        <v>0</v>
      </c>
    </row>
    <row r="28" spans="1:10" ht="27.75" x14ac:dyDescent="0.2">
      <c r="A28" s="381"/>
      <c r="B28" s="39" t="str">
        <f t="shared" si="1"/>
        <v/>
      </c>
      <c r="C28" s="274" t="s">
        <v>1025</v>
      </c>
      <c r="D28" s="164" t="s">
        <v>972</v>
      </c>
      <c r="E28" s="187"/>
      <c r="F28" s="166"/>
      <c r="G28" s="63"/>
      <c r="H28" s="159"/>
      <c r="I28" s="63"/>
      <c r="J28" s="38">
        <f t="shared" si="0"/>
        <v>0</v>
      </c>
    </row>
    <row r="29" spans="1:10" ht="27.75" x14ac:dyDescent="0.2">
      <c r="A29" s="381"/>
      <c r="B29" s="39" t="str">
        <f t="shared" si="1"/>
        <v/>
      </c>
      <c r="C29" s="274" t="s">
        <v>1026</v>
      </c>
      <c r="D29" s="164" t="s">
        <v>972</v>
      </c>
      <c r="E29" s="187"/>
      <c r="F29" s="166"/>
      <c r="G29" s="63"/>
      <c r="H29" s="159"/>
      <c r="I29" s="63"/>
      <c r="J29" s="38">
        <f t="shared" si="0"/>
        <v>0</v>
      </c>
    </row>
    <row r="30" spans="1:10" x14ac:dyDescent="0.2">
      <c r="A30" s="381"/>
      <c r="B30" s="39" t="str">
        <f t="shared" si="1"/>
        <v/>
      </c>
      <c r="C30" s="274" t="s">
        <v>1027</v>
      </c>
      <c r="D30" s="164" t="s">
        <v>972</v>
      </c>
      <c r="E30" s="187"/>
      <c r="F30" s="166"/>
      <c r="G30" s="63"/>
      <c r="H30" s="159"/>
      <c r="I30" s="63"/>
      <c r="J30" s="38">
        <f t="shared" si="0"/>
        <v>0</v>
      </c>
    </row>
    <row r="31" spans="1:10" x14ac:dyDescent="0.2">
      <c r="A31" s="381"/>
      <c r="C31" s="273" t="s">
        <v>981</v>
      </c>
      <c r="G31" s="243"/>
      <c r="H31" s="276"/>
    </row>
    <row r="32" spans="1:10" x14ac:dyDescent="0.2">
      <c r="A32" s="381"/>
      <c r="B32" s="39" t="str">
        <f>IF(H32&gt;0,"Item OK","")</f>
        <v/>
      </c>
      <c r="C32" s="82" t="s">
        <v>270</v>
      </c>
      <c r="F32" s="161"/>
      <c r="G32" s="62"/>
      <c r="H32" s="277">
        <f>'Especialidades ou Insígnias'!H11</f>
        <v>0</v>
      </c>
    </row>
    <row r="33" spans="1:9" x14ac:dyDescent="0.2">
      <c r="A33" s="381"/>
      <c r="B33" s="39" t="str">
        <f t="shared" ref="B33:B34" si="2">IF(H33&gt;0,"Item OK","")</f>
        <v/>
      </c>
      <c r="C33" s="82" t="s">
        <v>277</v>
      </c>
      <c r="F33" s="161"/>
      <c r="G33" s="62"/>
      <c r="H33" s="278">
        <f>'Especialidades ou Insígnias'!H19</f>
        <v>0</v>
      </c>
    </row>
    <row r="34" spans="1:9" x14ac:dyDescent="0.2">
      <c r="A34" s="382"/>
      <c r="B34" s="39" t="str">
        <f t="shared" si="2"/>
        <v/>
      </c>
      <c r="C34" s="82" t="s">
        <v>349</v>
      </c>
      <c r="F34" s="161"/>
      <c r="G34" s="62"/>
      <c r="H34" s="278">
        <f>'Especialidades ou Insígnias'!H98</f>
        <v>0</v>
      </c>
    </row>
    <row r="35" spans="1:9" hidden="1" x14ac:dyDescent="0.2">
      <c r="A35" s="81"/>
      <c r="B35" s="41"/>
      <c r="C35" s="300"/>
      <c r="D35" s="40"/>
      <c r="E35" s="62"/>
      <c r="F35" s="161"/>
      <c r="G35" s="62" t="s">
        <v>852</v>
      </c>
      <c r="H35" s="301">
        <f>SUM(J17:J30)-J21-J22+H32+H33+H34</f>
        <v>0</v>
      </c>
    </row>
    <row r="36" spans="1:9" ht="27.75" x14ac:dyDescent="0.2">
      <c r="A36" s="77"/>
      <c r="C36" s="273" t="s">
        <v>1036</v>
      </c>
      <c r="F36" s="161"/>
      <c r="G36" s="62"/>
      <c r="H36" s="161"/>
    </row>
    <row r="37" spans="1:9" x14ac:dyDescent="0.2">
      <c r="A37" s="77"/>
      <c r="B37" s="39" t="str">
        <f>IF(H37&gt;0,"Item OK","")</f>
        <v/>
      </c>
      <c r="C37" s="82" t="s">
        <v>396</v>
      </c>
      <c r="F37" s="161"/>
      <c r="G37" s="62"/>
      <c r="H37" s="278">
        <f>'Especialidades ou Insígnias'!H149</f>
        <v>0</v>
      </c>
    </row>
    <row r="38" spans="1:9" ht="15.75" thickBot="1" x14ac:dyDescent="0.25">
      <c r="A38" s="78"/>
      <c r="B38" s="79" t="str">
        <f>IF(H38&gt;0,"Item OK","")</f>
        <v/>
      </c>
      <c r="C38" s="279" t="s">
        <v>949</v>
      </c>
      <c r="F38" s="161"/>
      <c r="G38" s="62"/>
      <c r="H38" s="301">
        <f>'Especialidades ou Insígnias'!B163</f>
        <v>0</v>
      </c>
    </row>
    <row r="39" spans="1:9" ht="15" hidden="1" customHeight="1" x14ac:dyDescent="0.2">
      <c r="B39" s="41"/>
      <c r="C39" s="280"/>
      <c r="D39" s="40"/>
      <c r="E39" s="62"/>
      <c r="F39" s="161"/>
      <c r="G39" s="62" t="s">
        <v>852</v>
      </c>
      <c r="H39" s="301">
        <f>SUM(H37:H38)</f>
        <v>0</v>
      </c>
    </row>
    <row r="40" spans="1:9" ht="15.75" thickBot="1" x14ac:dyDescent="0.25">
      <c r="F40" s="161"/>
      <c r="G40" s="62"/>
      <c r="H40" s="161"/>
    </row>
    <row r="41" spans="1:9" x14ac:dyDescent="0.2">
      <c r="A41" s="76"/>
      <c r="B41" s="83"/>
      <c r="C41" s="272" t="s">
        <v>802</v>
      </c>
      <c r="F41" s="161"/>
      <c r="G41" s="62"/>
      <c r="H41" s="161"/>
    </row>
    <row r="42" spans="1:9" x14ac:dyDescent="0.2">
      <c r="A42" s="77"/>
      <c r="C42" s="312" t="s">
        <v>1089</v>
      </c>
      <c r="F42" s="161"/>
      <c r="G42" s="62"/>
      <c r="H42" s="161"/>
    </row>
    <row r="43" spans="1:9" ht="45.75" x14ac:dyDescent="0.2">
      <c r="A43" s="77"/>
      <c r="C43" s="312" t="s">
        <v>1094</v>
      </c>
      <c r="F43" s="161"/>
      <c r="G43" s="62"/>
      <c r="H43" s="161"/>
    </row>
    <row r="44" spans="1:9" x14ac:dyDescent="0.2">
      <c r="A44" s="77"/>
      <c r="C44" s="244"/>
      <c r="F44" s="161"/>
      <c r="G44" s="62"/>
      <c r="H44" s="161"/>
    </row>
    <row r="45" spans="1:9" x14ac:dyDescent="0.2">
      <c r="A45" s="77"/>
      <c r="C45" s="273" t="s">
        <v>982</v>
      </c>
      <c r="F45" s="161"/>
      <c r="G45" s="62"/>
      <c r="H45" s="282" t="s">
        <v>953</v>
      </c>
      <c r="I45" s="283">
        <f>IF(B46="Bloco concluído",1,0)</f>
        <v>0</v>
      </c>
    </row>
    <row r="46" spans="1:9" ht="27.75" x14ac:dyDescent="0.2">
      <c r="A46" s="77"/>
      <c r="B46" s="67" t="str">
        <f>IF(A50="Atingiu 100% das ações variáveis","BLOCO CONCLUÍDO","")</f>
        <v/>
      </c>
      <c r="C46" s="82" t="s">
        <v>1028</v>
      </c>
      <c r="F46" s="161"/>
      <c r="G46" s="62"/>
      <c r="H46" s="161"/>
    </row>
    <row r="47" spans="1:9" x14ac:dyDescent="0.2">
      <c r="A47" s="77"/>
      <c r="C47" s="266"/>
      <c r="F47" s="161"/>
      <c r="G47" s="62"/>
      <c r="H47" s="161"/>
    </row>
    <row r="48" spans="1:9" x14ac:dyDescent="0.2">
      <c r="A48" s="77"/>
      <c r="C48" s="273" t="s">
        <v>985</v>
      </c>
      <c r="F48" s="161"/>
      <c r="G48" s="62"/>
      <c r="H48" s="161"/>
    </row>
    <row r="49" spans="1:10" ht="17.25" x14ac:dyDescent="0.2">
      <c r="A49" s="77"/>
      <c r="C49" s="275" t="s">
        <v>585</v>
      </c>
      <c r="F49" s="161"/>
      <c r="G49" s="62"/>
      <c r="H49" s="161"/>
    </row>
    <row r="50" spans="1:10" ht="41.25" x14ac:dyDescent="0.2">
      <c r="A50" s="370" t="str">
        <f>IF(OR(H65&gt;0,H62&gt;=3),"Atingiu 100% das ações variáveis","")</f>
        <v/>
      </c>
      <c r="B50" s="39" t="str">
        <f t="shared" ref="B50:B57" si="3">IF(J50&gt;0,"Item OK","")</f>
        <v/>
      </c>
      <c r="C50" s="82" t="s">
        <v>1029</v>
      </c>
      <c r="D50" s="164" t="s">
        <v>972</v>
      </c>
      <c r="E50" s="187"/>
      <c r="F50" s="167" t="s">
        <v>930</v>
      </c>
      <c r="G50" s="63">
        <f>'Especialidades ou Insígnias'!H197</f>
        <v>0</v>
      </c>
      <c r="H50" s="159"/>
      <c r="I50" s="63"/>
      <c r="J50" s="38">
        <f>IF(G50+I50&gt;=1,1,0)+E50</f>
        <v>0</v>
      </c>
    </row>
    <row r="51" spans="1:10" ht="27.75" x14ac:dyDescent="0.2">
      <c r="A51" s="370"/>
      <c r="B51" s="39" t="str">
        <f t="shared" si="3"/>
        <v/>
      </c>
      <c r="C51" s="82" t="s">
        <v>1030</v>
      </c>
      <c r="D51" s="164" t="s">
        <v>972</v>
      </c>
      <c r="E51" s="187"/>
      <c r="F51" s="166"/>
      <c r="G51" s="63"/>
      <c r="H51" s="159" t="s">
        <v>12</v>
      </c>
      <c r="I51" s="63">
        <f>'Rumo e Travessia'!A67</f>
        <v>0</v>
      </c>
      <c r="J51" s="38">
        <f>IF(G51+I51&gt;=1,1,0)+E51</f>
        <v>0</v>
      </c>
    </row>
    <row r="52" spans="1:10" ht="27.75" x14ac:dyDescent="0.2">
      <c r="A52" s="370"/>
      <c r="B52" s="39" t="str">
        <f t="shared" si="3"/>
        <v/>
      </c>
      <c r="C52" s="82" t="s">
        <v>1031</v>
      </c>
      <c r="D52" s="164" t="s">
        <v>972</v>
      </c>
      <c r="E52" s="187"/>
      <c r="F52" s="166" t="s">
        <v>13</v>
      </c>
      <c r="G52" s="63">
        <f>'Pistas e Trilha'!A169</f>
        <v>0</v>
      </c>
      <c r="H52" s="159"/>
      <c r="I52" s="63"/>
      <c r="J52" s="38">
        <f>IF(G52+I52&gt;=1,1,0)+E52</f>
        <v>0</v>
      </c>
    </row>
    <row r="53" spans="1:10" ht="27.75" x14ac:dyDescent="0.2">
      <c r="A53" s="370"/>
      <c r="B53" s="39" t="str">
        <f t="shared" si="3"/>
        <v/>
      </c>
      <c r="C53" s="82" t="s">
        <v>1032</v>
      </c>
      <c r="D53" s="164" t="s">
        <v>972</v>
      </c>
      <c r="E53" s="187"/>
      <c r="F53" s="166"/>
      <c r="G53" s="63"/>
      <c r="H53" s="159" t="s">
        <v>14</v>
      </c>
      <c r="I53" s="63">
        <f>'Rumo e Travessia'!A175</f>
        <v>0</v>
      </c>
      <c r="J53" s="38">
        <f t="shared" ref="J53:J57" si="4">IF(G53+I53&gt;=1,1,0)+E53</f>
        <v>0</v>
      </c>
    </row>
    <row r="54" spans="1:10" ht="27.75" x14ac:dyDescent="0.2">
      <c r="A54" s="370"/>
      <c r="B54" s="39" t="str">
        <f t="shared" si="3"/>
        <v/>
      </c>
      <c r="C54" s="82" t="s">
        <v>1033</v>
      </c>
      <c r="D54" s="164" t="s">
        <v>972</v>
      </c>
      <c r="E54" s="187"/>
      <c r="F54" s="166"/>
      <c r="G54" s="63"/>
      <c r="H54" s="159"/>
      <c r="I54" s="63"/>
      <c r="J54" s="38">
        <f t="shared" si="4"/>
        <v>0</v>
      </c>
    </row>
    <row r="55" spans="1:10" ht="41.25" x14ac:dyDescent="0.2">
      <c r="A55" s="370"/>
      <c r="B55" s="39" t="str">
        <f t="shared" si="3"/>
        <v/>
      </c>
      <c r="C55" s="82" t="s">
        <v>1034</v>
      </c>
      <c r="D55" s="164" t="s">
        <v>972</v>
      </c>
      <c r="E55" s="187"/>
      <c r="F55" s="166"/>
      <c r="G55" s="63"/>
      <c r="H55" s="159" t="s">
        <v>1112</v>
      </c>
      <c r="I55" s="63">
        <f>'Rumo e Travessia'!A176</f>
        <v>0</v>
      </c>
      <c r="J55" s="38">
        <f t="shared" si="4"/>
        <v>0</v>
      </c>
    </row>
    <row r="56" spans="1:10" ht="27.75" x14ac:dyDescent="0.2">
      <c r="A56" s="370"/>
      <c r="B56" s="39" t="str">
        <f t="shared" si="3"/>
        <v/>
      </c>
      <c r="C56" s="82" t="s">
        <v>1035</v>
      </c>
      <c r="D56" s="164" t="s">
        <v>972</v>
      </c>
      <c r="E56" s="187"/>
      <c r="F56" s="166" t="s">
        <v>15</v>
      </c>
      <c r="G56" s="63">
        <f>'Pistas e Trilha'!A166</f>
        <v>0</v>
      </c>
      <c r="H56" s="159"/>
      <c r="I56" s="63"/>
      <c r="J56" s="38">
        <f t="shared" si="4"/>
        <v>0</v>
      </c>
    </row>
    <row r="57" spans="1:10" ht="27.75" x14ac:dyDescent="0.2">
      <c r="A57" s="370"/>
      <c r="B57" s="39" t="str">
        <f t="shared" si="3"/>
        <v/>
      </c>
      <c r="C57" s="82" t="s">
        <v>776</v>
      </c>
      <c r="D57" s="164" t="s">
        <v>972</v>
      </c>
      <c r="E57" s="187"/>
      <c r="F57" s="166"/>
      <c r="G57" s="63"/>
      <c r="H57" s="159"/>
      <c r="I57" s="63"/>
      <c r="J57" s="38">
        <f t="shared" si="4"/>
        <v>0</v>
      </c>
    </row>
    <row r="58" spans="1:10" x14ac:dyDescent="0.2">
      <c r="A58" s="284"/>
      <c r="C58" s="273" t="s">
        <v>981</v>
      </c>
      <c r="F58" s="161"/>
      <c r="G58" s="62"/>
      <c r="H58" s="161"/>
    </row>
    <row r="59" spans="1:10" x14ac:dyDescent="0.2">
      <c r="A59" s="284"/>
      <c r="B59" s="39" t="str">
        <f>IF(H59&gt;0,"Item OK","")</f>
        <v/>
      </c>
      <c r="C59" s="82" t="s">
        <v>270</v>
      </c>
      <c r="F59" s="161"/>
      <c r="G59" s="62"/>
      <c r="H59" s="278">
        <f>'Especialidades ou Insígnias'!H11</f>
        <v>0</v>
      </c>
      <c r="J59" s="2"/>
    </row>
    <row r="60" spans="1:10" x14ac:dyDescent="0.2">
      <c r="A60" s="284"/>
      <c r="B60" s="39" t="str">
        <f t="shared" ref="B60:B61" si="5">IF(H60&gt;0,"Item OK","")</f>
        <v/>
      </c>
      <c r="C60" s="82" t="s">
        <v>349</v>
      </c>
      <c r="F60" s="161"/>
      <c r="G60" s="62"/>
      <c r="H60" s="278">
        <f>'Especialidades ou Insígnias'!H98</f>
        <v>0</v>
      </c>
    </row>
    <row r="61" spans="1:10" x14ac:dyDescent="0.2">
      <c r="A61" s="284"/>
      <c r="B61" s="39" t="str">
        <f t="shared" si="5"/>
        <v/>
      </c>
      <c r="C61" s="82" t="s">
        <v>777</v>
      </c>
      <c r="F61" s="161"/>
      <c r="G61" s="62"/>
      <c r="H61" s="285">
        <f>'Especialidades ou Insígnias'!H169</f>
        <v>0</v>
      </c>
    </row>
    <row r="62" spans="1:10" ht="27.75" x14ac:dyDescent="0.2">
      <c r="A62" s="286"/>
      <c r="B62" s="1"/>
      <c r="C62" s="273" t="s">
        <v>1036</v>
      </c>
      <c r="F62" s="161"/>
      <c r="G62" s="68" t="s">
        <v>852</v>
      </c>
      <c r="H62" s="162">
        <f>SUM(J50:J57)+H59+H60+H61</f>
        <v>0</v>
      </c>
      <c r="J62" s="2"/>
    </row>
    <row r="63" spans="1:10" x14ac:dyDescent="0.2">
      <c r="A63" s="284"/>
      <c r="B63" s="39" t="str">
        <f>IF(H63&gt;0,"Item OK","")</f>
        <v/>
      </c>
      <c r="C63" s="82" t="s">
        <v>553</v>
      </c>
      <c r="F63" s="161"/>
      <c r="G63" s="62"/>
      <c r="H63" s="277">
        <f>'Especialidades ou Insígnias'!H197</f>
        <v>0</v>
      </c>
    </row>
    <row r="64" spans="1:10" ht="15.75" thickBot="1" x14ac:dyDescent="0.25">
      <c r="A64" s="287"/>
      <c r="B64" s="79" t="str">
        <f>IF(H64&gt;0,"Item OK","")</f>
        <v/>
      </c>
      <c r="C64" s="279" t="s">
        <v>355</v>
      </c>
      <c r="F64" s="161"/>
      <c r="G64" s="62"/>
      <c r="H64" s="288">
        <f>'Especialidades ou Insígnias'!B162</f>
        <v>0</v>
      </c>
    </row>
    <row r="65" spans="1:10" hidden="1" x14ac:dyDescent="0.2">
      <c r="A65" s="41"/>
      <c r="B65" s="41"/>
      <c r="C65" s="280"/>
      <c r="D65" s="40"/>
      <c r="E65" s="62"/>
      <c r="F65" s="161"/>
      <c r="G65" s="68" t="s">
        <v>852</v>
      </c>
      <c r="H65" s="162">
        <f>SUM(H63:H64)</f>
        <v>0</v>
      </c>
    </row>
    <row r="66" spans="1:10" ht="15.75" thickBot="1" x14ac:dyDescent="0.25">
      <c r="F66" s="161"/>
      <c r="G66" s="62"/>
      <c r="H66" s="161"/>
    </row>
    <row r="67" spans="1:10" x14ac:dyDescent="0.2">
      <c r="A67" s="76"/>
      <c r="B67" s="83"/>
      <c r="C67" s="272" t="s">
        <v>1039</v>
      </c>
      <c r="F67" s="161"/>
      <c r="G67" s="62"/>
      <c r="H67" s="161"/>
    </row>
    <row r="68" spans="1:10" x14ac:dyDescent="0.2">
      <c r="A68" s="77"/>
      <c r="C68" s="312" t="s">
        <v>1089</v>
      </c>
      <c r="F68" s="161"/>
      <c r="G68" s="62"/>
      <c r="H68" s="161"/>
    </row>
    <row r="69" spans="1:10" ht="23.25" x14ac:dyDescent="0.2">
      <c r="A69" s="77"/>
      <c r="C69" s="312" t="s">
        <v>1095</v>
      </c>
      <c r="F69" s="161"/>
      <c r="G69" s="62"/>
      <c r="H69" s="161"/>
    </row>
    <row r="70" spans="1:10" x14ac:dyDescent="0.2">
      <c r="A70" s="77"/>
      <c r="C70" s="266"/>
      <c r="F70" s="161"/>
      <c r="G70" s="62"/>
      <c r="H70" s="161"/>
    </row>
    <row r="71" spans="1:10" x14ac:dyDescent="0.2">
      <c r="A71" s="77"/>
      <c r="C71" s="273" t="s">
        <v>982</v>
      </c>
      <c r="F71" s="161"/>
      <c r="G71" s="62"/>
      <c r="H71" s="282" t="s">
        <v>953</v>
      </c>
      <c r="I71" s="283">
        <f>IF(B72="Bloco concluído",1,0)</f>
        <v>0</v>
      </c>
    </row>
    <row r="72" spans="1:10" ht="27.75" x14ac:dyDescent="0.2">
      <c r="A72" s="77"/>
      <c r="B72" s="67" t="str">
        <f>IF(AND(A76="Atingiu 100% das ações fixas",A80="Atingiu 100% das ações variáveis"),"BLOCO CONCLUÍDO","")</f>
        <v/>
      </c>
      <c r="C72" s="82" t="s">
        <v>1040</v>
      </c>
      <c r="F72" s="161"/>
      <c r="G72" s="62"/>
      <c r="H72" s="161"/>
    </row>
    <row r="73" spans="1:10" x14ac:dyDescent="0.2">
      <c r="A73" s="77"/>
      <c r="B73" s="22"/>
      <c r="C73" s="266"/>
      <c r="F73" s="161"/>
      <c r="G73" s="62"/>
      <c r="H73" s="161"/>
    </row>
    <row r="74" spans="1:10" x14ac:dyDescent="0.2">
      <c r="A74" s="77"/>
      <c r="C74" s="266"/>
      <c r="F74" s="161"/>
      <c r="G74" s="62"/>
      <c r="H74" s="161"/>
    </row>
    <row r="75" spans="1:10" x14ac:dyDescent="0.2">
      <c r="A75" s="77"/>
      <c r="C75" s="273" t="s">
        <v>1037</v>
      </c>
      <c r="F75" s="161"/>
      <c r="G75" s="62"/>
      <c r="H75" s="161"/>
    </row>
    <row r="76" spans="1:10" ht="41.25" x14ac:dyDescent="0.2">
      <c r="A76" s="131" t="str">
        <f>IF(J76&gt;=1,"Atingiu 100% das ações fixas","")</f>
        <v/>
      </c>
      <c r="B76" s="39" t="str">
        <f>IF(J76&gt;0,"Item OK","")</f>
        <v/>
      </c>
      <c r="C76" s="82" t="s">
        <v>778</v>
      </c>
      <c r="D76" s="164" t="s">
        <v>972</v>
      </c>
      <c r="E76" s="187"/>
      <c r="F76" s="166" t="s">
        <v>1113</v>
      </c>
      <c r="G76" s="63">
        <f>'Pistas e Trilha'!A166</f>
        <v>0</v>
      </c>
      <c r="H76" s="159"/>
      <c r="I76" s="63"/>
      <c r="J76" s="38">
        <f>IF(G76+I76&gt;=1,1,0)+E76</f>
        <v>0</v>
      </c>
    </row>
    <row r="77" spans="1:10" x14ac:dyDescent="0.2">
      <c r="A77" s="77"/>
      <c r="C77" s="266"/>
      <c r="F77" s="161"/>
      <c r="G77" s="62"/>
      <c r="H77" s="161"/>
    </row>
    <row r="78" spans="1:10" x14ac:dyDescent="0.2">
      <c r="A78" s="77"/>
      <c r="C78" s="273" t="s">
        <v>1038</v>
      </c>
      <c r="F78" s="161"/>
      <c r="G78" s="62"/>
      <c r="H78" s="161"/>
    </row>
    <row r="79" spans="1:10" ht="17.25" x14ac:dyDescent="0.2">
      <c r="A79" s="77"/>
      <c r="C79" s="290" t="s">
        <v>585</v>
      </c>
      <c r="F79" s="161"/>
      <c r="G79" s="62"/>
      <c r="H79" s="161"/>
    </row>
    <row r="80" spans="1:10" ht="27.75" x14ac:dyDescent="0.2">
      <c r="A80" s="391" t="str">
        <f>IF(OR(H105&gt;0,H99&gt;=5),"Atingiu 100% das ações variáveis","")</f>
        <v/>
      </c>
      <c r="B80" s="39" t="str">
        <f t="shared" ref="B80:B89" si="6">IF(J80&gt;0,"Item OK","")</f>
        <v/>
      </c>
      <c r="C80" s="82" t="s">
        <v>779</v>
      </c>
      <c r="D80" s="164" t="s">
        <v>972</v>
      </c>
      <c r="E80" s="187"/>
      <c r="F80" s="166"/>
      <c r="G80" s="63"/>
      <c r="H80" s="159" t="s">
        <v>16</v>
      </c>
      <c r="I80" s="63">
        <f>'Rumo e Travessia'!A11</f>
        <v>0</v>
      </c>
      <c r="J80" s="38">
        <f>IF(G80+I80&gt;=1,1,0)+E80</f>
        <v>0</v>
      </c>
    </row>
    <row r="81" spans="1:10" x14ac:dyDescent="0.2">
      <c r="A81" s="392"/>
      <c r="B81" s="39" t="str">
        <f t="shared" si="6"/>
        <v/>
      </c>
      <c r="C81" s="82" t="s">
        <v>780</v>
      </c>
      <c r="D81" s="164" t="s">
        <v>972</v>
      </c>
      <c r="E81" s="187"/>
      <c r="F81" s="291"/>
      <c r="G81" s="292"/>
      <c r="H81" s="293" t="s">
        <v>17</v>
      </c>
      <c r="I81" s="292">
        <f>'Rumo e Travessia'!A174</f>
        <v>0</v>
      </c>
      <c r="J81" s="38">
        <f>IF(G81+I81&gt;=1,1,0)+E81</f>
        <v>0</v>
      </c>
    </row>
    <row r="82" spans="1:10" x14ac:dyDescent="0.2">
      <c r="A82" s="392"/>
      <c r="B82" s="39" t="str">
        <f t="shared" si="6"/>
        <v/>
      </c>
      <c r="C82" s="82" t="s">
        <v>781</v>
      </c>
      <c r="D82" s="164" t="s">
        <v>972</v>
      </c>
      <c r="E82" s="187"/>
      <c r="F82" s="166" t="s">
        <v>1114</v>
      </c>
      <c r="G82" s="63">
        <f>'Pistas e Trilha'!A169</f>
        <v>0</v>
      </c>
      <c r="H82" s="159" t="s">
        <v>1112</v>
      </c>
      <c r="I82" s="63">
        <f>'Rumo e Travessia'!A176</f>
        <v>0</v>
      </c>
      <c r="J82" s="38">
        <f>IF(G82+I82&gt;=1,1,0)+E82</f>
        <v>0</v>
      </c>
    </row>
    <row r="83" spans="1:10" ht="27.75" x14ac:dyDescent="0.2">
      <c r="A83" s="392"/>
      <c r="B83" s="39" t="str">
        <f t="shared" si="6"/>
        <v/>
      </c>
      <c r="C83" s="82" t="s">
        <v>782</v>
      </c>
      <c r="D83" s="164" t="s">
        <v>972</v>
      </c>
      <c r="E83" s="187"/>
      <c r="F83" s="166"/>
      <c r="G83" s="63"/>
      <c r="H83" s="159" t="s">
        <v>18</v>
      </c>
      <c r="I83" s="63">
        <f>'Rumo e Travessia'!A177</f>
        <v>0</v>
      </c>
      <c r="J83" s="38">
        <f t="shared" ref="J83:J89" si="7">IF(G83+I83&gt;=1,1,0)+E83</f>
        <v>0</v>
      </c>
    </row>
    <row r="84" spans="1:10" ht="27.75" x14ac:dyDescent="0.2">
      <c r="A84" s="392"/>
      <c r="B84" s="39" t="str">
        <f t="shared" si="6"/>
        <v/>
      </c>
      <c r="C84" s="82" t="s">
        <v>1042</v>
      </c>
      <c r="D84" s="164" t="s">
        <v>972</v>
      </c>
      <c r="E84" s="187"/>
      <c r="F84" s="166"/>
      <c r="G84" s="63"/>
      <c r="H84" s="159"/>
      <c r="I84" s="63"/>
      <c r="J84" s="38">
        <f t="shared" si="7"/>
        <v>0</v>
      </c>
    </row>
    <row r="85" spans="1:10" ht="27.75" x14ac:dyDescent="0.2">
      <c r="A85" s="392"/>
      <c r="B85" s="39" t="str">
        <f t="shared" si="6"/>
        <v/>
      </c>
      <c r="C85" s="82" t="s">
        <v>1041</v>
      </c>
      <c r="D85" s="164" t="s">
        <v>972</v>
      </c>
      <c r="E85" s="187"/>
      <c r="F85" s="166"/>
      <c r="G85" s="63"/>
      <c r="H85" s="159"/>
      <c r="I85" s="63"/>
      <c r="J85" s="38">
        <f t="shared" si="7"/>
        <v>0</v>
      </c>
    </row>
    <row r="86" spans="1:10" ht="27.75" x14ac:dyDescent="0.2">
      <c r="A86" s="392"/>
      <c r="B86" s="39" t="str">
        <f t="shared" si="6"/>
        <v/>
      </c>
      <c r="C86" s="82" t="s">
        <v>783</v>
      </c>
      <c r="D86" s="164" t="s">
        <v>972</v>
      </c>
      <c r="E86" s="187"/>
      <c r="F86" s="166"/>
      <c r="G86" s="63"/>
      <c r="H86" s="159"/>
      <c r="I86" s="63"/>
      <c r="J86" s="38">
        <f t="shared" si="7"/>
        <v>0</v>
      </c>
    </row>
    <row r="87" spans="1:10" ht="27.75" x14ac:dyDescent="0.2">
      <c r="A87" s="392"/>
      <c r="B87" s="39" t="str">
        <f t="shared" si="6"/>
        <v/>
      </c>
      <c r="C87" s="82" t="s">
        <v>784</v>
      </c>
      <c r="D87" s="164" t="s">
        <v>972</v>
      </c>
      <c r="E87" s="187"/>
      <c r="F87" s="166"/>
      <c r="G87" s="63"/>
      <c r="H87" s="159" t="s">
        <v>1115</v>
      </c>
      <c r="I87" s="63">
        <f>'Rumo e Travessia'!A175</f>
        <v>0</v>
      </c>
      <c r="J87" s="38">
        <f t="shared" si="7"/>
        <v>0</v>
      </c>
    </row>
    <row r="88" spans="1:10" ht="27.75" x14ac:dyDescent="0.2">
      <c r="A88" s="392"/>
      <c r="B88" s="39" t="str">
        <f t="shared" si="6"/>
        <v/>
      </c>
      <c r="C88" s="82" t="s">
        <v>785</v>
      </c>
      <c r="D88" s="164" t="s">
        <v>972</v>
      </c>
      <c r="E88" s="187"/>
      <c r="F88" s="166"/>
      <c r="G88" s="63"/>
      <c r="H88" s="159"/>
      <c r="I88" s="63"/>
      <c r="J88" s="38">
        <f t="shared" si="7"/>
        <v>0</v>
      </c>
    </row>
    <row r="89" spans="1:10" ht="27.75" x14ac:dyDescent="0.2">
      <c r="A89" s="393"/>
      <c r="B89" s="39" t="str">
        <f t="shared" si="6"/>
        <v/>
      </c>
      <c r="C89" s="82" t="s">
        <v>786</v>
      </c>
      <c r="D89" s="164" t="s">
        <v>972</v>
      </c>
      <c r="E89" s="187"/>
      <c r="F89" s="166"/>
      <c r="G89" s="63"/>
      <c r="H89" s="159"/>
      <c r="I89" s="63"/>
      <c r="J89" s="38">
        <f t="shared" si="7"/>
        <v>0</v>
      </c>
    </row>
    <row r="90" spans="1:10" x14ac:dyDescent="0.2">
      <c r="A90" s="77"/>
      <c r="C90" s="273" t="s">
        <v>981</v>
      </c>
      <c r="F90" s="161"/>
      <c r="G90" s="62"/>
      <c r="H90" s="161"/>
    </row>
    <row r="91" spans="1:10" x14ac:dyDescent="0.2">
      <c r="A91" s="77"/>
      <c r="B91" s="39" t="str">
        <f>IF(H91&gt;0,"Item OK","")</f>
        <v/>
      </c>
      <c r="C91" s="82" t="s">
        <v>1043</v>
      </c>
      <c r="F91" s="161"/>
      <c r="G91" s="62"/>
      <c r="H91" s="278">
        <f>'Especialidades ou Insígnias'!H16</f>
        <v>0</v>
      </c>
    </row>
    <row r="92" spans="1:10" x14ac:dyDescent="0.2">
      <c r="A92" s="77"/>
      <c r="B92" s="39" t="str">
        <f t="shared" ref="B92:B98" si="8">IF(H92&gt;0,"Item OK","")</f>
        <v/>
      </c>
      <c r="C92" s="82" t="s">
        <v>554</v>
      </c>
      <c r="F92" s="161"/>
      <c r="G92" s="62"/>
      <c r="H92" s="278">
        <f>'Especialidades ou Insígnias'!H18</f>
        <v>0</v>
      </c>
    </row>
    <row r="93" spans="1:10" x14ac:dyDescent="0.2">
      <c r="A93" s="77"/>
      <c r="B93" s="39" t="str">
        <f t="shared" si="8"/>
        <v/>
      </c>
      <c r="C93" s="82" t="s">
        <v>296</v>
      </c>
      <c r="F93" s="161"/>
      <c r="G93" s="62"/>
      <c r="H93" s="278">
        <f>'Especialidades ou Insígnias'!H39</f>
        <v>0</v>
      </c>
    </row>
    <row r="94" spans="1:10" x14ac:dyDescent="0.2">
      <c r="A94" s="77"/>
      <c r="B94" s="39" t="str">
        <f t="shared" si="8"/>
        <v/>
      </c>
      <c r="C94" s="82" t="s">
        <v>555</v>
      </c>
      <c r="F94" s="161"/>
      <c r="G94" s="62"/>
      <c r="H94" s="278">
        <f>'Especialidades ou Insígnias'!H70</f>
        <v>0</v>
      </c>
    </row>
    <row r="95" spans="1:10" x14ac:dyDescent="0.2">
      <c r="A95" s="77"/>
      <c r="B95" s="39" t="str">
        <f t="shared" si="8"/>
        <v/>
      </c>
      <c r="C95" s="82" t="s">
        <v>352</v>
      </c>
      <c r="F95" s="161"/>
      <c r="G95" s="62"/>
      <c r="H95" s="278">
        <f>'Especialidades ou Insígnias'!H101</f>
        <v>0</v>
      </c>
    </row>
    <row r="96" spans="1:10" x14ac:dyDescent="0.2">
      <c r="A96" s="77"/>
      <c r="B96" s="39" t="str">
        <f t="shared" si="8"/>
        <v/>
      </c>
      <c r="C96" s="82" t="s">
        <v>378</v>
      </c>
      <c r="F96" s="161"/>
      <c r="G96" s="62"/>
      <c r="H96" s="278">
        <f>'Especialidades ou Insígnias'!H130</f>
        <v>0</v>
      </c>
    </row>
    <row r="97" spans="1:9" x14ac:dyDescent="0.2">
      <c r="A97" s="77"/>
      <c r="B97" s="39" t="str">
        <f t="shared" si="8"/>
        <v/>
      </c>
      <c r="C97" s="82" t="s">
        <v>556</v>
      </c>
      <c r="F97" s="161"/>
      <c r="G97" s="62"/>
      <c r="H97" s="278">
        <f>'Especialidades ou Insígnias'!H194</f>
        <v>0</v>
      </c>
    </row>
    <row r="98" spans="1:9" ht="15.75" thickBot="1" x14ac:dyDescent="0.25">
      <c r="A98" s="77"/>
      <c r="B98" s="39" t="str">
        <f t="shared" si="8"/>
        <v/>
      </c>
      <c r="C98" s="82" t="s">
        <v>433</v>
      </c>
      <c r="F98" s="161"/>
      <c r="G98" s="62"/>
      <c r="H98" s="285">
        <f>'Especialidades ou Insígnias'!H198</f>
        <v>0</v>
      </c>
    </row>
    <row r="99" spans="1:9" ht="15.75" hidden="1" thickBot="1" x14ac:dyDescent="0.25">
      <c r="A99" s="81"/>
      <c r="B99" s="59"/>
      <c r="C99" s="300"/>
      <c r="D99" s="40"/>
      <c r="E99" s="62"/>
      <c r="F99" s="161"/>
      <c r="G99" s="134" t="s">
        <v>852</v>
      </c>
      <c r="H99" s="68">
        <f>SUM(J80:J89)+SUM(H91:H98)</f>
        <v>0</v>
      </c>
    </row>
    <row r="100" spans="1:9" ht="28.5" thickBot="1" x14ac:dyDescent="0.25">
      <c r="A100" s="77"/>
      <c r="C100" s="294" t="s">
        <v>1036</v>
      </c>
      <c r="F100" s="161"/>
    </row>
    <row r="101" spans="1:9" x14ac:dyDescent="0.2">
      <c r="A101" s="77"/>
      <c r="B101" s="39" t="str">
        <f t="shared" ref="B101:B104" si="9">IF(H101&gt;0,"Item OK","")</f>
        <v/>
      </c>
      <c r="C101" s="82" t="s">
        <v>557</v>
      </c>
      <c r="F101" s="161"/>
      <c r="G101" s="62"/>
      <c r="H101" s="278">
        <f>'Especialidades ou Insígnias'!H312</f>
        <v>0</v>
      </c>
    </row>
    <row r="102" spans="1:9" x14ac:dyDescent="0.2">
      <c r="A102" s="77"/>
      <c r="B102" s="39" t="str">
        <f t="shared" si="9"/>
        <v/>
      </c>
      <c r="C102" s="82" t="s">
        <v>449</v>
      </c>
      <c r="F102" s="161"/>
      <c r="G102" s="62"/>
      <c r="H102" s="278">
        <f>'Especialidades ou Insígnias'!H215</f>
        <v>0</v>
      </c>
    </row>
    <row r="103" spans="1:9" x14ac:dyDescent="0.2">
      <c r="A103" s="77"/>
      <c r="B103" s="39" t="str">
        <f t="shared" si="9"/>
        <v/>
      </c>
      <c r="C103" s="82" t="s">
        <v>558</v>
      </c>
      <c r="F103" s="161"/>
      <c r="G103" s="62"/>
      <c r="H103" s="278">
        <f>'Especialidades ou Insígnias'!H41</f>
        <v>0</v>
      </c>
    </row>
    <row r="104" spans="1:9" ht="15.75" thickBot="1" x14ac:dyDescent="0.25">
      <c r="A104" s="78"/>
      <c r="B104" s="79" t="str">
        <f t="shared" si="9"/>
        <v/>
      </c>
      <c r="C104" s="279" t="s">
        <v>301</v>
      </c>
      <c r="F104" s="161"/>
      <c r="G104" s="62"/>
      <c r="H104" s="278">
        <f>'Especialidades ou Insígnias'!B155</f>
        <v>0</v>
      </c>
    </row>
    <row r="105" spans="1:9" hidden="1" x14ac:dyDescent="0.2">
      <c r="A105" s="41"/>
      <c r="B105" s="41"/>
      <c r="C105" s="280"/>
      <c r="D105" s="40"/>
      <c r="E105" s="62"/>
      <c r="F105" s="161"/>
      <c r="G105" s="70" t="s">
        <v>852</v>
      </c>
      <c r="H105" s="161">
        <f>SUM(H101:H104)</f>
        <v>0</v>
      </c>
    </row>
    <row r="106" spans="1:9" ht="15.75" thickBot="1" x14ac:dyDescent="0.25">
      <c r="F106" s="161"/>
      <c r="G106" s="62"/>
      <c r="H106" s="161"/>
    </row>
    <row r="107" spans="1:9" x14ac:dyDescent="0.2">
      <c r="A107" s="76"/>
      <c r="B107" s="83"/>
      <c r="C107" s="272" t="s">
        <v>787</v>
      </c>
      <c r="F107" s="161"/>
      <c r="G107" s="62"/>
      <c r="H107" s="161"/>
    </row>
    <row r="108" spans="1:9" x14ac:dyDescent="0.2">
      <c r="A108" s="77"/>
      <c r="C108" s="312" t="s">
        <v>1089</v>
      </c>
      <c r="F108" s="161"/>
      <c r="G108" s="62"/>
      <c r="H108" s="161"/>
    </row>
    <row r="109" spans="1:9" ht="34.5" x14ac:dyDescent="0.2">
      <c r="A109" s="77"/>
      <c r="C109" s="312" t="s">
        <v>1096</v>
      </c>
      <c r="F109" s="161"/>
      <c r="G109" s="62"/>
      <c r="H109" s="161"/>
    </row>
    <row r="110" spans="1:9" x14ac:dyDescent="0.2">
      <c r="A110" s="77"/>
      <c r="C110" s="266"/>
      <c r="F110" s="161"/>
      <c r="G110" s="62"/>
      <c r="H110" s="161"/>
    </row>
    <row r="111" spans="1:9" x14ac:dyDescent="0.2">
      <c r="A111" s="77"/>
      <c r="C111" s="273" t="s">
        <v>982</v>
      </c>
      <c r="F111" s="161"/>
      <c r="G111" s="62"/>
      <c r="H111" s="282" t="s">
        <v>953</v>
      </c>
      <c r="I111" s="283">
        <f>IF(B112="Bloco concluído",1,0)</f>
        <v>0</v>
      </c>
    </row>
    <row r="112" spans="1:9" ht="27.75" x14ac:dyDescent="0.2">
      <c r="A112" s="77"/>
      <c r="B112" s="67" t="str">
        <f>IF(AND(A116="Atingiu 100% das ações fixas",A129="Atingiu 100% das ações variáveis"),"BLOCO CONCLUÍDO","")</f>
        <v/>
      </c>
      <c r="C112" s="82" t="s">
        <v>1045</v>
      </c>
      <c r="F112" s="161"/>
      <c r="G112" s="62"/>
      <c r="H112" s="161"/>
    </row>
    <row r="113" spans="1:10" x14ac:dyDescent="0.2">
      <c r="A113" s="77"/>
      <c r="C113" s="266"/>
      <c r="F113" s="161"/>
      <c r="G113" s="62"/>
      <c r="H113" s="161"/>
    </row>
    <row r="114" spans="1:10" ht="15.75" thickBot="1" x14ac:dyDescent="0.25">
      <c r="A114" s="77"/>
      <c r="C114" s="266"/>
      <c r="F114" s="161"/>
      <c r="G114" s="62"/>
      <c r="H114" s="161"/>
    </row>
    <row r="115" spans="1:10" x14ac:dyDescent="0.2">
      <c r="A115" s="77"/>
      <c r="C115" s="295" t="s">
        <v>984</v>
      </c>
      <c r="F115" s="161"/>
      <c r="G115" s="62"/>
      <c r="H115" s="161"/>
    </row>
    <row r="116" spans="1:10" ht="27.75" x14ac:dyDescent="0.2">
      <c r="A116" s="369" t="str">
        <f>IF(J126&gt;=8,"Atingiu 100% das ações fixas","")</f>
        <v/>
      </c>
      <c r="B116" s="39" t="str">
        <f t="shared" ref="B116:B122" si="10">IF(J116&gt;0,"Item OK","")</f>
        <v/>
      </c>
      <c r="C116" s="82" t="s">
        <v>788</v>
      </c>
      <c r="D116" s="164" t="s">
        <v>972</v>
      </c>
      <c r="E116" s="187"/>
      <c r="F116" s="289" t="s">
        <v>19</v>
      </c>
      <c r="G116" s="248">
        <f>'Rumo e Travessia'!A73</f>
        <v>0</v>
      </c>
      <c r="H116" s="159"/>
      <c r="I116" s="63"/>
      <c r="J116" s="38">
        <f t="shared" ref="J116:J123" si="11">IF(G116+I116&gt;=1,1,0)+E116</f>
        <v>0</v>
      </c>
    </row>
    <row r="117" spans="1:10" ht="27.75" x14ac:dyDescent="0.2">
      <c r="A117" s="369"/>
      <c r="B117" s="39" t="str">
        <f t="shared" si="10"/>
        <v/>
      </c>
      <c r="C117" s="82" t="s">
        <v>1046</v>
      </c>
      <c r="D117" s="164" t="s">
        <v>972</v>
      </c>
      <c r="E117" s="187"/>
      <c r="F117" s="289" t="s">
        <v>219</v>
      </c>
      <c r="G117" s="248">
        <f>'Pistas e Trilha'!A72</f>
        <v>0</v>
      </c>
      <c r="H117" s="159" t="s">
        <v>19</v>
      </c>
      <c r="I117" s="63">
        <f>'Rumo e Travessia'!A73</f>
        <v>0</v>
      </c>
      <c r="J117" s="38">
        <f t="shared" si="11"/>
        <v>0</v>
      </c>
    </row>
    <row r="118" spans="1:10" ht="41.25" x14ac:dyDescent="0.2">
      <c r="A118" s="369"/>
      <c r="B118" s="39" t="str">
        <f t="shared" si="10"/>
        <v/>
      </c>
      <c r="C118" s="82" t="s">
        <v>789</v>
      </c>
      <c r="D118" s="164" t="s">
        <v>972</v>
      </c>
      <c r="E118" s="187"/>
      <c r="F118" s="296" t="s">
        <v>931</v>
      </c>
      <c r="G118" s="248">
        <f>'Especialidades ou Insígnias'!H7</f>
        <v>0</v>
      </c>
      <c r="H118" s="159"/>
      <c r="I118" s="63"/>
      <c r="J118" s="38">
        <f t="shared" si="11"/>
        <v>0</v>
      </c>
    </row>
    <row r="119" spans="1:10" ht="27.75" x14ac:dyDescent="0.2">
      <c r="A119" s="369"/>
      <c r="B119" s="39" t="str">
        <f t="shared" si="10"/>
        <v/>
      </c>
      <c r="C119" s="82" t="s">
        <v>790</v>
      </c>
      <c r="D119" s="164" t="s">
        <v>972</v>
      </c>
      <c r="E119" s="187"/>
      <c r="F119" s="289" t="s">
        <v>20</v>
      </c>
      <c r="G119" s="248">
        <f>'Pistas e Trilha'!A73</f>
        <v>0</v>
      </c>
      <c r="H119" s="159"/>
      <c r="I119" s="63"/>
      <c r="J119" s="38">
        <f t="shared" si="11"/>
        <v>0</v>
      </c>
    </row>
    <row r="120" spans="1:10" ht="27.75" x14ac:dyDescent="0.2">
      <c r="A120" s="369"/>
      <c r="B120" s="39" t="str">
        <f t="shared" si="10"/>
        <v/>
      </c>
      <c r="C120" s="82" t="s">
        <v>791</v>
      </c>
      <c r="D120" s="164" t="s">
        <v>972</v>
      </c>
      <c r="E120" s="187"/>
      <c r="F120" s="289"/>
      <c r="G120" s="248"/>
      <c r="H120" s="159" t="s">
        <v>21</v>
      </c>
      <c r="I120" s="63">
        <f>'Rumo e Travessia'!A25</f>
        <v>0</v>
      </c>
      <c r="J120" s="38">
        <f t="shared" si="11"/>
        <v>0</v>
      </c>
    </row>
    <row r="121" spans="1:10" ht="27.75" x14ac:dyDescent="0.2">
      <c r="A121" s="369"/>
      <c r="B121" s="39" t="str">
        <f t="shared" si="10"/>
        <v/>
      </c>
      <c r="C121" s="82" t="s">
        <v>792</v>
      </c>
      <c r="D121" s="164" t="s">
        <v>972</v>
      </c>
      <c r="E121" s="187"/>
      <c r="F121" s="289" t="s">
        <v>217</v>
      </c>
      <c r="G121" s="248">
        <f>'Pistas e Trilha'!A8</f>
        <v>0</v>
      </c>
      <c r="H121" s="159" t="s">
        <v>218</v>
      </c>
      <c r="I121" s="63">
        <f>'Rumo e Travessia'!A6</f>
        <v>0</v>
      </c>
      <c r="J121" s="38">
        <f t="shared" si="11"/>
        <v>0</v>
      </c>
    </row>
    <row r="122" spans="1:10" ht="30" customHeight="1" x14ac:dyDescent="0.2">
      <c r="A122" s="369"/>
      <c r="B122" s="386" t="str">
        <f t="shared" si="10"/>
        <v/>
      </c>
      <c r="C122" s="383" t="s">
        <v>793</v>
      </c>
      <c r="D122" s="353" t="s">
        <v>972</v>
      </c>
      <c r="E122" s="359"/>
      <c r="F122" s="289" t="s">
        <v>217</v>
      </c>
      <c r="G122" s="248">
        <f>'Pistas e Trilha'!A12</f>
        <v>0</v>
      </c>
      <c r="H122" s="159" t="s">
        <v>218</v>
      </c>
      <c r="I122" s="63">
        <f>'Rumo e Travessia'!A6</f>
        <v>0</v>
      </c>
      <c r="J122" s="38">
        <f t="shared" si="11"/>
        <v>0</v>
      </c>
    </row>
    <row r="123" spans="1:10" x14ac:dyDescent="0.2">
      <c r="A123" s="369"/>
      <c r="B123" s="388"/>
      <c r="C123" s="385"/>
      <c r="D123" s="354"/>
      <c r="E123" s="360"/>
      <c r="F123" s="289" t="s">
        <v>220</v>
      </c>
      <c r="G123" s="248">
        <f>'Pistas e Trilha'!A171</f>
        <v>0</v>
      </c>
      <c r="H123" s="159"/>
      <c r="I123" s="63"/>
      <c r="J123" s="38">
        <f t="shared" si="11"/>
        <v>0</v>
      </c>
    </row>
    <row r="124" spans="1:10" ht="15" hidden="1" customHeight="1" x14ac:dyDescent="0.2">
      <c r="A124" s="369"/>
      <c r="B124" s="56"/>
      <c r="C124" s="98"/>
      <c r="D124" s="164"/>
      <c r="E124" s="187"/>
      <c r="F124" s="289"/>
      <c r="G124" s="248"/>
      <c r="H124" s="159"/>
      <c r="I124" s="68" t="s">
        <v>852</v>
      </c>
      <c r="J124" s="38">
        <f>IF(G122+I122+G123+I123&gt;=1,1,0)</f>
        <v>0</v>
      </c>
    </row>
    <row r="125" spans="1:10" ht="15.75" thickBot="1" x14ac:dyDescent="0.25">
      <c r="A125" s="369"/>
      <c r="B125" s="39" t="str">
        <f>IF(J125&gt;0,"Item OK","")</f>
        <v/>
      </c>
      <c r="C125" s="82" t="s">
        <v>1075</v>
      </c>
      <c r="D125" s="164" t="s">
        <v>972</v>
      </c>
      <c r="E125" s="187"/>
      <c r="F125" s="289" t="s">
        <v>221</v>
      </c>
      <c r="G125" s="248">
        <f>'Pistas e Trilha'!A42</f>
        <v>0</v>
      </c>
      <c r="H125" s="159" t="s">
        <v>222</v>
      </c>
      <c r="I125" s="63">
        <f>'Rumo e Travessia'!A41</f>
        <v>0</v>
      </c>
      <c r="J125" s="38">
        <f>IF(G125+I125&gt;=1,1,0)+E125</f>
        <v>0</v>
      </c>
    </row>
    <row r="126" spans="1:10" ht="15.75" hidden="1" thickBot="1" x14ac:dyDescent="0.25">
      <c r="A126" s="302"/>
      <c r="B126" s="41"/>
      <c r="C126" s="300"/>
      <c r="D126" s="40"/>
      <c r="E126" s="62"/>
      <c r="F126" s="160"/>
      <c r="G126" s="62"/>
      <c r="H126" s="161"/>
      <c r="I126" s="68" t="s">
        <v>852</v>
      </c>
      <c r="J126" s="68">
        <f>SUM(J116:J121)+J124+J125</f>
        <v>0</v>
      </c>
    </row>
    <row r="127" spans="1:10" ht="15.75" thickBot="1" x14ac:dyDescent="0.25">
      <c r="A127" s="77"/>
      <c r="C127" s="295" t="s">
        <v>985</v>
      </c>
      <c r="F127" s="161"/>
      <c r="G127" s="62"/>
      <c r="H127" s="161"/>
    </row>
    <row r="128" spans="1:10" ht="17.25" x14ac:dyDescent="0.2">
      <c r="A128" s="77"/>
      <c r="C128" s="295" t="s">
        <v>585</v>
      </c>
      <c r="F128" s="161"/>
      <c r="G128" s="62"/>
      <c r="H128" s="161"/>
    </row>
    <row r="129" spans="1:10" ht="27.75" x14ac:dyDescent="0.2">
      <c r="A129" s="389" t="str">
        <f>IF(OR(H154&gt;0,H147&gt;=5),"Atingiu 100% das ações variáveis","")</f>
        <v/>
      </c>
      <c r="B129" s="39" t="str">
        <f t="shared" ref="B129:B137" si="12">IF(J129&gt;0,"Item OK","")</f>
        <v/>
      </c>
      <c r="C129" s="82" t="s">
        <v>794</v>
      </c>
      <c r="D129" s="164" t="s">
        <v>972</v>
      </c>
      <c r="E129" s="187"/>
      <c r="F129" s="289" t="s">
        <v>223</v>
      </c>
      <c r="G129" s="248">
        <f>'Pistas e Trilha'!A41</f>
        <v>0</v>
      </c>
      <c r="H129" s="159" t="s">
        <v>224</v>
      </c>
      <c r="I129" s="63">
        <f>'Rumo e Travessia'!A39</f>
        <v>0</v>
      </c>
      <c r="J129" s="38">
        <f>IF(G129+I129&gt;=1,1,0)+E129</f>
        <v>0</v>
      </c>
    </row>
    <row r="130" spans="1:10" ht="27.75" x14ac:dyDescent="0.2">
      <c r="A130" s="390"/>
      <c r="B130" s="39" t="str">
        <f t="shared" si="12"/>
        <v/>
      </c>
      <c r="C130" s="82" t="s">
        <v>795</v>
      </c>
      <c r="D130" s="164" t="s">
        <v>972</v>
      </c>
      <c r="E130" s="187"/>
      <c r="F130" s="289" t="s">
        <v>225</v>
      </c>
      <c r="G130" s="248">
        <f>'Pistas e Trilha'!A24</f>
        <v>0</v>
      </c>
      <c r="H130" s="159" t="s">
        <v>226</v>
      </c>
      <c r="I130" s="63">
        <f>'Rumo e Travessia'!A22</f>
        <v>0</v>
      </c>
      <c r="J130" s="38">
        <f>IF(G130+I130&gt;=1,1,0)+E130</f>
        <v>0</v>
      </c>
    </row>
    <row r="131" spans="1:10" x14ac:dyDescent="0.2">
      <c r="A131" s="390"/>
      <c r="B131" s="39" t="str">
        <f t="shared" si="12"/>
        <v/>
      </c>
      <c r="C131" s="82" t="s">
        <v>796</v>
      </c>
      <c r="D131" s="164" t="s">
        <v>972</v>
      </c>
      <c r="E131" s="187"/>
      <c r="F131" s="289" t="s">
        <v>22</v>
      </c>
      <c r="G131" s="248">
        <f>'Pistas e Trilha'!A27</f>
        <v>0</v>
      </c>
      <c r="H131" s="159"/>
      <c r="I131" s="63"/>
      <c r="J131" s="38">
        <f>IF(G131+I131&gt;=1,1,0)+E131</f>
        <v>0</v>
      </c>
    </row>
    <row r="132" spans="1:10" x14ac:dyDescent="0.2">
      <c r="A132" s="390"/>
      <c r="B132" s="39" t="str">
        <f t="shared" si="12"/>
        <v/>
      </c>
      <c r="C132" s="82" t="s">
        <v>797</v>
      </c>
      <c r="D132" s="164" t="s">
        <v>972</v>
      </c>
      <c r="E132" s="187"/>
      <c r="F132" s="289" t="s">
        <v>23</v>
      </c>
      <c r="G132" s="248">
        <f>'Pistas e Trilha'!A43</f>
        <v>0</v>
      </c>
      <c r="H132" s="159"/>
      <c r="I132" s="63"/>
      <c r="J132" s="38">
        <f t="shared" ref="J132:J137" si="13">IF(G132+I132&gt;=1,1,0)+E132</f>
        <v>0</v>
      </c>
    </row>
    <row r="133" spans="1:10" ht="27.75" x14ac:dyDescent="0.2">
      <c r="A133" s="390"/>
      <c r="B133" s="39" t="str">
        <f t="shared" si="12"/>
        <v/>
      </c>
      <c r="C133" s="82" t="s">
        <v>798</v>
      </c>
      <c r="D133" s="164" t="s">
        <v>972</v>
      </c>
      <c r="E133" s="187"/>
      <c r="F133" s="289" t="s">
        <v>24</v>
      </c>
      <c r="G133" s="248">
        <f>'Pistas e Trilha'!A74</f>
        <v>0</v>
      </c>
      <c r="H133" s="159"/>
      <c r="I133" s="63"/>
      <c r="J133" s="38">
        <f t="shared" si="13"/>
        <v>0</v>
      </c>
    </row>
    <row r="134" spans="1:10" ht="27.75" x14ac:dyDescent="0.2">
      <c r="A134" s="390"/>
      <c r="B134" s="39" t="str">
        <f t="shared" si="12"/>
        <v/>
      </c>
      <c r="C134" s="82" t="s">
        <v>799</v>
      </c>
      <c r="D134" s="164" t="s">
        <v>972</v>
      </c>
      <c r="E134" s="187"/>
      <c r="F134" s="289"/>
      <c r="G134" s="248"/>
      <c r="H134" s="159" t="s">
        <v>25</v>
      </c>
      <c r="I134" s="63">
        <f>'Rumo e Travessia'!A76</f>
        <v>0</v>
      </c>
      <c r="J134" s="38">
        <f t="shared" si="13"/>
        <v>0</v>
      </c>
    </row>
    <row r="135" spans="1:10" ht="27.75" x14ac:dyDescent="0.2">
      <c r="A135" s="390"/>
      <c r="B135" s="39" t="str">
        <f t="shared" si="12"/>
        <v/>
      </c>
      <c r="C135" s="82" t="s">
        <v>1047</v>
      </c>
      <c r="D135" s="164" t="s">
        <v>972</v>
      </c>
      <c r="E135" s="187"/>
      <c r="F135" s="289"/>
      <c r="G135" s="248"/>
      <c r="H135" s="159" t="s">
        <v>26</v>
      </c>
      <c r="I135" s="63">
        <f>'Rumo e Travessia'!A75</f>
        <v>0</v>
      </c>
      <c r="J135" s="38">
        <f t="shared" si="13"/>
        <v>0</v>
      </c>
    </row>
    <row r="136" spans="1:10" ht="27.75" x14ac:dyDescent="0.2">
      <c r="A136" s="390"/>
      <c r="B136" s="39" t="str">
        <f t="shared" si="12"/>
        <v/>
      </c>
      <c r="C136" s="82" t="s">
        <v>800</v>
      </c>
      <c r="D136" s="164" t="s">
        <v>972</v>
      </c>
      <c r="E136" s="187"/>
      <c r="F136" s="289"/>
      <c r="G136" s="248"/>
      <c r="H136" s="159"/>
      <c r="I136" s="63"/>
      <c r="J136" s="38">
        <f t="shared" si="13"/>
        <v>0</v>
      </c>
    </row>
    <row r="137" spans="1:10" x14ac:dyDescent="0.2">
      <c r="A137" s="390"/>
      <c r="B137" s="39" t="str">
        <f t="shared" si="12"/>
        <v/>
      </c>
      <c r="C137" s="82" t="s">
        <v>801</v>
      </c>
      <c r="D137" s="164" t="s">
        <v>972</v>
      </c>
      <c r="E137" s="187"/>
      <c r="F137" s="289"/>
      <c r="G137" s="248"/>
      <c r="H137" s="159" t="s">
        <v>19</v>
      </c>
      <c r="I137" s="63">
        <f>'Rumo e Travessia'!A73</f>
        <v>0</v>
      </c>
      <c r="J137" s="38">
        <f t="shared" si="13"/>
        <v>0</v>
      </c>
    </row>
    <row r="138" spans="1:10" x14ac:dyDescent="0.2">
      <c r="A138" s="390"/>
      <c r="C138" s="273" t="s">
        <v>981</v>
      </c>
      <c r="F138" s="161"/>
      <c r="G138" s="62"/>
      <c r="H138" s="161"/>
    </row>
    <row r="139" spans="1:10" x14ac:dyDescent="0.2">
      <c r="A139" s="390"/>
      <c r="B139" s="39" t="str">
        <f>IF(H139&gt;0,"Item OK","")</f>
        <v/>
      </c>
      <c r="C139" s="82" t="s">
        <v>321</v>
      </c>
      <c r="F139" s="161"/>
      <c r="G139" s="62"/>
      <c r="H139" s="278">
        <f>'Especialidades ou Insígnias'!H66</f>
        <v>0</v>
      </c>
    </row>
    <row r="140" spans="1:10" x14ac:dyDescent="0.2">
      <c r="A140" s="390"/>
      <c r="B140" s="39" t="str">
        <f t="shared" ref="B140:B146" si="14">IF(H140&gt;0,"Item OK","")</f>
        <v/>
      </c>
      <c r="C140" s="82" t="s">
        <v>331</v>
      </c>
      <c r="F140" s="161"/>
      <c r="G140" s="62"/>
      <c r="H140" s="278">
        <f>'Especialidades ou Insígnias'!H76</f>
        <v>0</v>
      </c>
    </row>
    <row r="141" spans="1:10" x14ac:dyDescent="0.2">
      <c r="A141" s="390"/>
      <c r="B141" s="39" t="str">
        <f t="shared" si="14"/>
        <v/>
      </c>
      <c r="C141" s="82" t="s">
        <v>354</v>
      </c>
      <c r="F141" s="161"/>
      <c r="G141" s="62"/>
      <c r="H141" s="278">
        <f>'Especialidades ou Insígnias'!H103</f>
        <v>0</v>
      </c>
    </row>
    <row r="142" spans="1:10" x14ac:dyDescent="0.2">
      <c r="A142" s="390"/>
      <c r="B142" s="39" t="str">
        <f t="shared" si="14"/>
        <v/>
      </c>
      <c r="C142" s="82" t="s">
        <v>357</v>
      </c>
      <c r="F142" s="161"/>
      <c r="G142" s="62"/>
      <c r="H142" s="278">
        <f>'Especialidades ou Insígnias'!H106</f>
        <v>0</v>
      </c>
    </row>
    <row r="143" spans="1:10" x14ac:dyDescent="0.2">
      <c r="A143" s="390"/>
      <c r="B143" s="39" t="str">
        <f t="shared" si="14"/>
        <v/>
      </c>
      <c r="C143" s="82" t="s">
        <v>365</v>
      </c>
      <c r="F143" s="161"/>
      <c r="G143" s="62"/>
      <c r="H143" s="278">
        <f>'Especialidades ou Insígnias'!H117</f>
        <v>0</v>
      </c>
    </row>
    <row r="144" spans="1:10" x14ac:dyDescent="0.2">
      <c r="A144" s="390"/>
      <c r="B144" s="39" t="str">
        <f t="shared" si="14"/>
        <v/>
      </c>
      <c r="C144" s="82" t="s">
        <v>439</v>
      </c>
      <c r="F144" s="161"/>
      <c r="G144" s="62"/>
      <c r="H144" s="278">
        <f>'Especialidades ou Insígnias'!H204</f>
        <v>0</v>
      </c>
    </row>
    <row r="145" spans="1:9" x14ac:dyDescent="0.2">
      <c r="A145" s="390"/>
      <c r="B145" s="39" t="str">
        <f t="shared" si="14"/>
        <v/>
      </c>
      <c r="C145" s="82" t="s">
        <v>457</v>
      </c>
      <c r="F145" s="161"/>
      <c r="G145" s="62"/>
      <c r="H145" s="278">
        <f>'Especialidades ou Insígnias'!H225</f>
        <v>0</v>
      </c>
    </row>
    <row r="146" spans="1:9" ht="15.75" thickBot="1" x14ac:dyDescent="0.25">
      <c r="A146" s="390"/>
      <c r="B146" s="39" t="str">
        <f t="shared" si="14"/>
        <v/>
      </c>
      <c r="C146" s="82" t="s">
        <v>486</v>
      </c>
      <c r="F146" s="161"/>
      <c r="G146" s="62"/>
      <c r="H146" s="285">
        <f>'Especialidades ou Insígnias'!H255</f>
        <v>0</v>
      </c>
    </row>
    <row r="147" spans="1:9" ht="15.75" hidden="1" thickBot="1" x14ac:dyDescent="0.25">
      <c r="A147" s="303"/>
      <c r="B147" s="59"/>
      <c r="C147" s="300"/>
      <c r="D147" s="40"/>
      <c r="E147" s="62"/>
      <c r="F147" s="161"/>
      <c r="G147" s="68" t="s">
        <v>852</v>
      </c>
      <c r="H147" s="243">
        <f>SUM(J129:J137)+SUM(H139:H146)</f>
        <v>0</v>
      </c>
    </row>
    <row r="148" spans="1:9" ht="16.5" customHeight="1" thickBot="1" x14ac:dyDescent="0.25">
      <c r="A148" s="77"/>
      <c r="C148" s="294" t="s">
        <v>998</v>
      </c>
      <c r="F148" s="161"/>
      <c r="I148"/>
    </row>
    <row r="149" spans="1:9" x14ac:dyDescent="0.2">
      <c r="A149" s="77"/>
      <c r="B149" s="39" t="str">
        <f>IF(H149&gt;0,"Item OK","")</f>
        <v/>
      </c>
      <c r="C149" s="82" t="s">
        <v>266</v>
      </c>
      <c r="F149" s="161"/>
      <c r="G149" s="62"/>
      <c r="H149" s="277">
        <f>'Especialidades ou Insígnias'!H7</f>
        <v>0</v>
      </c>
    </row>
    <row r="150" spans="1:9" x14ac:dyDescent="0.2">
      <c r="A150" s="77"/>
      <c r="B150" s="39" t="str">
        <f t="shared" ref="B150:B153" si="15">IF(H150&gt;0,"Item OK","")</f>
        <v/>
      </c>
      <c r="C150" s="82" t="s">
        <v>559</v>
      </c>
      <c r="F150" s="161"/>
      <c r="G150" s="62"/>
      <c r="H150" s="278">
        <f>'Especialidades ou Insígnias'!H113</f>
        <v>0</v>
      </c>
    </row>
    <row r="151" spans="1:9" x14ac:dyDescent="0.2">
      <c r="A151" s="77"/>
      <c r="B151" s="39" t="str">
        <f t="shared" si="15"/>
        <v/>
      </c>
      <c r="C151" s="82" t="s">
        <v>438</v>
      </c>
      <c r="F151" s="161"/>
      <c r="G151" s="62"/>
      <c r="H151" s="278">
        <f>'Especialidades ou Insígnias'!H203</f>
        <v>0</v>
      </c>
    </row>
    <row r="152" spans="1:9" x14ac:dyDescent="0.2">
      <c r="A152" s="77"/>
      <c r="B152" s="39" t="str">
        <f t="shared" si="15"/>
        <v/>
      </c>
      <c r="C152" s="82" t="s">
        <v>461</v>
      </c>
      <c r="F152" s="161"/>
      <c r="G152" s="62"/>
      <c r="H152" s="278">
        <f>'Especialidades ou Insígnias'!H229</f>
        <v>0</v>
      </c>
    </row>
    <row r="153" spans="1:9" ht="15.75" thickBot="1" x14ac:dyDescent="0.25">
      <c r="A153" s="78"/>
      <c r="B153" s="79" t="str">
        <f t="shared" si="15"/>
        <v/>
      </c>
      <c r="C153" s="279" t="s">
        <v>512</v>
      </c>
      <c r="F153" s="161"/>
      <c r="G153" s="62"/>
      <c r="H153" s="278">
        <f>'Especialidades ou Insígnias'!H282</f>
        <v>0</v>
      </c>
    </row>
    <row r="154" spans="1:9" x14ac:dyDescent="0.2">
      <c r="F154" s="161"/>
      <c r="G154" s="68" t="s">
        <v>852</v>
      </c>
      <c r="H154" s="162">
        <f>SUM(H149:H153)</f>
        <v>0</v>
      </c>
    </row>
  </sheetData>
  <sheetProtection sheet="1" objects="1" scenarios="1"/>
  <mergeCells count="14">
    <mergeCell ref="A129:A146"/>
    <mergeCell ref="B122:B123"/>
    <mergeCell ref="C122:C123"/>
    <mergeCell ref="A50:A57"/>
    <mergeCell ref="A80:A89"/>
    <mergeCell ref="D21:D23"/>
    <mergeCell ref="E21:E23"/>
    <mergeCell ref="D122:D123"/>
    <mergeCell ref="E122:E123"/>
    <mergeCell ref="A11:A12"/>
    <mergeCell ref="A116:A125"/>
    <mergeCell ref="A17:A34"/>
    <mergeCell ref="C21:C23"/>
    <mergeCell ref="B21:B23"/>
  </mergeCells>
  <conditionalFormatting sqref="A11:A12">
    <cfRule type="containsText" dxfId="149" priority="7" operator="containsText" text="Atingiu 100% das ações fixas">
      <formula>NOT(ISERROR(SEARCH("Atingiu 100% das ações fixas",A11)))</formula>
    </cfRule>
  </conditionalFormatting>
  <conditionalFormatting sqref="A17">
    <cfRule type="cellIs" dxfId="148" priority="22" operator="greaterThan">
      <formula>0</formula>
    </cfRule>
  </conditionalFormatting>
  <conditionalFormatting sqref="A17:A34">
    <cfRule type="containsText" dxfId="147" priority="6" operator="containsText" text="Atingiu 100% das ações variáveis">
      <formula>NOT(ISERROR(SEARCH("Atingiu 100% das ações variáveis",A17)))</formula>
    </cfRule>
  </conditionalFormatting>
  <conditionalFormatting sqref="A50 A17">
    <cfRule type="containsText" dxfId="146" priority="21" operator="containsText" text="Já atingiu 100% do itens variáveis pois conquistou Insígnia">
      <formula>NOT(ISERROR(SEARCH("Já atingiu 100% do itens variáveis pois conquistou Insígnia",A17)))</formula>
    </cfRule>
  </conditionalFormatting>
  <conditionalFormatting sqref="A50">
    <cfRule type="cellIs" dxfId="145" priority="16" operator="greaterThan">
      <formula>0</formula>
    </cfRule>
  </conditionalFormatting>
  <conditionalFormatting sqref="A50:A57">
    <cfRule type="containsText" dxfId="144" priority="5" operator="containsText" text="Atingiu 100% das ações variáveis">
      <formula>NOT(ISERROR(SEARCH("Atingiu 100% das ações variáveis",A50)))</formula>
    </cfRule>
    <cfRule type="containsText" dxfId="143" priority="15" operator="containsText" text="Já atingiu 100% do itens variáveis pois conquistou Insígnia">
      <formula>NOT(ISERROR(SEARCH("Já atingiu 100% do itens variáveis pois conquistou Insígnia",A50)))</formula>
    </cfRule>
  </conditionalFormatting>
  <conditionalFormatting sqref="A76">
    <cfRule type="containsText" dxfId="142" priority="4" operator="containsText" text="Atingiu 100% das ações fixas">
      <formula>NOT(ISERROR(SEARCH("Atingiu 100% das ações fixas",A76)))</formula>
    </cfRule>
  </conditionalFormatting>
  <conditionalFormatting sqref="A80:A89">
    <cfRule type="containsText" dxfId="141" priority="3" operator="containsText" text="Atingiu 100% das ações variáveis">
      <formula>NOT(ISERROR(SEARCH("Atingiu 100% das ações variáveis",A80)))</formula>
    </cfRule>
    <cfRule type="cellIs" dxfId="140" priority="14" operator="equal">
      <formula>"Já atingiu 100% do itens variáveis pois conquistou Insígnia"</formula>
    </cfRule>
  </conditionalFormatting>
  <conditionalFormatting sqref="A116:A125">
    <cfRule type="containsText" dxfId="139" priority="2" operator="containsText" text="Atingiu 100% das ações fixas">
      <formula>NOT(ISERROR(SEARCH("Atingiu 100% das ações fixas",A116)))</formula>
    </cfRule>
  </conditionalFormatting>
  <conditionalFormatting sqref="A129">
    <cfRule type="containsText" dxfId="138" priority="12" operator="containsText" text="Já atingiu 100% do itens variáveis pois conquistou Insígnia">
      <formula>NOT(ISERROR(SEARCH("Já atingiu 100% do itens variáveis pois conquistou Insígnia",A129)))</formula>
    </cfRule>
    <cfRule type="cellIs" dxfId="137" priority="13" operator="equal">
      <formula>"Já atingiu 100% do itens variáveis pois conquistou Insígnia"</formula>
    </cfRule>
  </conditionalFormatting>
  <conditionalFormatting sqref="A129:A147">
    <cfRule type="containsText" dxfId="136" priority="1" operator="containsText" text="Atingiu 100% das ações variáveis">
      <formula>NOT(ISERROR(SEARCH("Atingiu 100% das ações variáveis",A129)))</formula>
    </cfRule>
  </conditionalFormatting>
  <conditionalFormatting sqref="B8">
    <cfRule type="containsText" dxfId="135" priority="11" operator="containsText" text="BLOCO CONCLUÍDO">
      <formula>NOT(ISERROR(SEARCH("BLOCO CONCLUÍDO",B8)))</formula>
    </cfRule>
  </conditionalFormatting>
  <conditionalFormatting sqref="B9 B17:B21 B24:B30 B101:B104">
    <cfRule type="cellIs" dxfId="134" priority="60" operator="greaterThan">
      <formula>0</formula>
    </cfRule>
    <cfRule type="cellIs" dxfId="133" priority="59" operator="equal">
      <formula>"Item OK"</formula>
    </cfRule>
  </conditionalFormatting>
  <conditionalFormatting sqref="B11:B12">
    <cfRule type="cellIs" dxfId="132" priority="58" operator="greaterThan">
      <formula>0</formula>
    </cfRule>
    <cfRule type="cellIs" dxfId="131" priority="57" operator="equal">
      <formula>"Item OK"</formula>
    </cfRule>
  </conditionalFormatting>
  <conditionalFormatting sqref="B32:B34">
    <cfRule type="cellIs" dxfId="130" priority="54" operator="greaterThan">
      <formula>0</formula>
    </cfRule>
    <cfRule type="cellIs" dxfId="129" priority="53" operator="equal">
      <formula>"Item OK"</formula>
    </cfRule>
  </conditionalFormatting>
  <conditionalFormatting sqref="B37:B38">
    <cfRule type="cellIs" dxfId="128" priority="52" operator="greaterThan">
      <formula>0</formula>
    </cfRule>
    <cfRule type="cellIs" dxfId="127" priority="51" operator="equal">
      <formula>"Item OK"</formula>
    </cfRule>
  </conditionalFormatting>
  <conditionalFormatting sqref="B46">
    <cfRule type="containsText" dxfId="126" priority="10" operator="containsText" text="BLOCO CONCLUÍDO">
      <formula>NOT(ISERROR(SEARCH("BLOCO CONCLUÍDO",B46)))</formula>
    </cfRule>
  </conditionalFormatting>
  <conditionalFormatting sqref="B50:B57">
    <cfRule type="cellIs" dxfId="125" priority="18" operator="greaterThan">
      <formula>0</formula>
    </cfRule>
    <cfRule type="cellIs" dxfId="124" priority="17" operator="equal">
      <formula>"Item OK"</formula>
    </cfRule>
  </conditionalFormatting>
  <conditionalFormatting sqref="B59:B61">
    <cfRule type="cellIs" dxfId="123" priority="46" operator="greaterThan">
      <formula>0</formula>
    </cfRule>
    <cfRule type="cellIs" dxfId="122" priority="45" operator="equal">
      <formula>"Item OK"</formula>
    </cfRule>
  </conditionalFormatting>
  <conditionalFormatting sqref="B63:B64">
    <cfRule type="cellIs" dxfId="121" priority="44" operator="greaterThan">
      <formula>0</formula>
    </cfRule>
    <cfRule type="cellIs" dxfId="120" priority="43" operator="equal">
      <formula>"Item OK"</formula>
    </cfRule>
  </conditionalFormatting>
  <conditionalFormatting sqref="B72">
    <cfRule type="containsText" dxfId="119" priority="9" operator="containsText" text="BLOCO CONCLUÍDO">
      <formula>NOT(ISERROR(SEARCH("BLOCO CONCLUÍDO",B72)))</formula>
    </cfRule>
  </conditionalFormatting>
  <conditionalFormatting sqref="B73">
    <cfRule type="cellIs" dxfId="118" priority="41" operator="equal">
      <formula>"Item OK"</formula>
    </cfRule>
    <cfRule type="cellIs" dxfId="117" priority="42" operator="greaterThan">
      <formula>0</formula>
    </cfRule>
  </conditionalFormatting>
  <conditionalFormatting sqref="B76">
    <cfRule type="cellIs" dxfId="116" priority="39" operator="equal">
      <formula>"Item OK"</formula>
    </cfRule>
    <cfRule type="cellIs" dxfId="115" priority="40" operator="greaterThan">
      <formula>0</formula>
    </cfRule>
  </conditionalFormatting>
  <conditionalFormatting sqref="B80:B89">
    <cfRule type="cellIs" dxfId="114" priority="38" operator="greaterThan">
      <formula>0</formula>
    </cfRule>
    <cfRule type="cellIs" dxfId="113" priority="37" operator="equal">
      <formula>"Item OK"</formula>
    </cfRule>
  </conditionalFormatting>
  <conditionalFormatting sqref="B91:B99">
    <cfRule type="cellIs" dxfId="112" priority="36" operator="greaterThan">
      <formula>0</formula>
    </cfRule>
    <cfRule type="cellIs" dxfId="111" priority="35" operator="equal">
      <formula>"Item OK"</formula>
    </cfRule>
  </conditionalFormatting>
  <conditionalFormatting sqref="B112">
    <cfRule type="containsText" dxfId="110" priority="8" operator="containsText" text="BLOCO CONCLUÍDO">
      <formula>NOT(ISERROR(SEARCH("BLOCO CONCLUÍDO",B112)))</formula>
    </cfRule>
  </conditionalFormatting>
  <conditionalFormatting sqref="B116:B122 B124:B125">
    <cfRule type="cellIs" dxfId="109" priority="30" operator="greaterThan">
      <formula>0</formula>
    </cfRule>
    <cfRule type="cellIs" dxfId="108" priority="29" operator="equal">
      <formula>"Item OK"</formula>
    </cfRule>
  </conditionalFormatting>
  <conditionalFormatting sqref="B129:B137">
    <cfRule type="cellIs" dxfId="107" priority="28" operator="greaterThan">
      <formula>0</formula>
    </cfRule>
    <cfRule type="cellIs" dxfId="106" priority="27" operator="equal">
      <formula>"Item OK"</formula>
    </cfRule>
  </conditionalFormatting>
  <conditionalFormatting sqref="B139:B147">
    <cfRule type="cellIs" dxfId="105" priority="26" operator="greaterThan">
      <formula>0</formula>
    </cfRule>
    <cfRule type="cellIs" dxfId="104" priority="25" operator="equal">
      <formula>"Item OK"</formula>
    </cfRule>
  </conditionalFormatting>
  <conditionalFormatting sqref="B149:B153">
    <cfRule type="cellIs" dxfId="103" priority="24" operator="greaterThan">
      <formula>0</formula>
    </cfRule>
    <cfRule type="cellIs" dxfId="102" priority="23" operator="equal">
      <formula>"Item OK"</formula>
    </cfRule>
  </conditionalFormatting>
  <pageMargins left="0.511811024" right="0.511811024" top="0.78740157499999996" bottom="0.78740157499999996" header="0.31496062000000002" footer="0.31496062000000002"/>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2265F-CAB8-462F-B022-FD0DB4CC980B}">
  <sheetPr>
    <tabColor theme="8"/>
  </sheetPr>
  <dimension ref="A1:J167"/>
  <sheetViews>
    <sheetView showZeros="0" workbookViewId="0"/>
  </sheetViews>
  <sheetFormatPr defaultRowHeight="15" x14ac:dyDescent="0.2"/>
  <cols>
    <col min="1" max="1" width="10.625" customWidth="1"/>
    <col min="2" max="2" width="12.23828125" customWidth="1"/>
    <col min="3" max="3" width="78.42578125" style="1" customWidth="1"/>
    <col min="4" max="4" width="22.1953125" style="2" customWidth="1"/>
    <col min="5" max="5" width="3.8984375" style="21" customWidth="1"/>
    <col min="6" max="6" width="12.64453125" style="173" hidden="1" customWidth="1"/>
    <col min="7" max="7" width="3.765625" style="169" hidden="1" customWidth="1"/>
    <col min="8" max="8" width="13.5859375" style="174" hidden="1" customWidth="1"/>
    <col min="9" max="10" width="9.14453125" hidden="1" customWidth="1"/>
    <col min="11" max="11" width="9.14453125" customWidth="1"/>
  </cols>
  <sheetData>
    <row r="1" spans="1:10" ht="29.25" x14ac:dyDescent="0.2">
      <c r="C1" s="44" t="s">
        <v>805</v>
      </c>
      <c r="F1" s="170"/>
      <c r="G1" s="160"/>
      <c r="H1" s="171"/>
    </row>
    <row r="2" spans="1:10" ht="15.75" thickBot="1" x14ac:dyDescent="0.25">
      <c r="C2" s="22"/>
      <c r="F2" s="170"/>
      <c r="G2" s="160"/>
      <c r="H2" s="171"/>
    </row>
    <row r="3" spans="1:10" x14ac:dyDescent="0.2">
      <c r="A3" s="76"/>
      <c r="B3" s="83"/>
      <c r="C3" s="47" t="s">
        <v>804</v>
      </c>
      <c r="F3" s="158" t="s">
        <v>954</v>
      </c>
      <c r="G3" s="63">
        <f>G7+G33+G57+G111+G147</f>
        <v>0</v>
      </c>
    </row>
    <row r="4" spans="1:10" x14ac:dyDescent="0.2">
      <c r="A4" s="77"/>
      <c r="C4" s="312" t="s">
        <v>1089</v>
      </c>
      <c r="F4" s="160"/>
      <c r="G4" s="62"/>
    </row>
    <row r="5" spans="1:10" ht="56.25" x14ac:dyDescent="0.2">
      <c r="A5" s="77"/>
      <c r="C5" s="312" t="s">
        <v>1097</v>
      </c>
      <c r="F5" s="160"/>
      <c r="G5" s="62"/>
    </row>
    <row r="6" spans="1:10" x14ac:dyDescent="0.2">
      <c r="A6" s="77"/>
      <c r="C6" s="48"/>
      <c r="F6" s="160"/>
      <c r="G6" s="62"/>
    </row>
    <row r="7" spans="1:10" x14ac:dyDescent="0.2">
      <c r="A7" s="77"/>
      <c r="C7" s="49" t="s">
        <v>982</v>
      </c>
      <c r="F7" s="158" t="s">
        <v>953</v>
      </c>
      <c r="G7" s="134">
        <f>IF(B8="Bloco concluído",1,0)</f>
        <v>0</v>
      </c>
    </row>
    <row r="8" spans="1:10" ht="27.75" x14ac:dyDescent="0.2">
      <c r="A8" s="129"/>
      <c r="B8" s="67" t="str">
        <f>IF(AND(A11="Atingiu 100% das ações fixas",A16="Atingiu 100% das ações variáveis"),"BLOCO CONCLUÍDO","")</f>
        <v/>
      </c>
      <c r="C8" s="132" t="s">
        <v>1048</v>
      </c>
      <c r="D8"/>
      <c r="E8"/>
      <c r="F8" s="171"/>
      <c r="G8" s="171"/>
      <c r="H8" s="171"/>
    </row>
    <row r="9" spans="1:10" x14ac:dyDescent="0.2">
      <c r="A9" s="77"/>
      <c r="C9" s="51"/>
      <c r="F9" s="170"/>
      <c r="G9" s="160"/>
      <c r="H9" s="171"/>
    </row>
    <row r="10" spans="1:10" x14ac:dyDescent="0.2">
      <c r="A10" s="77"/>
      <c r="C10" s="52" t="s">
        <v>984</v>
      </c>
      <c r="F10" s="170"/>
      <c r="G10" s="160"/>
      <c r="H10" s="171"/>
    </row>
    <row r="11" spans="1:10" ht="27.75" x14ac:dyDescent="0.2">
      <c r="A11" s="369" t="str">
        <f>IF(J13&gt;=2,"Atingiu 100% das ações fixas","")</f>
        <v/>
      </c>
      <c r="B11" s="39" t="str">
        <f>IF(J11&gt;0,"Item OK","")</f>
        <v/>
      </c>
      <c r="C11" s="50" t="s">
        <v>806</v>
      </c>
      <c r="D11" s="164" t="s">
        <v>972</v>
      </c>
      <c r="E11" s="187"/>
      <c r="F11" s="166"/>
      <c r="G11" s="159"/>
      <c r="H11" s="158" t="s">
        <v>0</v>
      </c>
      <c r="I11" s="38">
        <f>'Rumo e Travessia'!A154</f>
        <v>0</v>
      </c>
      <c r="J11" s="38">
        <f>IF(G11+I11&gt;=1,1,0)+E11</f>
        <v>0</v>
      </c>
    </row>
    <row r="12" spans="1:10" ht="27.75" x14ac:dyDescent="0.2">
      <c r="A12" s="369"/>
      <c r="B12" s="39" t="str">
        <f>IF(J12&gt;0,"Item OK","")</f>
        <v/>
      </c>
      <c r="C12" s="50" t="s">
        <v>807</v>
      </c>
      <c r="D12" s="164" t="s">
        <v>972</v>
      </c>
      <c r="E12" s="187"/>
      <c r="F12" s="166"/>
      <c r="G12" s="159"/>
      <c r="H12" s="158" t="s">
        <v>27</v>
      </c>
      <c r="I12" s="38">
        <f>'Rumo e Travessia'!A10</f>
        <v>0</v>
      </c>
      <c r="J12" s="38">
        <f>IF(G12+I12&gt;=1,1,0)+E12</f>
        <v>0</v>
      </c>
    </row>
    <row r="13" spans="1:10" x14ac:dyDescent="0.2">
      <c r="A13" s="77"/>
      <c r="C13" s="51"/>
      <c r="F13" s="160"/>
      <c r="G13" s="161"/>
      <c r="H13" s="170"/>
      <c r="I13" s="68" t="s">
        <v>852</v>
      </c>
      <c r="J13" s="71">
        <f>SUM(J11:J12)</f>
        <v>0</v>
      </c>
    </row>
    <row r="14" spans="1:10" x14ac:dyDescent="0.2">
      <c r="A14" s="77"/>
      <c r="C14" s="49" t="s">
        <v>985</v>
      </c>
      <c r="F14" s="160"/>
      <c r="G14" s="161"/>
      <c r="H14" s="160"/>
      <c r="I14" s="40"/>
      <c r="J14" s="60"/>
    </row>
    <row r="15" spans="1:10" ht="17.25" x14ac:dyDescent="0.2">
      <c r="A15" s="77"/>
      <c r="C15" s="53" t="s">
        <v>808</v>
      </c>
      <c r="F15" s="160"/>
      <c r="G15" s="161"/>
      <c r="H15" s="160"/>
      <c r="I15" s="40"/>
      <c r="J15" s="60"/>
    </row>
    <row r="16" spans="1:10" x14ac:dyDescent="0.2">
      <c r="A16" s="391" t="str">
        <f>IF(OR(J27&gt;0,J23&gt;=3),"Atingiu 100% das ações variáveis","")</f>
        <v/>
      </c>
      <c r="B16" s="39" t="str">
        <f>IF(J16&gt;0,"Item OK","")</f>
        <v/>
      </c>
      <c r="C16" s="50" t="s">
        <v>809</v>
      </c>
      <c r="D16" s="164" t="s">
        <v>972</v>
      </c>
      <c r="E16" s="187"/>
      <c r="F16" s="166"/>
      <c r="G16" s="159"/>
      <c r="H16" s="158" t="s">
        <v>28</v>
      </c>
      <c r="I16" s="38">
        <f>'Rumo e Travessia'!A52</f>
        <v>0</v>
      </c>
      <c r="J16" s="38">
        <f>IF(G16+I16&gt;=1,1,0)+E16</f>
        <v>0</v>
      </c>
    </row>
    <row r="17" spans="1:10" ht="27.75" x14ac:dyDescent="0.2">
      <c r="A17" s="392"/>
      <c r="B17" s="39" t="str">
        <f>IF(J17&gt;0,"Item OK","")</f>
        <v/>
      </c>
      <c r="C17" s="50" t="s">
        <v>810</v>
      </c>
      <c r="D17" s="164" t="s">
        <v>972</v>
      </c>
      <c r="E17" s="187"/>
      <c r="F17" s="166" t="s">
        <v>227</v>
      </c>
      <c r="G17" s="159">
        <f>'Pistas e Trilha'!A142</f>
        <v>0</v>
      </c>
      <c r="H17" s="158" t="s">
        <v>228</v>
      </c>
      <c r="I17" s="38">
        <f>'Rumo e Travessia'!A118</f>
        <v>0</v>
      </c>
      <c r="J17" s="38">
        <f>IF(G17+I17&gt;=1,1,0)+E17</f>
        <v>0</v>
      </c>
    </row>
    <row r="18" spans="1:10" ht="27.75" x14ac:dyDescent="0.2">
      <c r="A18" s="392"/>
      <c r="B18" s="39" t="str">
        <f>IF(J18&gt;0,"Item OK","")</f>
        <v/>
      </c>
      <c r="C18" s="50" t="s">
        <v>811</v>
      </c>
      <c r="D18" s="164" t="s">
        <v>972</v>
      </c>
      <c r="E18" s="187"/>
      <c r="F18" s="166"/>
      <c r="G18" s="159"/>
      <c r="H18" s="158" t="s">
        <v>29</v>
      </c>
      <c r="I18" s="38">
        <f>'Rumo e Travessia'!A101</f>
        <v>0</v>
      </c>
      <c r="J18" s="38">
        <f>IF(G18+I18&gt;=1,1,0)+E18</f>
        <v>0</v>
      </c>
    </row>
    <row r="19" spans="1:10" x14ac:dyDescent="0.2">
      <c r="A19" s="393"/>
      <c r="B19" s="39" t="str">
        <f>IF(J19&gt;0,"Item OK","")</f>
        <v/>
      </c>
      <c r="C19" s="50" t="s">
        <v>812</v>
      </c>
      <c r="D19" s="164" t="s">
        <v>972</v>
      </c>
      <c r="E19" s="187"/>
      <c r="F19" s="166" t="s">
        <v>227</v>
      </c>
      <c r="G19" s="159">
        <f>'Pistas e Trilha'!A152</f>
        <v>0</v>
      </c>
      <c r="H19" s="158" t="s">
        <v>228</v>
      </c>
      <c r="I19" s="38">
        <f>'Rumo e Travessia'!A118</f>
        <v>0</v>
      </c>
      <c r="J19" s="38">
        <f>IF(G19+I19&gt;=1,1,0)+E19</f>
        <v>0</v>
      </c>
    </row>
    <row r="20" spans="1:10" x14ac:dyDescent="0.2">
      <c r="A20" s="137"/>
      <c r="B20" s="39"/>
      <c r="C20" s="52" t="s">
        <v>981</v>
      </c>
      <c r="D20" s="304"/>
      <c r="E20" s="305"/>
      <c r="F20" s="160"/>
      <c r="G20" s="161"/>
      <c r="H20" s="160"/>
      <c r="I20" s="40"/>
      <c r="J20" s="42"/>
    </row>
    <row r="21" spans="1:10" x14ac:dyDescent="0.2">
      <c r="A21" s="84"/>
      <c r="B21" s="39" t="str">
        <f>IF(J21&gt;0,"Item OK","")</f>
        <v/>
      </c>
      <c r="C21" s="50" t="s">
        <v>399</v>
      </c>
      <c r="F21" s="160"/>
      <c r="G21" s="161"/>
      <c r="H21" s="170"/>
      <c r="I21" s="40"/>
      <c r="J21" s="42">
        <f>'Especialidades ou Insígnias'!H152</f>
        <v>0</v>
      </c>
    </row>
    <row r="22" spans="1:10" x14ac:dyDescent="0.2">
      <c r="A22" s="85"/>
      <c r="B22" s="39" t="str">
        <f>IF(J22&gt;0,"Item OK","")</f>
        <v/>
      </c>
      <c r="C22" s="50" t="s">
        <v>413</v>
      </c>
      <c r="F22" s="160"/>
      <c r="G22" s="161"/>
      <c r="H22" s="170"/>
      <c r="I22" s="40"/>
      <c r="J22" s="72">
        <f>'Especialidades ou Insígnias'!H176</f>
        <v>0</v>
      </c>
    </row>
    <row r="23" spans="1:10" x14ac:dyDescent="0.2">
      <c r="A23" s="85"/>
      <c r="C23" s="52" t="s">
        <v>1052</v>
      </c>
      <c r="F23" s="160"/>
      <c r="G23" s="161"/>
      <c r="H23" s="170"/>
      <c r="I23" s="68" t="s">
        <v>852</v>
      </c>
      <c r="J23" s="68">
        <f>SUM(J16:J22)</f>
        <v>0</v>
      </c>
    </row>
    <row r="24" spans="1:10" x14ac:dyDescent="0.2">
      <c r="A24" s="85"/>
      <c r="B24" s="39" t="str">
        <f>IF(J24&gt;0,"Item OK","")</f>
        <v/>
      </c>
      <c r="C24" s="50" t="s">
        <v>337</v>
      </c>
      <c r="F24" s="160"/>
      <c r="G24" s="161"/>
      <c r="H24" s="170"/>
      <c r="I24" s="40"/>
      <c r="J24" s="42">
        <f>'Especialidades ou Insígnias'!H83</f>
        <v>0</v>
      </c>
    </row>
    <row r="25" spans="1:10" x14ac:dyDescent="0.2">
      <c r="A25" s="85"/>
      <c r="B25" s="39" t="str">
        <f>IF(J25&gt;0,"Item OK","")</f>
        <v/>
      </c>
      <c r="C25" s="50" t="s">
        <v>560</v>
      </c>
      <c r="F25" s="160"/>
      <c r="G25" s="161"/>
      <c r="H25" s="170"/>
      <c r="I25" s="40"/>
      <c r="J25" s="38">
        <f>'Especialidades ou Insígnias'!H195</f>
        <v>0</v>
      </c>
    </row>
    <row r="26" spans="1:10" ht="15.75" thickBot="1" x14ac:dyDescent="0.25">
      <c r="A26" s="78"/>
      <c r="B26" s="79" t="str">
        <f>IF(J26&gt;0,"Item OK","")</f>
        <v/>
      </c>
      <c r="C26" s="23" t="s">
        <v>851</v>
      </c>
      <c r="F26" s="160"/>
      <c r="G26" s="161"/>
      <c r="H26" s="170"/>
      <c r="I26" s="40"/>
      <c r="J26" s="38">
        <f>'Especialidades ou Insígnias'!B156</f>
        <v>0</v>
      </c>
    </row>
    <row r="27" spans="1:10" x14ac:dyDescent="0.2">
      <c r="F27" s="160"/>
      <c r="G27" s="161"/>
      <c r="H27" s="170"/>
      <c r="I27" s="68" t="s">
        <v>852</v>
      </c>
      <c r="J27" s="46">
        <f>SUM(J24:J26)</f>
        <v>0</v>
      </c>
    </row>
    <row r="28" spans="1:10" ht="15.75" thickBot="1" x14ac:dyDescent="0.25">
      <c r="F28" s="160"/>
      <c r="G28" s="161"/>
      <c r="H28" s="170"/>
      <c r="I28" s="40"/>
      <c r="J28" s="60"/>
    </row>
    <row r="29" spans="1:10" x14ac:dyDescent="0.2">
      <c r="A29" s="76"/>
      <c r="B29" s="83"/>
      <c r="C29" s="47" t="s">
        <v>813</v>
      </c>
      <c r="F29" s="160"/>
      <c r="G29" s="161"/>
      <c r="H29" s="170"/>
      <c r="I29" s="40"/>
      <c r="J29" s="60"/>
    </row>
    <row r="30" spans="1:10" x14ac:dyDescent="0.2">
      <c r="A30" s="77"/>
      <c r="C30" s="312" t="s">
        <v>1089</v>
      </c>
      <c r="F30" s="160"/>
      <c r="G30" s="161"/>
      <c r="H30" s="170"/>
      <c r="I30" s="40"/>
      <c r="J30" s="60"/>
    </row>
    <row r="31" spans="1:10" ht="56.25" x14ac:dyDescent="0.2">
      <c r="A31" s="77"/>
      <c r="C31" s="312" t="s">
        <v>1098</v>
      </c>
      <c r="F31" s="160"/>
      <c r="G31" s="161"/>
      <c r="H31" s="170"/>
      <c r="I31" s="40"/>
      <c r="J31" s="60"/>
    </row>
    <row r="32" spans="1:10" x14ac:dyDescent="0.2">
      <c r="A32" s="77"/>
      <c r="C32" s="51"/>
      <c r="F32" s="160"/>
      <c r="G32" s="161"/>
      <c r="H32" s="170"/>
      <c r="I32" s="40"/>
      <c r="J32" s="60"/>
    </row>
    <row r="33" spans="1:10" x14ac:dyDescent="0.2">
      <c r="A33" s="77"/>
      <c r="C33" s="49" t="s">
        <v>982</v>
      </c>
      <c r="F33" s="158" t="s">
        <v>953</v>
      </c>
      <c r="G33" s="162">
        <f>IF(B34="Bloco concluído",1,0)</f>
        <v>0</v>
      </c>
      <c r="H33" s="170"/>
      <c r="I33" s="40"/>
      <c r="J33" s="60"/>
    </row>
    <row r="34" spans="1:10" ht="27.75" x14ac:dyDescent="0.2">
      <c r="A34" s="129"/>
      <c r="B34" s="67" t="str">
        <f>IF(AND(A37="Atingiu 100% das ações fixas",A43="Atingiu 100% das ações variáveis"),"BLOCO CONCLUÍDO","")</f>
        <v/>
      </c>
      <c r="C34" s="132" t="s">
        <v>1049</v>
      </c>
      <c r="F34" s="160"/>
      <c r="G34" s="161"/>
      <c r="H34" s="170"/>
      <c r="I34" s="40"/>
      <c r="J34" s="60"/>
    </row>
    <row r="35" spans="1:10" x14ac:dyDescent="0.2">
      <c r="A35" s="77"/>
      <c r="C35" s="51"/>
      <c r="F35" s="160"/>
      <c r="G35" s="161"/>
      <c r="H35" s="170"/>
      <c r="I35" s="40"/>
      <c r="J35" s="60"/>
    </row>
    <row r="36" spans="1:10" x14ac:dyDescent="0.2">
      <c r="A36" s="77"/>
      <c r="C36" s="52" t="s">
        <v>984</v>
      </c>
      <c r="F36" s="160"/>
      <c r="G36" s="161"/>
      <c r="H36" s="160"/>
      <c r="I36" s="40"/>
      <c r="J36" s="60"/>
    </row>
    <row r="37" spans="1:10" ht="27.75" x14ac:dyDescent="0.2">
      <c r="A37" s="369" t="str">
        <f>IF(J40&gt;=3,"Atingiu 100% das ações fixas","")</f>
        <v/>
      </c>
      <c r="B37" s="39" t="str">
        <f>IF(J37&gt;0,"Item OK","")</f>
        <v/>
      </c>
      <c r="C37" s="50" t="s">
        <v>814</v>
      </c>
      <c r="D37" s="164" t="s">
        <v>972</v>
      </c>
      <c r="E37" s="187"/>
      <c r="F37" s="166"/>
      <c r="G37" s="159"/>
      <c r="H37" s="158" t="s">
        <v>957</v>
      </c>
      <c r="I37" s="38">
        <f>'Rumo e Travessia'!A113</f>
        <v>0</v>
      </c>
      <c r="J37" s="38">
        <f>IF(G37+I37&gt;=1,1,0)+E37</f>
        <v>0</v>
      </c>
    </row>
    <row r="38" spans="1:10" ht="27.75" x14ac:dyDescent="0.2">
      <c r="A38" s="369"/>
      <c r="B38" s="39" t="str">
        <f>IF(J38&gt;0,"Item OK","")</f>
        <v/>
      </c>
      <c r="C38" s="50" t="s">
        <v>815</v>
      </c>
      <c r="D38" s="164" t="s">
        <v>972</v>
      </c>
      <c r="E38" s="187"/>
      <c r="F38" s="166" t="s">
        <v>229</v>
      </c>
      <c r="G38" s="159">
        <f>'Pistas e Trilha'!A106</f>
        <v>0</v>
      </c>
      <c r="H38" s="158"/>
      <c r="I38" s="38"/>
      <c r="J38" s="38">
        <f>IF(G38+I38&gt;=1,1,0)+E38</f>
        <v>0</v>
      </c>
    </row>
    <row r="39" spans="1:10" ht="27.75" x14ac:dyDescent="0.2">
      <c r="A39" s="369"/>
      <c r="B39" s="39" t="str">
        <f>IF(J39&gt;0,"Item OK","")</f>
        <v/>
      </c>
      <c r="C39" s="50" t="s">
        <v>816</v>
      </c>
      <c r="D39" s="164" t="s">
        <v>972</v>
      </c>
      <c r="E39" s="187"/>
      <c r="F39" s="166" t="s">
        <v>230</v>
      </c>
      <c r="G39" s="159">
        <f>'Pistas e Trilha'!A94</f>
        <v>0</v>
      </c>
      <c r="H39" s="158"/>
      <c r="I39" s="38"/>
      <c r="J39" s="38">
        <f>IF(G39+I39&gt;=1,1,0)+E39</f>
        <v>0</v>
      </c>
    </row>
    <row r="40" spans="1:10" x14ac:dyDescent="0.2">
      <c r="A40" s="77"/>
      <c r="C40" s="51"/>
      <c r="F40" s="160"/>
      <c r="G40" s="161"/>
      <c r="H40" s="160"/>
      <c r="I40" s="70" t="s">
        <v>852</v>
      </c>
      <c r="J40" s="66">
        <f>SUM(J37:J39)</f>
        <v>0</v>
      </c>
    </row>
    <row r="41" spans="1:10" x14ac:dyDescent="0.2">
      <c r="A41" s="77"/>
      <c r="C41" s="49" t="s">
        <v>985</v>
      </c>
      <c r="F41" s="160"/>
      <c r="G41" s="161"/>
      <c r="H41" s="160"/>
      <c r="I41" s="40"/>
      <c r="J41" s="60"/>
    </row>
    <row r="42" spans="1:10" ht="17.25" x14ac:dyDescent="0.2">
      <c r="A42" s="77"/>
      <c r="C42" s="54" t="s">
        <v>817</v>
      </c>
      <c r="F42" s="160"/>
      <c r="G42" s="161"/>
      <c r="H42" s="160"/>
      <c r="I42" s="40"/>
      <c r="J42" s="60"/>
    </row>
    <row r="43" spans="1:10" ht="41.25" x14ac:dyDescent="0.2">
      <c r="A43" s="369" t="str">
        <f>IF(J51&gt;=2,"Atingiu 100% das ações variáveis","")</f>
        <v/>
      </c>
      <c r="B43" s="39" t="str">
        <f>IF(J43&gt;0,"Item OK","")</f>
        <v/>
      </c>
      <c r="C43" s="50" t="s">
        <v>818</v>
      </c>
      <c r="D43" s="164" t="s">
        <v>972</v>
      </c>
      <c r="E43" s="187"/>
      <c r="F43" s="166"/>
      <c r="G43" s="159"/>
      <c r="H43" s="158" t="s">
        <v>933</v>
      </c>
      <c r="I43" s="38">
        <f>'Rumo e Travessia'!A139</f>
        <v>0</v>
      </c>
      <c r="J43" s="38">
        <f>IF(G43+I43&gt;=1,1,0)+E43</f>
        <v>0</v>
      </c>
    </row>
    <row r="44" spans="1:10" ht="27.75" x14ac:dyDescent="0.2">
      <c r="A44" s="369"/>
      <c r="B44" s="39" t="str">
        <f>IF(J44&gt;0,"Item OK","")</f>
        <v/>
      </c>
      <c r="C44" s="50" t="s">
        <v>819</v>
      </c>
      <c r="D44" s="164" t="s">
        <v>972</v>
      </c>
      <c r="E44" s="187"/>
      <c r="F44" s="166" t="s">
        <v>231</v>
      </c>
      <c r="G44" s="159">
        <f>'Pistas e Trilha'!A140</f>
        <v>0</v>
      </c>
      <c r="H44" s="158" t="s">
        <v>232</v>
      </c>
      <c r="I44" s="38">
        <f>'Rumo e Travessia'!A143</f>
        <v>0</v>
      </c>
      <c r="J44" s="38">
        <f>IF(G44+I44&gt;=1,1,0)+E44</f>
        <v>0</v>
      </c>
    </row>
    <row r="45" spans="1:10" x14ac:dyDescent="0.2">
      <c r="A45" s="369"/>
      <c r="B45" s="39" t="str">
        <f>IF(J45&gt;0,"Item OK","")</f>
        <v/>
      </c>
      <c r="C45" s="50" t="s">
        <v>1050</v>
      </c>
      <c r="D45" s="164" t="s">
        <v>972</v>
      </c>
      <c r="E45" s="187"/>
      <c r="F45" s="166"/>
      <c r="G45" s="159"/>
      <c r="H45" s="158"/>
      <c r="I45" s="38"/>
      <c r="J45" s="38">
        <f>IF(G45+I45&gt;=1,1,0)+E45</f>
        <v>0</v>
      </c>
    </row>
    <row r="46" spans="1:10" x14ac:dyDescent="0.2">
      <c r="A46" s="369"/>
      <c r="B46" s="39" t="str">
        <f>IF(J46&gt;0,"Item OK","")</f>
        <v/>
      </c>
      <c r="C46" s="50" t="s">
        <v>820</v>
      </c>
      <c r="D46" s="164" t="s">
        <v>972</v>
      </c>
      <c r="E46" s="187"/>
      <c r="F46" s="166"/>
      <c r="G46" s="159"/>
      <c r="H46" s="158" t="s">
        <v>932</v>
      </c>
      <c r="I46" s="38">
        <f>'Rumo e Travessia'!A137</f>
        <v>0</v>
      </c>
      <c r="J46" s="38">
        <f>IF(G46+I46&gt;=1,1,0)+E46</f>
        <v>0</v>
      </c>
    </row>
    <row r="47" spans="1:10" x14ac:dyDescent="0.2">
      <c r="A47" s="369"/>
      <c r="B47" s="39"/>
      <c r="C47" s="52" t="s">
        <v>981</v>
      </c>
      <c r="F47" s="160"/>
      <c r="G47" s="161"/>
      <c r="H47" s="160"/>
      <c r="I47" s="40"/>
      <c r="J47" s="42"/>
    </row>
    <row r="48" spans="1:10" x14ac:dyDescent="0.2">
      <c r="A48" s="369"/>
      <c r="B48" s="39" t="str">
        <f>IF(J48&gt;0,"Item OK","")</f>
        <v/>
      </c>
      <c r="C48" s="50" t="s">
        <v>855</v>
      </c>
      <c r="F48" s="160"/>
      <c r="G48" s="161"/>
      <c r="H48" s="160"/>
      <c r="I48" s="40"/>
      <c r="J48" s="42">
        <f>'Especialidades ou Insígnias'!H236</f>
        <v>0</v>
      </c>
    </row>
    <row r="49" spans="1:10" x14ac:dyDescent="0.2">
      <c r="A49" s="369"/>
      <c r="B49" s="39" t="str">
        <f>IF(J49&gt;0,"Item OK","")</f>
        <v/>
      </c>
      <c r="C49" s="50" t="s">
        <v>377</v>
      </c>
      <c r="F49" s="160"/>
      <c r="G49" s="161"/>
      <c r="H49" s="160"/>
      <c r="I49" s="40"/>
      <c r="J49" s="38">
        <f>'Especialidades ou Insígnias'!H129</f>
        <v>0</v>
      </c>
    </row>
    <row r="50" spans="1:10" ht="15.75" thickBot="1" x14ac:dyDescent="0.25">
      <c r="A50" s="369"/>
      <c r="B50" s="79" t="str">
        <f>IF(J50&gt;0,"Item OK","")</f>
        <v/>
      </c>
      <c r="C50" s="23" t="s">
        <v>561</v>
      </c>
      <c r="F50" s="160"/>
      <c r="G50" s="161"/>
      <c r="H50" s="160"/>
      <c r="I50" s="40"/>
      <c r="J50" s="38">
        <f>'Especialidades ou Insígnias'!H224</f>
        <v>0</v>
      </c>
    </row>
    <row r="51" spans="1:10" x14ac:dyDescent="0.2">
      <c r="B51" s="22"/>
      <c r="F51" s="160"/>
      <c r="G51" s="161"/>
      <c r="H51" s="160"/>
      <c r="I51" s="70" t="s">
        <v>852</v>
      </c>
      <c r="J51" s="66">
        <f>SUM(J43:J50)</f>
        <v>0</v>
      </c>
    </row>
    <row r="52" spans="1:10" ht="15.75" thickBot="1" x14ac:dyDescent="0.25">
      <c r="F52" s="169"/>
      <c r="G52" s="168"/>
      <c r="H52" s="169"/>
      <c r="I52" s="2"/>
      <c r="J52" s="37"/>
    </row>
    <row r="53" spans="1:10" ht="15.75" x14ac:dyDescent="0.2">
      <c r="A53" s="76"/>
      <c r="B53" s="83"/>
      <c r="C53" s="47" t="s">
        <v>821</v>
      </c>
      <c r="F53" s="160"/>
      <c r="G53" s="161"/>
      <c r="H53" s="160"/>
      <c r="I53" s="40"/>
      <c r="J53" s="60"/>
    </row>
    <row r="54" spans="1:10" x14ac:dyDescent="0.2">
      <c r="A54" s="77"/>
      <c r="C54" s="312" t="s">
        <v>1089</v>
      </c>
      <c r="F54" s="160"/>
      <c r="G54" s="161"/>
      <c r="H54" s="160"/>
      <c r="I54" s="40"/>
      <c r="J54" s="60"/>
    </row>
    <row r="55" spans="1:10" ht="23.25" x14ac:dyDescent="0.2">
      <c r="A55" s="77"/>
      <c r="C55" s="312" t="s">
        <v>1099</v>
      </c>
      <c r="F55" s="160"/>
      <c r="G55" s="161"/>
      <c r="H55" s="160"/>
      <c r="I55" s="40"/>
      <c r="J55" s="60"/>
    </row>
    <row r="56" spans="1:10" x14ac:dyDescent="0.2">
      <c r="A56" s="77"/>
      <c r="C56" s="51"/>
      <c r="F56" s="160"/>
      <c r="G56" s="161"/>
      <c r="H56" s="160"/>
      <c r="I56" s="40"/>
      <c r="J56" s="60"/>
    </row>
    <row r="57" spans="1:10" x14ac:dyDescent="0.2">
      <c r="A57" s="77"/>
      <c r="C57" s="49" t="s">
        <v>982</v>
      </c>
      <c r="F57" s="158" t="s">
        <v>953</v>
      </c>
      <c r="G57" s="162">
        <f>IF(B58="Bloco concluído",1,0)</f>
        <v>0</v>
      </c>
      <c r="H57" s="160"/>
      <c r="I57" s="40"/>
      <c r="J57" s="60"/>
    </row>
    <row r="58" spans="1:10" ht="41.25" x14ac:dyDescent="0.2">
      <c r="A58" s="129"/>
      <c r="B58" s="67" t="str">
        <f>IF(AND(A61="Atingiu 100% das ações fixas",A65="Atingiu 100% das ações variáveis"),"BLOCO CONCLUÍDO","")</f>
        <v/>
      </c>
      <c r="C58" s="132" t="s">
        <v>1051</v>
      </c>
      <c r="F58" s="160"/>
      <c r="G58" s="161"/>
      <c r="H58" s="160"/>
      <c r="I58" s="40"/>
      <c r="J58" s="60"/>
    </row>
    <row r="59" spans="1:10" x14ac:dyDescent="0.2">
      <c r="A59" s="77"/>
      <c r="C59" s="51"/>
      <c r="F59" s="160"/>
      <c r="G59" s="161"/>
      <c r="H59" s="160"/>
      <c r="I59" s="40"/>
      <c r="J59" s="60"/>
    </row>
    <row r="60" spans="1:10" x14ac:dyDescent="0.2">
      <c r="A60" s="77"/>
      <c r="C60" s="49" t="s">
        <v>984</v>
      </c>
      <c r="F60" s="160"/>
      <c r="G60" s="161"/>
      <c r="H60" s="160"/>
      <c r="I60" s="40"/>
      <c r="J60" s="60"/>
    </row>
    <row r="61" spans="1:10" ht="45" customHeight="1" x14ac:dyDescent="0.2">
      <c r="A61" s="131" t="str">
        <f>IF(J61&gt;0,"Atingiu 100% das ações fixas","")</f>
        <v/>
      </c>
      <c r="B61" s="39" t="str">
        <f>IF(J61&gt;0,"Item OK","")</f>
        <v/>
      </c>
      <c r="C61" s="50" t="s">
        <v>822</v>
      </c>
      <c r="D61" s="164" t="s">
        <v>972</v>
      </c>
      <c r="E61" s="187"/>
      <c r="F61" s="166" t="s">
        <v>233</v>
      </c>
      <c r="G61" s="159">
        <f>'Pistas e Trilha'!A84</f>
        <v>0</v>
      </c>
      <c r="H61" s="158" t="s">
        <v>234</v>
      </c>
      <c r="I61" s="38">
        <f>'Rumo e Travessia'!A14</f>
        <v>0</v>
      </c>
      <c r="J61" s="38">
        <f>IF(G61+I61&gt;=1,1,0)+E61</f>
        <v>0</v>
      </c>
    </row>
    <row r="62" spans="1:10" x14ac:dyDescent="0.2">
      <c r="A62" s="77"/>
      <c r="C62" s="51"/>
      <c r="F62" s="160"/>
      <c r="G62" s="161"/>
      <c r="H62" s="160"/>
      <c r="I62" s="40"/>
      <c r="J62" s="60"/>
    </row>
    <row r="63" spans="1:10" x14ac:dyDescent="0.2">
      <c r="A63" s="77"/>
      <c r="C63" s="49" t="s">
        <v>985</v>
      </c>
      <c r="F63" s="160"/>
      <c r="G63" s="161"/>
      <c r="H63" s="160"/>
      <c r="I63" s="40"/>
      <c r="J63" s="60"/>
    </row>
    <row r="64" spans="1:10" ht="17.25" x14ac:dyDescent="0.2">
      <c r="A64" s="77"/>
      <c r="C64" s="54" t="s">
        <v>585</v>
      </c>
      <c r="F64" s="160"/>
      <c r="G64" s="161"/>
      <c r="H64" s="160"/>
      <c r="I64" s="40"/>
      <c r="J64" s="60"/>
    </row>
    <row r="65" spans="1:10" ht="27.75" x14ac:dyDescent="0.2">
      <c r="A65" s="394" t="str">
        <f>IF(OR(J105&gt;0,J100&gt;=5),"Atingiu 100% das ações variáveis","")</f>
        <v/>
      </c>
      <c r="B65" s="39" t="str">
        <f t="shared" ref="B65:B76" si="0">IF(J65&gt;0,"Item OK","")</f>
        <v/>
      </c>
      <c r="C65" s="50" t="s">
        <v>823</v>
      </c>
      <c r="D65" s="164" t="s">
        <v>972</v>
      </c>
      <c r="E65" s="187"/>
      <c r="F65" s="167" t="s">
        <v>934</v>
      </c>
      <c r="G65" s="159">
        <f>'Especialidades ou Insígnias'!H126</f>
        <v>0</v>
      </c>
      <c r="H65" s="158"/>
      <c r="I65" s="38"/>
      <c r="J65" s="38">
        <f>IF(G65+I65&gt;=1,1,0)+E65</f>
        <v>0</v>
      </c>
    </row>
    <row r="66" spans="1:10" x14ac:dyDescent="0.2">
      <c r="A66" s="394"/>
      <c r="B66" s="39" t="str">
        <f t="shared" si="0"/>
        <v/>
      </c>
      <c r="C66" s="50" t="s">
        <v>824</v>
      </c>
      <c r="D66" s="164" t="s">
        <v>972</v>
      </c>
      <c r="E66" s="187"/>
      <c r="F66" s="166" t="s">
        <v>233</v>
      </c>
      <c r="G66" s="159">
        <f>'Pistas e Trilha'!A84</f>
        <v>0</v>
      </c>
      <c r="H66" s="158" t="s">
        <v>234</v>
      </c>
      <c r="I66" s="38">
        <f>'Rumo e Travessia'!A138</f>
        <v>0</v>
      </c>
      <c r="J66" s="38">
        <f>IF(G66+I66&gt;=1,1,0)+E66</f>
        <v>0</v>
      </c>
    </row>
    <row r="67" spans="1:10" ht="27.75" x14ac:dyDescent="0.2">
      <c r="A67" s="394"/>
      <c r="B67" s="39" t="str">
        <f t="shared" si="0"/>
        <v/>
      </c>
      <c r="C67" s="50" t="s">
        <v>825</v>
      </c>
      <c r="D67" s="164" t="s">
        <v>972</v>
      </c>
      <c r="E67" s="187"/>
      <c r="F67" s="166" t="s">
        <v>30</v>
      </c>
      <c r="G67" s="159">
        <f>'Pistas e Trilha'!A119</f>
        <v>0</v>
      </c>
      <c r="H67" s="158"/>
      <c r="I67" s="38"/>
      <c r="J67" s="38">
        <f>IF(G67+I67&gt;=1,1,0)+E67</f>
        <v>0</v>
      </c>
    </row>
    <row r="68" spans="1:10" x14ac:dyDescent="0.2">
      <c r="A68" s="394"/>
      <c r="B68" s="39" t="str">
        <f t="shared" si="0"/>
        <v/>
      </c>
      <c r="C68" s="50" t="s">
        <v>826</v>
      </c>
      <c r="D68" s="164" t="s">
        <v>972</v>
      </c>
      <c r="E68" s="187"/>
      <c r="F68" s="166" t="s">
        <v>31</v>
      </c>
      <c r="G68" s="159">
        <f>'Pistas e Trilha'!A151</f>
        <v>0</v>
      </c>
      <c r="H68" s="158"/>
      <c r="I68" s="38"/>
      <c r="J68" s="38">
        <f t="shared" ref="J68:J76" si="1">IF(G68+I68&gt;=1,1,0)+E68</f>
        <v>0</v>
      </c>
    </row>
    <row r="69" spans="1:10" ht="27.75" x14ac:dyDescent="0.2">
      <c r="A69" s="394"/>
      <c r="B69" s="39" t="str">
        <f t="shared" si="0"/>
        <v/>
      </c>
      <c r="C69" s="50" t="s">
        <v>827</v>
      </c>
      <c r="D69" s="164" t="s">
        <v>972</v>
      </c>
      <c r="E69" s="187"/>
      <c r="F69" s="166"/>
      <c r="G69" s="159"/>
      <c r="H69" s="158" t="s">
        <v>32</v>
      </c>
      <c r="I69" s="38">
        <f>'Rumo e Travessia'!A153</f>
        <v>0</v>
      </c>
      <c r="J69" s="38">
        <f t="shared" si="1"/>
        <v>0</v>
      </c>
    </row>
    <row r="70" spans="1:10" x14ac:dyDescent="0.2">
      <c r="A70" s="394"/>
      <c r="B70" s="39" t="str">
        <f t="shared" si="0"/>
        <v/>
      </c>
      <c r="C70" s="50" t="s">
        <v>828</v>
      </c>
      <c r="D70" s="164" t="s">
        <v>972</v>
      </c>
      <c r="E70" s="187"/>
      <c r="F70" s="166" t="s">
        <v>235</v>
      </c>
      <c r="G70" s="159">
        <f>'Pistas e Trilha'!A152</f>
        <v>0</v>
      </c>
      <c r="H70" s="158" t="s">
        <v>236</v>
      </c>
      <c r="I70" s="38">
        <f>'Rumo e Travessia'!A167</f>
        <v>0</v>
      </c>
      <c r="J70" s="38">
        <f t="shared" si="1"/>
        <v>0</v>
      </c>
    </row>
    <row r="71" spans="1:10" x14ac:dyDescent="0.2">
      <c r="A71" s="394"/>
      <c r="B71" s="39" t="str">
        <f t="shared" si="0"/>
        <v/>
      </c>
      <c r="C71" s="50" t="s">
        <v>829</v>
      </c>
      <c r="D71" s="164" t="s">
        <v>972</v>
      </c>
      <c r="E71" s="187"/>
      <c r="F71" s="166" t="s">
        <v>33</v>
      </c>
      <c r="G71" s="159">
        <f>'Pistas e Trilha'!A153</f>
        <v>0</v>
      </c>
      <c r="H71" s="158"/>
      <c r="I71" s="38"/>
      <c r="J71" s="38">
        <f t="shared" si="1"/>
        <v>0</v>
      </c>
    </row>
    <row r="72" spans="1:10" ht="27.75" x14ac:dyDescent="0.2">
      <c r="A72" s="394"/>
      <c r="B72" s="39" t="str">
        <f t="shared" si="0"/>
        <v/>
      </c>
      <c r="C72" s="50" t="s">
        <v>830</v>
      </c>
      <c r="D72" s="164" t="s">
        <v>972</v>
      </c>
      <c r="E72" s="187"/>
      <c r="F72" s="166" t="s">
        <v>1116</v>
      </c>
      <c r="G72" s="159">
        <f>'Pistas e Trilha'!A150</f>
        <v>0</v>
      </c>
      <c r="H72" s="158"/>
      <c r="I72" s="38"/>
      <c r="J72" s="38">
        <f t="shared" si="1"/>
        <v>0</v>
      </c>
    </row>
    <row r="73" spans="1:10" ht="27.75" x14ac:dyDescent="0.2">
      <c r="A73" s="394"/>
      <c r="B73" s="39" t="str">
        <f t="shared" si="0"/>
        <v/>
      </c>
      <c r="C73" s="50" t="s">
        <v>831</v>
      </c>
      <c r="D73" s="164" t="s">
        <v>972</v>
      </c>
      <c r="E73" s="187"/>
      <c r="F73" s="166"/>
      <c r="G73" s="159"/>
      <c r="H73" s="158" t="s">
        <v>34</v>
      </c>
      <c r="I73" s="38">
        <f>'Rumo e Travessia'!A157</f>
        <v>0</v>
      </c>
      <c r="J73" s="38">
        <f t="shared" si="1"/>
        <v>0</v>
      </c>
    </row>
    <row r="74" spans="1:10" x14ac:dyDescent="0.2">
      <c r="A74" s="394"/>
      <c r="B74" s="39" t="str">
        <f t="shared" si="0"/>
        <v/>
      </c>
      <c r="C74" s="50" t="s">
        <v>832</v>
      </c>
      <c r="D74" s="164" t="s">
        <v>972</v>
      </c>
      <c r="E74" s="187"/>
      <c r="F74" s="166"/>
      <c r="G74" s="159"/>
      <c r="H74" s="158" t="s">
        <v>35</v>
      </c>
      <c r="I74" s="38">
        <f>'Rumo e Travessia'!A158</f>
        <v>0</v>
      </c>
      <c r="J74" s="38">
        <f t="shared" si="1"/>
        <v>0</v>
      </c>
    </row>
    <row r="75" spans="1:10" x14ac:dyDescent="0.2">
      <c r="A75" s="394"/>
      <c r="B75" s="39" t="str">
        <f t="shared" si="0"/>
        <v/>
      </c>
      <c r="C75" s="50" t="s">
        <v>833</v>
      </c>
      <c r="D75" s="164" t="s">
        <v>972</v>
      </c>
      <c r="E75" s="187"/>
      <c r="F75" s="166"/>
      <c r="G75" s="159"/>
      <c r="H75" s="158" t="s">
        <v>36</v>
      </c>
      <c r="I75" s="38">
        <f>'Rumo e Travessia'!A159</f>
        <v>0</v>
      </c>
      <c r="J75" s="38">
        <f t="shared" si="1"/>
        <v>0</v>
      </c>
    </row>
    <row r="76" spans="1:10" ht="27.75" x14ac:dyDescent="0.2">
      <c r="A76" s="394"/>
      <c r="B76" s="39" t="str">
        <f t="shared" si="0"/>
        <v/>
      </c>
      <c r="C76" s="50" t="s">
        <v>834</v>
      </c>
      <c r="D76" s="164" t="s">
        <v>972</v>
      </c>
      <c r="E76" s="187"/>
      <c r="F76" s="166" t="s">
        <v>31</v>
      </c>
      <c r="G76" s="159">
        <f>'Pistas e Trilha'!A151</f>
        <v>0</v>
      </c>
      <c r="H76" s="158" t="s">
        <v>235</v>
      </c>
      <c r="I76" s="38">
        <f>'Pistas e Trilha'!A152</f>
        <v>0</v>
      </c>
      <c r="J76" s="38">
        <f t="shared" si="1"/>
        <v>0</v>
      </c>
    </row>
    <row r="77" spans="1:10" x14ac:dyDescent="0.2">
      <c r="A77" s="394"/>
      <c r="B77" s="39"/>
      <c r="C77" s="49" t="s">
        <v>981</v>
      </c>
      <c r="D77" s="304"/>
      <c r="E77" s="305"/>
      <c r="F77" s="160"/>
      <c r="G77" s="161"/>
      <c r="H77" s="160"/>
      <c r="I77" s="40"/>
      <c r="J77" s="38"/>
    </row>
    <row r="78" spans="1:10" x14ac:dyDescent="0.2">
      <c r="A78" s="394"/>
      <c r="B78" s="39" t="str">
        <f t="shared" ref="B78:B99" si="2">IF(J78&gt;0,"Item OK","")</f>
        <v/>
      </c>
      <c r="C78" s="50" t="s">
        <v>275</v>
      </c>
      <c r="F78" s="160"/>
      <c r="G78" s="161"/>
      <c r="H78" s="170"/>
      <c r="I78" s="40"/>
      <c r="J78" s="38">
        <f>'Especialidades ou Insígnias'!H17</f>
        <v>0</v>
      </c>
    </row>
    <row r="79" spans="1:10" x14ac:dyDescent="0.2">
      <c r="A79" s="394"/>
      <c r="B79" s="39" t="str">
        <f t="shared" si="2"/>
        <v/>
      </c>
      <c r="C79" s="50" t="s">
        <v>279</v>
      </c>
      <c r="F79" s="160"/>
      <c r="G79" s="161"/>
      <c r="H79" s="170"/>
      <c r="I79" s="40"/>
      <c r="J79" s="38">
        <f>'Especialidades ou Insígnias'!H21</f>
        <v>0</v>
      </c>
    </row>
    <row r="80" spans="1:10" x14ac:dyDescent="0.2">
      <c r="A80" s="394"/>
      <c r="B80" s="39" t="str">
        <f t="shared" si="2"/>
        <v/>
      </c>
      <c r="C80" s="50" t="s">
        <v>281</v>
      </c>
      <c r="F80" s="160"/>
      <c r="G80" s="161"/>
      <c r="H80" s="170"/>
      <c r="I80" s="40"/>
      <c r="J80" s="38">
        <f>'Especialidades ou Insígnias'!H23</f>
        <v>0</v>
      </c>
    </row>
    <row r="81" spans="1:10" x14ac:dyDescent="0.2">
      <c r="A81" s="394"/>
      <c r="B81" s="39" t="str">
        <f t="shared" si="2"/>
        <v/>
      </c>
      <c r="C81" s="50" t="s">
        <v>284</v>
      </c>
      <c r="F81" s="160"/>
      <c r="G81" s="161"/>
      <c r="H81" s="170"/>
      <c r="I81" s="40"/>
      <c r="J81" s="38">
        <f>'Especialidades ou Insígnias'!H26</f>
        <v>0</v>
      </c>
    </row>
    <row r="82" spans="1:10" x14ac:dyDescent="0.2">
      <c r="A82" s="394"/>
      <c r="B82" s="39" t="str">
        <f t="shared" si="2"/>
        <v/>
      </c>
      <c r="C82" s="50" t="s">
        <v>304</v>
      </c>
      <c r="F82" s="160"/>
      <c r="G82" s="161"/>
      <c r="H82" s="170"/>
      <c r="I82" s="40"/>
      <c r="J82" s="38">
        <f>'Especialidades ou Insígnias'!H48</f>
        <v>0</v>
      </c>
    </row>
    <row r="83" spans="1:10" x14ac:dyDescent="0.2">
      <c r="A83" s="394"/>
      <c r="B83" s="39" t="str">
        <f t="shared" si="2"/>
        <v/>
      </c>
      <c r="C83" s="50" t="s">
        <v>562</v>
      </c>
      <c r="F83" s="160"/>
      <c r="G83" s="161"/>
      <c r="H83" s="170"/>
      <c r="I83" s="40"/>
      <c r="J83" s="38">
        <f>'Especialidades ou Insígnias'!H56</f>
        <v>0</v>
      </c>
    </row>
    <row r="84" spans="1:10" x14ac:dyDescent="0.2">
      <c r="A84" s="394"/>
      <c r="B84" s="39" t="str">
        <f t="shared" si="2"/>
        <v/>
      </c>
      <c r="C84" s="50" t="s">
        <v>323</v>
      </c>
      <c r="F84" s="160"/>
      <c r="G84" s="161"/>
      <c r="H84" s="170"/>
      <c r="I84" s="40"/>
      <c r="J84" s="38">
        <f>'Especialidades ou Insígnias'!H68</f>
        <v>0</v>
      </c>
    </row>
    <row r="85" spans="1:10" x14ac:dyDescent="0.2">
      <c r="A85" s="394"/>
      <c r="B85" s="39" t="str">
        <f t="shared" si="2"/>
        <v/>
      </c>
      <c r="C85" s="50" t="s">
        <v>902</v>
      </c>
      <c r="F85" s="160"/>
      <c r="G85" s="161"/>
      <c r="H85" s="170"/>
      <c r="I85" s="40"/>
      <c r="J85" s="38">
        <f>'Especialidades ou Insígnias'!H77</f>
        <v>0</v>
      </c>
    </row>
    <row r="86" spans="1:10" x14ac:dyDescent="0.2">
      <c r="A86" s="394"/>
      <c r="B86" s="39" t="str">
        <f t="shared" si="2"/>
        <v/>
      </c>
      <c r="C86" s="50" t="s">
        <v>563</v>
      </c>
      <c r="F86" s="160"/>
      <c r="G86" s="161"/>
      <c r="H86" s="170"/>
      <c r="I86" s="40"/>
      <c r="J86" s="38">
        <f>'Especialidades ou Insígnias'!H81</f>
        <v>0</v>
      </c>
    </row>
    <row r="87" spans="1:10" x14ac:dyDescent="0.2">
      <c r="A87" s="394"/>
      <c r="B87" s="39" t="str">
        <f t="shared" si="2"/>
        <v/>
      </c>
      <c r="C87" s="50" t="s">
        <v>388</v>
      </c>
      <c r="F87" s="160"/>
      <c r="G87" s="161"/>
      <c r="H87" s="170"/>
      <c r="I87" s="40"/>
      <c r="J87" s="38">
        <f>'Especialidades ou Insígnias'!H140</f>
        <v>0</v>
      </c>
    </row>
    <row r="88" spans="1:10" x14ac:dyDescent="0.2">
      <c r="A88" s="394"/>
      <c r="B88" s="39" t="str">
        <f t="shared" si="2"/>
        <v/>
      </c>
      <c r="C88" s="50" t="s">
        <v>564</v>
      </c>
      <c r="F88" s="160"/>
      <c r="G88" s="161"/>
      <c r="H88" s="170"/>
      <c r="I88" s="40"/>
      <c r="J88" s="38">
        <f>'Especialidades ou Insígnias'!H143</f>
        <v>0</v>
      </c>
    </row>
    <row r="89" spans="1:10" x14ac:dyDescent="0.2">
      <c r="A89" s="394"/>
      <c r="B89" s="39" t="str">
        <f t="shared" si="2"/>
        <v/>
      </c>
      <c r="C89" s="50" t="s">
        <v>389</v>
      </c>
      <c r="F89" s="160"/>
      <c r="G89" s="161"/>
      <c r="H89" s="170"/>
      <c r="I89" s="40"/>
      <c r="J89" s="38">
        <f>'Especialidades ou Insígnias'!H141</f>
        <v>0</v>
      </c>
    </row>
    <row r="90" spans="1:10" x14ac:dyDescent="0.2">
      <c r="A90" s="394"/>
      <c r="B90" s="39" t="str">
        <f t="shared" si="2"/>
        <v/>
      </c>
      <c r="C90" s="50" t="s">
        <v>390</v>
      </c>
      <c r="F90" s="160"/>
      <c r="G90" s="161"/>
      <c r="H90" s="170"/>
      <c r="I90" s="40"/>
      <c r="J90" s="38">
        <f>'Especialidades ou Insígnias'!H142</f>
        <v>0</v>
      </c>
    </row>
    <row r="91" spans="1:10" x14ac:dyDescent="0.2">
      <c r="A91" s="394"/>
      <c r="B91" s="39" t="str">
        <f t="shared" si="2"/>
        <v/>
      </c>
      <c r="C91" s="50" t="s">
        <v>392</v>
      </c>
      <c r="F91" s="160"/>
      <c r="G91" s="161"/>
      <c r="H91" s="170"/>
      <c r="I91" s="40"/>
      <c r="J91" s="38">
        <f>'Especialidades ou Insígnias'!H145</f>
        <v>0</v>
      </c>
    </row>
    <row r="92" spans="1:10" x14ac:dyDescent="0.2">
      <c r="A92" s="394"/>
      <c r="B92" s="39" t="str">
        <f t="shared" si="2"/>
        <v/>
      </c>
      <c r="C92" s="50" t="s">
        <v>393</v>
      </c>
      <c r="F92" s="160"/>
      <c r="G92" s="161"/>
      <c r="H92" s="170"/>
      <c r="I92" s="40"/>
      <c r="J92" s="38">
        <f>'Especialidades ou Insígnias'!H146</f>
        <v>0</v>
      </c>
    </row>
    <row r="93" spans="1:10" x14ac:dyDescent="0.2">
      <c r="A93" s="394"/>
      <c r="B93" s="39" t="str">
        <f t="shared" si="2"/>
        <v/>
      </c>
      <c r="C93" s="50" t="s">
        <v>394</v>
      </c>
      <c r="F93" s="160"/>
      <c r="G93" s="161"/>
      <c r="H93" s="170"/>
      <c r="I93" s="40"/>
      <c r="J93" s="38">
        <f>'Especialidades ou Insígnias'!H147</f>
        <v>0</v>
      </c>
    </row>
    <row r="94" spans="1:10" x14ac:dyDescent="0.2">
      <c r="A94" s="394"/>
      <c r="B94" s="39" t="str">
        <f t="shared" si="2"/>
        <v/>
      </c>
      <c r="C94" s="50" t="s">
        <v>417</v>
      </c>
      <c r="F94" s="160"/>
      <c r="G94" s="161"/>
      <c r="H94" s="170"/>
      <c r="I94" s="40"/>
      <c r="J94" s="38">
        <f>'Especialidades ou Insígnias'!H180</f>
        <v>0</v>
      </c>
    </row>
    <row r="95" spans="1:10" x14ac:dyDescent="0.2">
      <c r="A95" s="394"/>
      <c r="B95" s="39" t="str">
        <f t="shared" si="2"/>
        <v/>
      </c>
      <c r="C95" s="50" t="s">
        <v>565</v>
      </c>
      <c r="F95" s="160"/>
      <c r="G95" s="161"/>
      <c r="H95" s="170"/>
      <c r="I95" s="40"/>
      <c r="J95" s="38">
        <f>'Especialidades ou Insígnias'!H202</f>
        <v>0</v>
      </c>
    </row>
    <row r="96" spans="1:10" x14ac:dyDescent="0.2">
      <c r="A96" s="394"/>
      <c r="B96" s="39" t="str">
        <f t="shared" si="2"/>
        <v/>
      </c>
      <c r="C96" s="50" t="s">
        <v>442</v>
      </c>
      <c r="F96" s="160"/>
      <c r="G96" s="161"/>
      <c r="H96" s="170"/>
      <c r="I96" s="40"/>
      <c r="J96" s="38">
        <f>'Especialidades ou Insígnias'!H207</f>
        <v>0</v>
      </c>
    </row>
    <row r="97" spans="1:10" x14ac:dyDescent="0.2">
      <c r="A97" s="394"/>
      <c r="B97" s="39" t="str">
        <f t="shared" si="2"/>
        <v/>
      </c>
      <c r="C97" s="50" t="s">
        <v>566</v>
      </c>
      <c r="F97" s="160"/>
      <c r="G97" s="161"/>
      <c r="H97" s="170"/>
      <c r="I97" s="40"/>
      <c r="J97" s="38">
        <f>'Especialidades ou Insígnias'!H217</f>
        <v>0</v>
      </c>
    </row>
    <row r="98" spans="1:10" x14ac:dyDescent="0.2">
      <c r="A98" s="394"/>
      <c r="B98" s="39" t="str">
        <f t="shared" si="2"/>
        <v/>
      </c>
      <c r="C98" s="50" t="s">
        <v>453</v>
      </c>
      <c r="F98" s="160"/>
      <c r="G98" s="161"/>
      <c r="H98" s="170"/>
      <c r="I98" s="40"/>
      <c r="J98" s="38">
        <f>'Especialidades ou Insígnias'!H220</f>
        <v>0</v>
      </c>
    </row>
    <row r="99" spans="1:10" x14ac:dyDescent="0.2">
      <c r="A99" s="394"/>
      <c r="B99" s="39" t="str">
        <f t="shared" si="2"/>
        <v/>
      </c>
      <c r="C99" s="50" t="s">
        <v>466</v>
      </c>
      <c r="F99" s="160"/>
      <c r="G99" s="161"/>
      <c r="H99" s="170"/>
      <c r="I99" s="40"/>
      <c r="J99" s="38">
        <f>'Especialidades ou Insígnias'!H234</f>
        <v>0</v>
      </c>
    </row>
    <row r="100" spans="1:10" x14ac:dyDescent="0.2">
      <c r="A100" s="77"/>
      <c r="C100" s="51"/>
      <c r="F100" s="160"/>
      <c r="G100" s="161"/>
      <c r="H100" s="170"/>
      <c r="I100" s="68" t="s">
        <v>852</v>
      </c>
      <c r="J100" s="71">
        <f>SUM(J65:J99)</f>
        <v>0</v>
      </c>
    </row>
    <row r="101" spans="1:10" x14ac:dyDescent="0.2">
      <c r="A101" s="77"/>
      <c r="C101" s="52" t="s">
        <v>1057</v>
      </c>
      <c r="F101" s="160"/>
      <c r="G101" s="161"/>
      <c r="H101" s="170"/>
      <c r="I101" s="40"/>
      <c r="J101" s="60"/>
    </row>
    <row r="102" spans="1:10" x14ac:dyDescent="0.2">
      <c r="A102" s="77"/>
      <c r="B102" s="39" t="str">
        <f>IF(J102&gt;0,"Item OK","")</f>
        <v/>
      </c>
      <c r="C102" s="50" t="s">
        <v>903</v>
      </c>
      <c r="F102" s="160"/>
      <c r="G102" s="161"/>
      <c r="H102" s="170"/>
      <c r="I102" s="40"/>
      <c r="J102" s="38">
        <f>'Especialidades ou Insígnias'!H44</f>
        <v>0</v>
      </c>
    </row>
    <row r="103" spans="1:10" x14ac:dyDescent="0.2">
      <c r="A103" s="77"/>
      <c r="B103" s="39" t="str">
        <f>IF(J103&gt;0,"Item OK","")</f>
        <v/>
      </c>
      <c r="C103" s="50" t="s">
        <v>374</v>
      </c>
      <c r="F103" s="160"/>
      <c r="G103" s="161"/>
      <c r="H103" s="170"/>
      <c r="I103" s="40"/>
      <c r="J103" s="38">
        <f>'Especialidades ou Insígnias'!H130</f>
        <v>0</v>
      </c>
    </row>
    <row r="104" spans="1:10" ht="18" customHeight="1" thickBot="1" x14ac:dyDescent="0.25">
      <c r="A104" s="78"/>
      <c r="B104" s="79" t="str">
        <f>IF(J104&gt;0,"Item OK","")</f>
        <v/>
      </c>
      <c r="C104" s="23" t="s">
        <v>1053</v>
      </c>
      <c r="F104" s="160"/>
      <c r="G104" s="161"/>
      <c r="H104" s="170"/>
      <c r="I104" s="40"/>
      <c r="J104" s="72">
        <f>'Especialidades ou Insígnias'!H298</f>
        <v>0</v>
      </c>
    </row>
    <row r="105" spans="1:10" x14ac:dyDescent="0.2">
      <c r="B105" s="22"/>
      <c r="F105" s="160"/>
      <c r="G105" s="161"/>
      <c r="H105" s="170"/>
      <c r="I105" s="68" t="s">
        <v>852</v>
      </c>
      <c r="J105" s="71">
        <f>SUM(J102:J104)</f>
        <v>0</v>
      </c>
    </row>
    <row r="106" spans="1:10" ht="15.75" thickBot="1" x14ac:dyDescent="0.25">
      <c r="F106" s="160"/>
      <c r="G106" s="161"/>
      <c r="H106" s="170"/>
      <c r="I106" s="40"/>
      <c r="J106" s="60"/>
    </row>
    <row r="107" spans="1:10" ht="15.75" x14ac:dyDescent="0.2">
      <c r="A107" s="76"/>
      <c r="B107" s="83"/>
      <c r="C107" s="47" t="s">
        <v>835</v>
      </c>
      <c r="F107" s="160"/>
      <c r="G107" s="161"/>
      <c r="H107" s="170"/>
      <c r="I107" s="40"/>
      <c r="J107" s="60"/>
    </row>
    <row r="108" spans="1:10" x14ac:dyDescent="0.2">
      <c r="A108" s="77"/>
      <c r="C108" s="312" t="s">
        <v>1089</v>
      </c>
      <c r="F108" s="160"/>
      <c r="G108" s="161"/>
      <c r="H108" s="170"/>
      <c r="I108" s="40"/>
      <c r="J108" s="60"/>
    </row>
    <row r="109" spans="1:10" ht="89.25" x14ac:dyDescent="0.2">
      <c r="A109" s="77"/>
      <c r="C109" s="312" t="s">
        <v>1100</v>
      </c>
      <c r="F109" s="160"/>
      <c r="G109" s="161"/>
      <c r="H109" s="170"/>
      <c r="I109" s="40"/>
      <c r="J109" s="60"/>
    </row>
    <row r="110" spans="1:10" ht="15.75" thickBot="1" x14ac:dyDescent="0.25">
      <c r="A110" s="77"/>
      <c r="F110" s="160"/>
      <c r="G110" s="161"/>
      <c r="H110" s="170"/>
      <c r="I110" s="40"/>
      <c r="J110" s="60"/>
    </row>
    <row r="111" spans="1:10" ht="15.75" thickBot="1" x14ac:dyDescent="0.25">
      <c r="A111" s="77"/>
      <c r="C111" s="330" t="s">
        <v>982</v>
      </c>
      <c r="F111" s="158" t="s">
        <v>953</v>
      </c>
      <c r="G111" s="162">
        <f>IF(B112="Bloco concluído",1,0)</f>
        <v>0</v>
      </c>
      <c r="H111" s="170"/>
      <c r="I111" s="40"/>
      <c r="J111" s="60"/>
    </row>
    <row r="112" spans="1:10" ht="28.5" thickBot="1" x14ac:dyDescent="0.25">
      <c r="A112" s="77"/>
      <c r="B112" s="67" t="str">
        <f>IF(AND(A115="Atingiu 100% das ações fixas",A121="Atingiu 100% das ações variáveis"),"BLOCO CONCLUÍDO","")</f>
        <v/>
      </c>
      <c r="C112" s="318" t="s">
        <v>1054</v>
      </c>
      <c r="F112" s="160"/>
      <c r="G112" s="161"/>
      <c r="H112" s="170"/>
      <c r="I112" s="40"/>
      <c r="J112" s="60"/>
    </row>
    <row r="113" spans="1:10" ht="15.75" thickBot="1" x14ac:dyDescent="0.25">
      <c r="A113" s="77"/>
      <c r="F113" s="160"/>
      <c r="G113" s="161"/>
      <c r="H113" s="170"/>
      <c r="I113" s="40"/>
      <c r="J113" s="60"/>
    </row>
    <row r="114" spans="1:10" ht="15.75" thickBot="1" x14ac:dyDescent="0.25">
      <c r="A114" s="77"/>
      <c r="C114" s="330" t="s">
        <v>984</v>
      </c>
      <c r="F114" s="160"/>
      <c r="G114" s="161"/>
      <c r="H114" s="160"/>
      <c r="I114" s="40"/>
      <c r="J114" s="60"/>
    </row>
    <row r="115" spans="1:10" ht="30" customHeight="1" x14ac:dyDescent="0.2">
      <c r="A115" s="369" t="str">
        <f>IF(J117&gt;0,"Atingiu 100% das ações fixas","")</f>
        <v/>
      </c>
      <c r="B115" s="395" t="str">
        <f>IF(J117&gt;=2,"Item OK","")</f>
        <v/>
      </c>
      <c r="C115" s="398" t="s">
        <v>836</v>
      </c>
      <c r="D115" s="396" t="s">
        <v>972</v>
      </c>
      <c r="E115" s="397"/>
      <c r="F115" s="166" t="s">
        <v>239</v>
      </c>
      <c r="G115" s="159">
        <f>'Pistas e Trilha'!A127</f>
        <v>0</v>
      </c>
      <c r="H115" s="158" t="s">
        <v>237</v>
      </c>
      <c r="I115" s="38">
        <f>'Rumo e Travessia'!A132</f>
        <v>0</v>
      </c>
      <c r="J115" s="38">
        <f t="shared" ref="J115:J116" si="3">IF(G115+I115&gt;=1,1,0)</f>
        <v>0</v>
      </c>
    </row>
    <row r="116" spans="1:10" x14ac:dyDescent="0.2">
      <c r="A116" s="369"/>
      <c r="B116" s="395"/>
      <c r="C116" s="399"/>
      <c r="D116" s="396"/>
      <c r="E116" s="397"/>
      <c r="F116" s="166" t="s">
        <v>238</v>
      </c>
      <c r="G116" s="159">
        <f>'Pistas e Trilha'!A162</f>
        <v>0</v>
      </c>
      <c r="H116" s="158"/>
      <c r="I116" s="38"/>
      <c r="J116" s="38">
        <f t="shared" si="3"/>
        <v>0</v>
      </c>
    </row>
    <row r="117" spans="1:10" hidden="1" x14ac:dyDescent="0.2">
      <c r="A117" s="81"/>
      <c r="B117" s="41"/>
      <c r="C117" s="55"/>
      <c r="D117" s="40"/>
      <c r="E117" s="307"/>
      <c r="F117" s="160"/>
      <c r="G117" s="161"/>
      <c r="H117" s="160"/>
      <c r="I117" s="70" t="s">
        <v>852</v>
      </c>
      <c r="J117" s="68">
        <f>SUM(J115:J116)+E115</f>
        <v>0</v>
      </c>
    </row>
    <row r="118" spans="1:10" x14ac:dyDescent="0.2">
      <c r="A118" s="77"/>
      <c r="C118" s="51"/>
      <c r="F118" s="160"/>
      <c r="G118" s="161"/>
      <c r="H118" s="160"/>
      <c r="I118" s="40"/>
      <c r="J118" s="60"/>
    </row>
    <row r="119" spans="1:10" x14ac:dyDescent="0.2">
      <c r="A119" s="77"/>
      <c r="C119" s="52" t="s">
        <v>985</v>
      </c>
      <c r="F119" s="160"/>
      <c r="G119" s="161"/>
      <c r="H119" s="160"/>
      <c r="I119" s="40"/>
      <c r="J119" s="60"/>
    </row>
    <row r="120" spans="1:10" ht="17.25" x14ac:dyDescent="0.2">
      <c r="A120" s="77"/>
      <c r="C120" s="54" t="s">
        <v>579</v>
      </c>
      <c r="F120" s="160"/>
      <c r="G120" s="161"/>
      <c r="H120" s="160"/>
      <c r="I120" s="40"/>
      <c r="J120" s="60"/>
    </row>
    <row r="121" spans="1:10" ht="27.75" x14ac:dyDescent="0.2">
      <c r="A121" s="394" t="str">
        <f>IF(OR(J141&gt;0,J136&gt;=5),"Atingiu 100% das ações variáveis","")</f>
        <v/>
      </c>
      <c r="B121" s="39" t="str">
        <f t="shared" ref="B121:B128" si="4">IF(J121&gt;0,"Item OK","")</f>
        <v/>
      </c>
      <c r="C121" s="50" t="s">
        <v>837</v>
      </c>
      <c r="D121" s="164" t="s">
        <v>972</v>
      </c>
      <c r="E121" s="187"/>
      <c r="F121" s="166"/>
      <c r="G121" s="159"/>
      <c r="H121" s="158" t="s">
        <v>38</v>
      </c>
      <c r="I121" s="38">
        <f>'Rumo e Travessia'!A194</f>
        <v>0</v>
      </c>
      <c r="J121" s="38">
        <f>IF(G121+I121&gt;=1,1,0)+E121</f>
        <v>0</v>
      </c>
    </row>
    <row r="122" spans="1:10" ht="27.75" x14ac:dyDescent="0.2">
      <c r="A122" s="394"/>
      <c r="B122" s="39" t="str">
        <f t="shared" si="4"/>
        <v/>
      </c>
      <c r="C122" s="50" t="s">
        <v>838</v>
      </c>
      <c r="D122" s="164" t="s">
        <v>972</v>
      </c>
      <c r="E122" s="187"/>
      <c r="F122" s="166"/>
      <c r="G122" s="159"/>
      <c r="H122" s="172" t="s">
        <v>37</v>
      </c>
      <c r="I122" s="38">
        <f>'Rumo e Travessia'!A196</f>
        <v>0</v>
      </c>
      <c r="J122" s="38">
        <f>IF(G122+I122&gt;=1,1,0)+E122</f>
        <v>0</v>
      </c>
    </row>
    <row r="123" spans="1:10" ht="27.75" x14ac:dyDescent="0.2">
      <c r="A123" s="394"/>
      <c r="B123" s="39" t="str">
        <f t="shared" si="4"/>
        <v/>
      </c>
      <c r="C123" s="50" t="s">
        <v>839</v>
      </c>
      <c r="D123" s="164" t="s">
        <v>972</v>
      </c>
      <c r="E123" s="187"/>
      <c r="F123" s="167" t="s">
        <v>240</v>
      </c>
      <c r="G123" s="159">
        <f>'Pistas e Trilha'!A188</f>
        <v>0</v>
      </c>
      <c r="H123" s="172" t="s">
        <v>241</v>
      </c>
      <c r="I123" s="38">
        <f>'Rumo e Travessia'!A196</f>
        <v>0</v>
      </c>
      <c r="J123" s="38">
        <f>IF(G123+I123&gt;=1,1,0)+E123</f>
        <v>0</v>
      </c>
    </row>
    <row r="124" spans="1:10" ht="27.75" x14ac:dyDescent="0.2">
      <c r="A124" s="394"/>
      <c r="B124" s="39" t="str">
        <f t="shared" si="4"/>
        <v/>
      </c>
      <c r="C124" s="50" t="s">
        <v>840</v>
      </c>
      <c r="D124" s="164" t="s">
        <v>972</v>
      </c>
      <c r="E124" s="187"/>
      <c r="F124" s="166"/>
      <c r="G124" s="159"/>
      <c r="H124" s="158" t="s">
        <v>935</v>
      </c>
      <c r="I124" s="38">
        <f>'Rumo e Travessia'!A114</f>
        <v>0</v>
      </c>
      <c r="J124" s="38">
        <f t="shared" ref="J124:J128" si="5">IF(G124+I124&gt;=1,1,0)+E124</f>
        <v>0</v>
      </c>
    </row>
    <row r="125" spans="1:10" ht="27.75" x14ac:dyDescent="0.2">
      <c r="A125" s="394"/>
      <c r="B125" s="39" t="str">
        <f t="shared" si="4"/>
        <v/>
      </c>
      <c r="C125" s="50" t="s">
        <v>841</v>
      </c>
      <c r="D125" s="164" t="s">
        <v>972</v>
      </c>
      <c r="E125" s="187"/>
      <c r="F125" s="166" t="s">
        <v>39</v>
      </c>
      <c r="G125" s="159">
        <f>'Pistas e Trilha'!A189</f>
        <v>0</v>
      </c>
      <c r="H125" s="158"/>
      <c r="I125" s="38"/>
      <c r="J125" s="38">
        <f t="shared" si="5"/>
        <v>0</v>
      </c>
    </row>
    <row r="126" spans="1:10" x14ac:dyDescent="0.2">
      <c r="A126" s="394"/>
      <c r="B126" s="39" t="str">
        <f t="shared" si="4"/>
        <v/>
      </c>
      <c r="C126" s="50" t="s">
        <v>842</v>
      </c>
      <c r="D126" s="164" t="s">
        <v>972</v>
      </c>
      <c r="E126" s="187"/>
      <c r="F126" s="166" t="s">
        <v>242</v>
      </c>
      <c r="G126" s="159">
        <f>'Pistas e Trilha'!A178</f>
        <v>0</v>
      </c>
      <c r="H126" s="158" t="s">
        <v>38</v>
      </c>
      <c r="I126" s="38">
        <f>'Rumo e Travessia'!A194</f>
        <v>0</v>
      </c>
      <c r="J126" s="38">
        <f t="shared" si="5"/>
        <v>0</v>
      </c>
    </row>
    <row r="127" spans="1:10" ht="27.75" x14ac:dyDescent="0.2">
      <c r="A127" s="394"/>
      <c r="B127" s="39" t="str">
        <f t="shared" si="4"/>
        <v/>
      </c>
      <c r="C127" s="50" t="s">
        <v>843</v>
      </c>
      <c r="D127" s="164" t="s">
        <v>972</v>
      </c>
      <c r="E127" s="187"/>
      <c r="F127" s="166" t="s">
        <v>936</v>
      </c>
      <c r="G127" s="159">
        <f>'Pistas e Trilha'!A188</f>
        <v>0</v>
      </c>
      <c r="H127" s="158" t="s">
        <v>37</v>
      </c>
      <c r="I127" s="38">
        <f>'Rumo e Travessia'!A196</f>
        <v>0</v>
      </c>
      <c r="J127" s="38">
        <f t="shared" si="5"/>
        <v>0</v>
      </c>
    </row>
    <row r="128" spans="1:10" ht="27.75" x14ac:dyDescent="0.2">
      <c r="A128" s="394"/>
      <c r="B128" s="39" t="str">
        <f t="shared" si="4"/>
        <v/>
      </c>
      <c r="C128" s="50" t="s">
        <v>1055</v>
      </c>
      <c r="D128" s="164" t="s">
        <v>972</v>
      </c>
      <c r="E128" s="187"/>
      <c r="F128" s="166"/>
      <c r="G128" s="159"/>
      <c r="H128" s="158" t="s">
        <v>42</v>
      </c>
      <c r="I128" s="38">
        <f>'Rumo e Travessia'!A198</f>
        <v>0</v>
      </c>
      <c r="J128" s="38">
        <f t="shared" si="5"/>
        <v>0</v>
      </c>
    </row>
    <row r="129" spans="1:10" x14ac:dyDescent="0.2">
      <c r="A129" s="394"/>
      <c r="B129" s="39"/>
      <c r="C129" s="49" t="s">
        <v>981</v>
      </c>
      <c r="D129" s="304"/>
      <c r="E129" s="305"/>
      <c r="F129" s="160"/>
      <c r="G129" s="161"/>
      <c r="H129" s="160"/>
      <c r="I129" s="40"/>
      <c r="J129" s="42"/>
    </row>
    <row r="130" spans="1:10" x14ac:dyDescent="0.2">
      <c r="A130" s="394"/>
      <c r="B130" s="39" t="str">
        <f t="shared" ref="B130:B135" si="6">IF(J130&gt;0,"Item OK","")</f>
        <v/>
      </c>
      <c r="C130" s="50" t="s">
        <v>377</v>
      </c>
      <c r="F130" s="160"/>
      <c r="G130" s="161"/>
      <c r="H130" s="170"/>
      <c r="I130" s="40"/>
      <c r="J130" s="42">
        <f>'Especialidades ou Insígnias'!H129</f>
        <v>0</v>
      </c>
    </row>
    <row r="131" spans="1:10" x14ac:dyDescent="0.2">
      <c r="A131" s="394"/>
      <c r="B131" s="39" t="str">
        <f t="shared" si="6"/>
        <v/>
      </c>
      <c r="C131" s="50" t="s">
        <v>395</v>
      </c>
      <c r="F131" s="160"/>
      <c r="G131" s="161"/>
      <c r="H131" s="170"/>
      <c r="I131" s="40"/>
      <c r="J131" s="38">
        <f>'Especialidades ou Insígnias'!H148</f>
        <v>0</v>
      </c>
    </row>
    <row r="132" spans="1:10" x14ac:dyDescent="0.2">
      <c r="A132" s="394"/>
      <c r="B132" s="39" t="str">
        <f t="shared" si="6"/>
        <v/>
      </c>
      <c r="C132" s="50" t="s">
        <v>399</v>
      </c>
      <c r="F132" s="160"/>
      <c r="G132" s="161"/>
      <c r="H132" s="170"/>
      <c r="I132" s="40"/>
      <c r="J132" s="38">
        <f>'Especialidades ou Insígnias'!H152</f>
        <v>0</v>
      </c>
    </row>
    <row r="133" spans="1:10" x14ac:dyDescent="0.2">
      <c r="A133" s="394"/>
      <c r="B133" s="39" t="str">
        <f t="shared" si="6"/>
        <v/>
      </c>
      <c r="C133" s="50" t="s">
        <v>413</v>
      </c>
      <c r="F133" s="160"/>
      <c r="G133" s="161"/>
      <c r="H133" s="170"/>
      <c r="I133" s="40"/>
      <c r="J133" s="38">
        <f>'Especialidades ou Insígnias'!H176</f>
        <v>0</v>
      </c>
    </row>
    <row r="134" spans="1:10" x14ac:dyDescent="0.2">
      <c r="A134" s="394"/>
      <c r="B134" s="39" t="str">
        <f t="shared" si="6"/>
        <v/>
      </c>
      <c r="C134" s="50" t="s">
        <v>416</v>
      </c>
      <c r="F134" s="160"/>
      <c r="G134" s="161"/>
      <c r="H134" s="170"/>
      <c r="I134" s="40"/>
      <c r="J134" s="38">
        <f>'Especialidades ou Insígnias'!H179</f>
        <v>0</v>
      </c>
    </row>
    <row r="135" spans="1:10" x14ac:dyDescent="0.2">
      <c r="A135" s="394"/>
      <c r="B135" s="39" t="str">
        <f t="shared" si="6"/>
        <v/>
      </c>
      <c r="C135" s="50" t="s">
        <v>561</v>
      </c>
      <c r="F135" s="160"/>
      <c r="G135" s="161"/>
      <c r="H135" s="170"/>
      <c r="I135" s="40"/>
      <c r="J135" s="38">
        <f>'Especialidades ou Insígnias'!H224</f>
        <v>0</v>
      </c>
    </row>
    <row r="136" spans="1:10" x14ac:dyDescent="0.2">
      <c r="A136" s="77"/>
      <c r="B136" s="22"/>
      <c r="C136" s="51"/>
      <c r="F136" s="160"/>
      <c r="G136" s="161"/>
      <c r="H136" s="170"/>
      <c r="I136" s="68" t="s">
        <v>852</v>
      </c>
      <c r="J136" s="71">
        <f>SUM(J121:J135)</f>
        <v>0</v>
      </c>
    </row>
    <row r="137" spans="1:10" x14ac:dyDescent="0.2">
      <c r="A137" s="77"/>
      <c r="B137" s="22"/>
      <c r="C137" s="52" t="s">
        <v>1056</v>
      </c>
      <c r="F137" s="160"/>
      <c r="G137" s="161"/>
      <c r="H137" s="170"/>
      <c r="I137" s="40"/>
      <c r="J137" s="60"/>
    </row>
    <row r="138" spans="1:10" x14ac:dyDescent="0.2">
      <c r="A138" s="77"/>
      <c r="B138" s="39" t="str">
        <f>IF(J138&gt;0,"Item OK","")</f>
        <v/>
      </c>
      <c r="C138" s="50" t="s">
        <v>853</v>
      </c>
      <c r="F138" s="160"/>
      <c r="G138" s="161"/>
      <c r="H138" s="170"/>
      <c r="I138" s="40"/>
      <c r="J138" s="38">
        <f>'Especialidades ou Insígnias'!B157</f>
        <v>0</v>
      </c>
    </row>
    <row r="139" spans="1:10" x14ac:dyDescent="0.2">
      <c r="A139" s="77"/>
      <c r="B139" s="39" t="str">
        <f>IF(J139&gt;0,"Item OK","")</f>
        <v/>
      </c>
      <c r="C139" s="50" t="s">
        <v>854</v>
      </c>
      <c r="F139" s="160"/>
      <c r="G139" s="161"/>
      <c r="H139" s="170"/>
      <c r="I139" s="40"/>
      <c r="J139" s="38">
        <f>'Especialidades ou Insígnias'!B161</f>
        <v>0</v>
      </c>
    </row>
    <row r="140" spans="1:10" ht="15.75" thickBot="1" x14ac:dyDescent="0.25">
      <c r="A140" s="78"/>
      <c r="B140" s="79" t="str">
        <f>IF(J140&gt;0,"Item OK","")</f>
        <v/>
      </c>
      <c r="C140" s="23" t="s">
        <v>567</v>
      </c>
      <c r="F140" s="160"/>
      <c r="G140" s="161"/>
      <c r="H140" s="170"/>
      <c r="I140" s="40"/>
      <c r="J140" s="72">
        <f>'Especialidades ou Insígnias'!H88</f>
        <v>0</v>
      </c>
    </row>
    <row r="141" spans="1:10" x14ac:dyDescent="0.2">
      <c r="F141" s="160"/>
      <c r="G141" s="161"/>
      <c r="H141" s="170"/>
      <c r="I141" s="68" t="s">
        <v>852</v>
      </c>
      <c r="J141" s="71">
        <f>SUM(J138:J140)</f>
        <v>0</v>
      </c>
    </row>
    <row r="142" spans="1:10" ht="15.75" thickBot="1" x14ac:dyDescent="0.25">
      <c r="F142" s="160"/>
      <c r="G142" s="161"/>
      <c r="H142" s="170"/>
      <c r="I142" s="40"/>
      <c r="J142" s="60"/>
    </row>
    <row r="143" spans="1:10" x14ac:dyDescent="0.2">
      <c r="A143" s="76"/>
      <c r="B143" s="83"/>
      <c r="C143" s="47" t="s">
        <v>844</v>
      </c>
      <c r="F143" s="160"/>
      <c r="G143" s="161"/>
      <c r="H143" s="170"/>
      <c r="I143" s="40"/>
      <c r="J143" s="60"/>
    </row>
    <row r="144" spans="1:10" x14ac:dyDescent="0.2">
      <c r="A144" s="77"/>
      <c r="C144" s="312" t="s">
        <v>1089</v>
      </c>
      <c r="F144" s="160"/>
      <c r="G144" s="161"/>
      <c r="H144" s="170"/>
      <c r="I144" s="40"/>
      <c r="J144" s="60"/>
    </row>
    <row r="145" spans="1:10" ht="100.5" x14ac:dyDescent="0.2">
      <c r="A145" s="77"/>
      <c r="C145" s="312" t="s">
        <v>1101</v>
      </c>
      <c r="F145" s="160"/>
      <c r="G145" s="161"/>
      <c r="H145" s="170"/>
      <c r="I145" s="40"/>
      <c r="J145" s="60"/>
    </row>
    <row r="146" spans="1:10" x14ac:dyDescent="0.2">
      <c r="A146" s="77"/>
      <c r="C146" s="51"/>
      <c r="F146" s="160"/>
      <c r="G146" s="161"/>
      <c r="H146" s="170"/>
      <c r="I146" s="40"/>
      <c r="J146" s="60"/>
    </row>
    <row r="147" spans="1:10" ht="15.75" thickBot="1" x14ac:dyDescent="0.25">
      <c r="A147" s="77"/>
      <c r="C147" s="52" t="s">
        <v>982</v>
      </c>
      <c r="F147" s="158" t="s">
        <v>953</v>
      </c>
      <c r="G147" s="162">
        <f>IF(B148="Bloco concluído",1,0)</f>
        <v>0</v>
      </c>
      <c r="H147" s="170"/>
      <c r="I147" s="40"/>
      <c r="J147" s="60"/>
    </row>
    <row r="148" spans="1:10" ht="28.5" thickBot="1" x14ac:dyDescent="0.25">
      <c r="A148" s="77"/>
      <c r="B148" s="67" t="str">
        <f>IF(AND(A151="Atingiu 100% das ações fixas",A155="Atingiu 100% das ações variáveis"),"BLOCO CONCLUÍDO","")</f>
        <v/>
      </c>
      <c r="C148" s="318" t="s">
        <v>1058</v>
      </c>
      <c r="F148" s="160"/>
      <c r="G148" s="161"/>
      <c r="H148" s="170"/>
      <c r="I148" s="40"/>
      <c r="J148" s="60"/>
    </row>
    <row r="149" spans="1:10" ht="15.75" thickBot="1" x14ac:dyDescent="0.25">
      <c r="A149" s="77"/>
      <c r="F149" s="160"/>
      <c r="G149" s="161"/>
      <c r="H149" s="160"/>
      <c r="I149" s="40"/>
      <c r="J149" s="60"/>
    </row>
    <row r="150" spans="1:10" ht="15.75" thickBot="1" x14ac:dyDescent="0.25">
      <c r="A150" s="77"/>
      <c r="C150" s="330" t="s">
        <v>984</v>
      </c>
      <c r="F150" s="160"/>
      <c r="G150" s="161"/>
      <c r="H150" s="160"/>
      <c r="I150" s="40"/>
      <c r="J150" s="60"/>
    </row>
    <row r="151" spans="1:10" ht="45.75" customHeight="1" x14ac:dyDescent="0.2">
      <c r="A151" s="131" t="str">
        <f>IF(J151&gt;0,"Atingiu 100% das ações fixas","")</f>
        <v/>
      </c>
      <c r="B151" s="39" t="str">
        <f>IF(J151&gt;0,"Item OK","")</f>
        <v/>
      </c>
      <c r="C151" s="320" t="s">
        <v>845</v>
      </c>
      <c r="D151" s="164" t="s">
        <v>972</v>
      </c>
      <c r="E151" s="187"/>
      <c r="F151" s="166" t="s">
        <v>1083</v>
      </c>
      <c r="G151" s="159">
        <f>'Pistas e Trilha'!A82</f>
        <v>0</v>
      </c>
      <c r="H151" s="158" t="s">
        <v>958</v>
      </c>
      <c r="I151" s="38">
        <f>'Rumo e Travessia'!A93</f>
        <v>0</v>
      </c>
      <c r="J151" s="38">
        <f>IF(G151+I151&gt;=1,1,0)+E151</f>
        <v>0</v>
      </c>
    </row>
    <row r="152" spans="1:10" x14ac:dyDescent="0.2">
      <c r="A152" s="77"/>
      <c r="C152" s="51"/>
      <c r="F152" s="160"/>
      <c r="G152" s="161"/>
      <c r="H152" s="160"/>
      <c r="I152" s="40"/>
      <c r="J152" s="60"/>
    </row>
    <row r="153" spans="1:10" x14ac:dyDescent="0.2">
      <c r="A153" s="77"/>
      <c r="C153" s="52" t="s">
        <v>985</v>
      </c>
      <c r="F153" s="160"/>
      <c r="G153" s="161"/>
      <c r="H153" s="160"/>
      <c r="I153" s="40"/>
      <c r="J153" s="60"/>
    </row>
    <row r="154" spans="1:10" ht="17.25" x14ac:dyDescent="0.2">
      <c r="A154" s="77"/>
      <c r="B154" s="39" t="str">
        <f t="shared" ref="B154:B159" si="7">IF(J154&gt;0,"Item OK","")</f>
        <v/>
      </c>
      <c r="C154" s="54" t="s">
        <v>808</v>
      </c>
      <c r="F154" s="166"/>
      <c r="G154" s="159"/>
      <c r="H154" s="158"/>
      <c r="I154" s="38"/>
      <c r="J154" s="46"/>
    </row>
    <row r="155" spans="1:10" x14ac:dyDescent="0.2">
      <c r="A155" s="394" t="str">
        <f>IF(OR(J165&gt;0,J163&gt;=3),"Atingiu 100% das ações variáveis","")</f>
        <v/>
      </c>
      <c r="B155" s="39" t="str">
        <f t="shared" si="7"/>
        <v/>
      </c>
      <c r="C155" s="50" t="s">
        <v>846</v>
      </c>
      <c r="D155" s="164" t="s">
        <v>972</v>
      </c>
      <c r="E155" s="187"/>
      <c r="F155" s="166" t="s">
        <v>43</v>
      </c>
      <c r="G155" s="159">
        <f>'Pistas e Trilha'!A79</f>
        <v>0</v>
      </c>
      <c r="H155" s="158"/>
      <c r="I155" s="38"/>
      <c r="J155" s="38">
        <f>IF(G155+I155&gt;=1,1,0)+E155</f>
        <v>0</v>
      </c>
    </row>
    <row r="156" spans="1:10" x14ac:dyDescent="0.2">
      <c r="A156" s="394"/>
      <c r="B156" s="39" t="str">
        <f t="shared" si="7"/>
        <v/>
      </c>
      <c r="C156" s="50" t="s">
        <v>847</v>
      </c>
      <c r="D156" s="164" t="s">
        <v>972</v>
      </c>
      <c r="E156" s="187"/>
      <c r="F156" s="166" t="s">
        <v>44</v>
      </c>
      <c r="G156" s="159">
        <f>'Pistas e Trilha'!A83</f>
        <v>0</v>
      </c>
      <c r="H156" s="158"/>
      <c r="I156" s="38"/>
      <c r="J156" s="38">
        <f>IF(G156+I156&gt;=1,1,0)+E156</f>
        <v>0</v>
      </c>
    </row>
    <row r="157" spans="1:10" x14ac:dyDescent="0.2">
      <c r="A157" s="394"/>
      <c r="B157" s="39" t="str">
        <f t="shared" si="7"/>
        <v/>
      </c>
      <c r="C157" s="50" t="s">
        <v>848</v>
      </c>
      <c r="D157" s="164" t="s">
        <v>972</v>
      </c>
      <c r="E157" s="187"/>
      <c r="F157" s="166" t="s">
        <v>45</v>
      </c>
      <c r="G157" s="159">
        <f>'Pistas e Trilha'!A113</f>
        <v>0</v>
      </c>
      <c r="H157" s="158" t="s">
        <v>243</v>
      </c>
      <c r="I157" s="38">
        <f>'Rumo e Travessia'!A92</f>
        <v>0</v>
      </c>
      <c r="J157" s="38">
        <f>IF(G157+I157&gt;=1,1,0)+E157</f>
        <v>0</v>
      </c>
    </row>
    <row r="158" spans="1:10" x14ac:dyDescent="0.2">
      <c r="A158" s="394"/>
      <c r="B158" s="39" t="str">
        <f t="shared" si="7"/>
        <v/>
      </c>
      <c r="C158" s="50" t="s">
        <v>849</v>
      </c>
      <c r="D158" s="164" t="s">
        <v>972</v>
      </c>
      <c r="E158" s="187"/>
      <c r="F158" s="166" t="s">
        <v>46</v>
      </c>
      <c r="G158" s="159">
        <f>'Pistas e Trilha'!A157</f>
        <v>0</v>
      </c>
      <c r="H158" s="158"/>
      <c r="I158" s="38"/>
      <c r="J158" s="38">
        <f>IF(G158+I158&gt;=1,1,0)+E158</f>
        <v>0</v>
      </c>
    </row>
    <row r="159" spans="1:10" x14ac:dyDescent="0.2">
      <c r="A159" s="394"/>
      <c r="B159" s="39" t="str">
        <f t="shared" si="7"/>
        <v/>
      </c>
      <c r="C159" s="50" t="s">
        <v>850</v>
      </c>
      <c r="D159" s="164" t="s">
        <v>972</v>
      </c>
      <c r="E159" s="187"/>
      <c r="F159" s="166" t="s">
        <v>47</v>
      </c>
      <c r="G159" s="159">
        <f>'Pistas e Trilha'!A64</f>
        <v>0</v>
      </c>
      <c r="H159" s="158"/>
      <c r="I159" s="38"/>
      <c r="J159" s="38">
        <f>IF(G159+I159&gt;=1,1,0)+E159</f>
        <v>0</v>
      </c>
    </row>
    <row r="160" spans="1:10" x14ac:dyDescent="0.2">
      <c r="A160" s="394"/>
      <c r="B160" s="39"/>
      <c r="C160" s="49" t="s">
        <v>981</v>
      </c>
      <c r="D160" s="304"/>
      <c r="E160" s="305"/>
      <c r="F160" s="160"/>
      <c r="G160" s="161"/>
      <c r="H160" s="160"/>
      <c r="I160" s="40"/>
      <c r="J160" s="38"/>
    </row>
    <row r="161" spans="1:10" x14ac:dyDescent="0.2">
      <c r="A161" s="394"/>
      <c r="B161" s="39" t="str">
        <f>IF(J161&gt;0,"Item OK","")</f>
        <v/>
      </c>
      <c r="C161" s="50" t="s">
        <v>367</v>
      </c>
      <c r="F161" s="160"/>
      <c r="G161" s="161"/>
      <c r="H161" s="170"/>
      <c r="I161" s="40"/>
      <c r="J161" s="38">
        <f>'Especialidades ou Insígnias'!H119</f>
        <v>0</v>
      </c>
    </row>
    <row r="162" spans="1:10" x14ac:dyDescent="0.2">
      <c r="A162" s="394"/>
      <c r="B162" s="39" t="str">
        <f>IF(J162&gt;0,"Item OK","")</f>
        <v/>
      </c>
      <c r="C162" s="50" t="s">
        <v>392</v>
      </c>
      <c r="F162" s="160"/>
      <c r="G162" s="161"/>
      <c r="H162" s="170"/>
      <c r="I162" s="40"/>
      <c r="J162" s="72">
        <f>'Especialidades ou Insígnias'!H145</f>
        <v>0</v>
      </c>
    </row>
    <row r="163" spans="1:10" x14ac:dyDescent="0.2">
      <c r="A163" s="85"/>
      <c r="C163" s="51"/>
      <c r="F163" s="160"/>
      <c r="G163" s="161"/>
      <c r="H163" s="170"/>
      <c r="I163" s="68" t="s">
        <v>852</v>
      </c>
      <c r="J163" s="71">
        <f>SUM(J155:J162)</f>
        <v>0</v>
      </c>
    </row>
    <row r="164" spans="1:10" x14ac:dyDescent="0.2">
      <c r="A164" s="85"/>
      <c r="C164" s="52" t="s">
        <v>1057</v>
      </c>
      <c r="F164" s="160"/>
      <c r="G164" s="161"/>
      <c r="H164" s="170"/>
      <c r="I164" s="40"/>
      <c r="J164" s="60"/>
    </row>
    <row r="165" spans="1:10" ht="15.75" thickBot="1" x14ac:dyDescent="0.25">
      <c r="A165" s="86"/>
      <c r="B165" s="79" t="str">
        <f>IF(J165&gt;0,"Item OK","")</f>
        <v/>
      </c>
      <c r="C165" s="23" t="s">
        <v>568</v>
      </c>
      <c r="F165" s="160"/>
      <c r="G165" s="161"/>
      <c r="H165" s="170"/>
      <c r="I165" s="40"/>
      <c r="J165" s="38">
        <f>'Especialidades ou Insígnias'!H104</f>
        <v>0</v>
      </c>
    </row>
    <row r="166" spans="1:10" x14ac:dyDescent="0.2">
      <c r="A166" s="45"/>
    </row>
    <row r="167" spans="1:10" x14ac:dyDescent="0.2">
      <c r="A167" s="45"/>
    </row>
  </sheetData>
  <sheetProtection sheet="1" objects="1" scenarios="1"/>
  <mergeCells count="12">
    <mergeCell ref="D115:D116"/>
    <mergeCell ref="E115:E116"/>
    <mergeCell ref="A11:A12"/>
    <mergeCell ref="A37:A39"/>
    <mergeCell ref="A43:A50"/>
    <mergeCell ref="C115:C116"/>
    <mergeCell ref="A155:A162"/>
    <mergeCell ref="A16:A19"/>
    <mergeCell ref="A65:A99"/>
    <mergeCell ref="A121:A135"/>
    <mergeCell ref="B115:B116"/>
    <mergeCell ref="A115:A116"/>
  </mergeCells>
  <conditionalFormatting sqref="A11:A12">
    <cfRule type="containsText" dxfId="101" priority="11" operator="containsText" text="Atingiu 100% das ações fixas">
      <formula>NOT(ISERROR(SEARCH("Atingiu 100% das ações fixas",A11)))</formula>
    </cfRule>
  </conditionalFormatting>
  <conditionalFormatting sqref="A16 B102:B105">
    <cfRule type="cellIs" dxfId="100" priority="149" operator="greaterThan">
      <formula>0</formula>
    </cfRule>
  </conditionalFormatting>
  <conditionalFormatting sqref="A16:A20">
    <cfRule type="containsText" dxfId="99" priority="9" operator="containsText" text="Atingiu 100% das ações variáveis">
      <formula>NOT(ISERROR(SEARCH("Atingiu 100% das ações variáveis",A16)))</formula>
    </cfRule>
    <cfRule type="containsText" dxfId="98" priority="10" operator="containsText" text="Atingiu 100% do itens variáveis">
      <formula>NOT(ISERROR(SEARCH("Atingiu 100% do itens variáveis",A16)))</formula>
    </cfRule>
    <cfRule type="containsText" dxfId="97" priority="104" operator="containsText" text="Já atingiu 100% do itens variáveis pois conquistou Insígnia">
      <formula>NOT(ISERROR(SEARCH("Já atingiu 100% do itens variáveis pois conquistou Insígnia",A16)))</formula>
    </cfRule>
  </conditionalFormatting>
  <conditionalFormatting sqref="A37:A39">
    <cfRule type="containsText" dxfId="96" priority="8" operator="containsText" text="Atingiu 100% das ações fixas">
      <formula>NOT(ISERROR(SEARCH("Atingiu 100% das ações fixas",A37)))</formula>
    </cfRule>
  </conditionalFormatting>
  <conditionalFormatting sqref="A43:A50">
    <cfRule type="containsText" dxfId="95" priority="7" operator="containsText" text="Atingiu 100% das ações variáveis">
      <formula>NOT(ISERROR(SEARCH("Atingiu 100% das ações variáveis",A43)))</formula>
    </cfRule>
  </conditionalFormatting>
  <conditionalFormatting sqref="A61">
    <cfRule type="containsText" dxfId="94" priority="5" operator="containsText" text="Atingiu 100% das ações fixas">
      <formula>NOT(ISERROR(SEARCH("Atingiu 100% das ações fixas",A61)))</formula>
    </cfRule>
  </conditionalFormatting>
  <conditionalFormatting sqref="A65">
    <cfRule type="cellIs" dxfId="93" priority="141" operator="greaterThan">
      <formula>0</formula>
    </cfRule>
  </conditionalFormatting>
  <conditionalFormatting sqref="A65:A99">
    <cfRule type="containsText" dxfId="92" priority="6" operator="containsText" text="Atingiu 100% das ações variáveis">
      <formula>NOT(ISERROR(SEARCH("Atingiu 100% das ações variáveis",A65)))</formula>
    </cfRule>
    <cfRule type="containsText" dxfId="91" priority="67" operator="containsText" text="Já atingiu 100% do itens variáveis pois conquistou Especialidade / Insígnia">
      <formula>NOT(ISERROR(SEARCH("Já atingiu 100% do itens variáveis pois conquistou Especialidade / Insígnia",A65)))</formula>
    </cfRule>
  </conditionalFormatting>
  <conditionalFormatting sqref="A115:A116">
    <cfRule type="containsText" dxfId="90" priority="3" operator="containsText" text="Atingiu 100% das ações fixas">
      <formula>NOT(ISERROR(SEARCH("Atingiu 100% das ações fixas",A115)))</formula>
    </cfRule>
  </conditionalFormatting>
  <conditionalFormatting sqref="A121">
    <cfRule type="cellIs" dxfId="89" priority="137" operator="greaterThan">
      <formula>0</formula>
    </cfRule>
  </conditionalFormatting>
  <conditionalFormatting sqref="A121:A135">
    <cfRule type="containsText" dxfId="88" priority="46" operator="containsText" text="Já atingiu 100% do itens variáveis pois conquistou Insígnia">
      <formula>NOT(ISERROR(SEARCH("Já atingiu 100% do itens variáveis pois conquistou Insígnia",A121)))</formula>
    </cfRule>
    <cfRule type="containsText" dxfId="87" priority="4" operator="containsText" text="Atingiu 100% das ações variáveis">
      <formula>NOT(ISERROR(SEARCH("Atingiu 100% das ações variáveis",A121)))</formula>
    </cfRule>
  </conditionalFormatting>
  <conditionalFormatting sqref="A151">
    <cfRule type="containsText" dxfId="86" priority="2" operator="containsText" text="Atingiu 100% das ações fixas">
      <formula>NOT(ISERROR(SEARCH("Atingiu 100% das ações fixas",A151)))</formula>
    </cfRule>
  </conditionalFormatting>
  <conditionalFormatting sqref="A155">
    <cfRule type="cellIs" dxfId="85" priority="136" operator="greaterThan">
      <formula>0</formula>
    </cfRule>
  </conditionalFormatting>
  <conditionalFormatting sqref="A155:A162">
    <cfRule type="containsText" dxfId="84" priority="1" operator="containsText" text="Atingiu 100% das ações variáveis">
      <formula>NOT(ISERROR(SEARCH("Atingiu 100% das ações variáveis",A155)))</formula>
    </cfRule>
    <cfRule type="containsText" dxfId="83" priority="21" operator="containsText" text="Já atingiu 100% do itens variáveis pois conquistou Insígnia">
      <formula>NOT(ISERROR(SEARCH("Já atingiu 100% do itens variáveis pois conquistou Insígnia",A155)))</formula>
    </cfRule>
  </conditionalFormatting>
  <conditionalFormatting sqref="A8:B8">
    <cfRule type="containsText" dxfId="82" priority="16" operator="containsText" text="BLOCO CONCLUÍDO">
      <formula>NOT(ISERROR(SEARCH("BLOCO CONCLUÍDO",A8)))</formula>
    </cfRule>
  </conditionalFormatting>
  <conditionalFormatting sqref="A34:B34">
    <cfRule type="containsText" dxfId="81" priority="15" operator="containsText" text="BLOCO CONCLUÍDO">
      <formula>NOT(ISERROR(SEARCH("BLOCO CONCLUÍDO",A34)))</formula>
    </cfRule>
  </conditionalFormatting>
  <conditionalFormatting sqref="A58:B58">
    <cfRule type="containsText" dxfId="80" priority="14" operator="containsText" text="BLOCO CONCLUÍDO">
      <formula>NOT(ISERROR(SEARCH("BLOCO CONCLUÍDO",A58)))</formula>
    </cfRule>
  </conditionalFormatting>
  <conditionalFormatting sqref="B11:B12">
    <cfRule type="cellIs" dxfId="79" priority="118" operator="greaterThan">
      <formula>0</formula>
    </cfRule>
    <cfRule type="cellIs" dxfId="78" priority="117" operator="equal">
      <formula>"Item OK"</formula>
    </cfRule>
  </conditionalFormatting>
  <conditionalFormatting sqref="B16:B22">
    <cfRule type="cellIs" dxfId="77" priority="110" operator="greaterThan">
      <formula>0</formula>
    </cfRule>
    <cfRule type="cellIs" dxfId="76" priority="109" operator="equal">
      <formula>"Item OK"</formula>
    </cfRule>
  </conditionalFormatting>
  <conditionalFormatting sqref="B24:B26">
    <cfRule type="cellIs" dxfId="75" priority="99" operator="greaterThan">
      <formula>0</formula>
    </cfRule>
    <cfRule type="cellIs" dxfId="74" priority="98" operator="equal">
      <formula>"Item OK"</formula>
    </cfRule>
  </conditionalFormatting>
  <conditionalFormatting sqref="B37:B39">
    <cfRule type="cellIs" dxfId="73" priority="91" operator="greaterThan">
      <formula>0</formula>
    </cfRule>
    <cfRule type="cellIs" dxfId="72" priority="90" operator="equal">
      <formula>"Item OK"</formula>
    </cfRule>
  </conditionalFormatting>
  <conditionalFormatting sqref="B43:B51">
    <cfRule type="cellIs" dxfId="71" priority="87" operator="greaterThan">
      <formula>0</formula>
    </cfRule>
    <cfRule type="cellIs" dxfId="70" priority="86" operator="equal">
      <formula>"Item OK"</formula>
    </cfRule>
  </conditionalFormatting>
  <conditionalFormatting sqref="B61">
    <cfRule type="cellIs" dxfId="69" priority="83" operator="greaterThan">
      <formula>0</formula>
    </cfRule>
    <cfRule type="cellIs" dxfId="68" priority="82" operator="equal">
      <formula>"Item OK"</formula>
    </cfRule>
  </conditionalFormatting>
  <conditionalFormatting sqref="B65:B99">
    <cfRule type="cellIs" dxfId="67" priority="75" operator="greaterThan">
      <formula>0</formula>
    </cfRule>
    <cfRule type="cellIs" dxfId="66" priority="74" operator="equal">
      <formula>"Item OK"</formula>
    </cfRule>
  </conditionalFormatting>
  <conditionalFormatting sqref="B102:B104">
    <cfRule type="cellIs" dxfId="65" priority="60" operator="equal">
      <formula>"Item OK"</formula>
    </cfRule>
  </conditionalFormatting>
  <conditionalFormatting sqref="B112">
    <cfRule type="containsText" dxfId="64" priority="13" operator="containsText" text="BLOCO CONCLUÍDO">
      <formula>NOT(ISERROR(SEARCH("BLOCO CONCLUÍDO",B112)))</formula>
    </cfRule>
  </conditionalFormatting>
  <conditionalFormatting sqref="B115">
    <cfRule type="cellIs" dxfId="63" priority="57" operator="greaterThan">
      <formula>0</formula>
    </cfRule>
    <cfRule type="cellIs" dxfId="62" priority="56" operator="equal">
      <formula>"Item OK"</formula>
    </cfRule>
  </conditionalFormatting>
  <conditionalFormatting sqref="B121:B135">
    <cfRule type="cellIs" dxfId="61" priority="17" operator="equal">
      <formula>"Item OK"</formula>
    </cfRule>
  </conditionalFormatting>
  <conditionalFormatting sqref="B121:B140">
    <cfRule type="cellIs" dxfId="60" priority="18" operator="greaterThan">
      <formula>0</formula>
    </cfRule>
  </conditionalFormatting>
  <conditionalFormatting sqref="B138:B140">
    <cfRule type="cellIs" dxfId="59" priority="48" operator="equal">
      <formula>"Item OK"</formula>
    </cfRule>
  </conditionalFormatting>
  <conditionalFormatting sqref="B148">
    <cfRule type="containsText" dxfId="58" priority="12" operator="containsText" text="BLOCO CONCLUÍDO">
      <formula>NOT(ISERROR(SEARCH("BLOCO CONCLUÍDO",B148)))</formula>
    </cfRule>
  </conditionalFormatting>
  <conditionalFormatting sqref="B151">
    <cfRule type="cellIs" dxfId="57" priority="41" operator="greaterThan">
      <formula>0</formula>
    </cfRule>
    <cfRule type="cellIs" dxfId="56" priority="40" operator="equal">
      <formula>"Item OK"</formula>
    </cfRule>
  </conditionalFormatting>
  <conditionalFormatting sqref="B154:B162">
    <cfRule type="cellIs" dxfId="55" priority="25" operator="greaterThan">
      <formula>0</formula>
    </cfRule>
    <cfRule type="cellIs" dxfId="54" priority="24" operator="equal">
      <formula>"Item OK"</formula>
    </cfRule>
  </conditionalFormatting>
  <conditionalFormatting sqref="B165">
    <cfRule type="cellIs" dxfId="53" priority="23" operator="greaterThan">
      <formula>0</formula>
    </cfRule>
    <cfRule type="cellIs" dxfId="52" priority="22" operator="equal">
      <formula>"Item OK"</formula>
    </cfRule>
  </conditionalFormatting>
  <pageMargins left="0.511811024" right="0.511811024" top="0.78740157499999996" bottom="0.78740157499999996" header="0.31496062000000002" footer="0.31496062000000002"/>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B078B-2E6E-44D7-853F-F2E363A4942F}">
  <sheetPr>
    <tabColor theme="5" tint="0.79998168889431442"/>
  </sheetPr>
  <dimension ref="A1:J189"/>
  <sheetViews>
    <sheetView showZeros="0" workbookViewId="0"/>
  </sheetViews>
  <sheetFormatPr defaultRowHeight="15" x14ac:dyDescent="0.2"/>
  <cols>
    <col min="1" max="1" width="11.703125" customWidth="1"/>
    <col min="2" max="2" width="12.10546875" style="37" customWidth="1"/>
    <col min="3" max="3" width="69.81640625" style="20" customWidth="1"/>
    <col min="4" max="4" width="22.05859375" style="2" customWidth="1"/>
    <col min="5" max="5" width="3.765625" style="21" customWidth="1"/>
    <col min="6" max="6" width="22.1953125" style="2" hidden="1" customWidth="1"/>
    <col min="7" max="7" width="6.3203125" style="2" hidden="1" customWidth="1"/>
    <col min="8" max="8" width="13.98828125" style="2" hidden="1" customWidth="1"/>
    <col min="9" max="9" width="5.6484375" hidden="1" customWidth="1"/>
    <col min="10" max="10" width="5.6484375" style="2" hidden="1" customWidth="1"/>
    <col min="11" max="11" width="9.14453125" customWidth="1"/>
  </cols>
  <sheetData>
    <row r="1" spans="1:10" ht="28.5" thickBot="1" x14ac:dyDescent="0.45">
      <c r="C1" s="133" t="s">
        <v>856</v>
      </c>
      <c r="F1" s="40"/>
      <c r="G1" s="40"/>
      <c r="H1" s="40"/>
    </row>
    <row r="2" spans="1:10" ht="15.75" thickBot="1" x14ac:dyDescent="0.25">
      <c r="C2" s="2"/>
      <c r="F2" s="40"/>
      <c r="G2" s="40"/>
      <c r="H2" s="40"/>
    </row>
    <row r="3" spans="1:10" x14ac:dyDescent="0.2">
      <c r="A3" s="76"/>
      <c r="B3" s="87"/>
      <c r="C3" s="88" t="s">
        <v>857</v>
      </c>
      <c r="F3" s="26" t="s">
        <v>954</v>
      </c>
      <c r="G3" s="63">
        <f>G7+G45+G68+G127+G169</f>
        <v>0</v>
      </c>
      <c r="H3" s="40"/>
      <c r="I3" s="40"/>
      <c r="J3" s="40"/>
    </row>
    <row r="4" spans="1:10" x14ac:dyDescent="0.2">
      <c r="A4" s="77"/>
      <c r="C4" s="312" t="s">
        <v>1089</v>
      </c>
      <c r="F4" s="24"/>
      <c r="G4" s="62"/>
      <c r="H4" s="40"/>
      <c r="I4" s="40"/>
      <c r="J4" s="40"/>
    </row>
    <row r="5" spans="1:10" ht="56.25" x14ac:dyDescent="0.2">
      <c r="A5" s="77"/>
      <c r="C5" s="312" t="s">
        <v>1102</v>
      </c>
      <c r="F5" s="24"/>
      <c r="G5" s="62"/>
      <c r="H5" s="40"/>
      <c r="I5" s="40"/>
      <c r="J5" s="40"/>
    </row>
    <row r="6" spans="1:10" x14ac:dyDescent="0.2">
      <c r="A6" s="77"/>
      <c r="C6" s="89"/>
      <c r="F6" s="24"/>
      <c r="G6" s="62"/>
      <c r="H6" s="40"/>
      <c r="I6" s="40"/>
      <c r="J6" s="40"/>
    </row>
    <row r="7" spans="1:10" x14ac:dyDescent="0.2">
      <c r="A7" s="77"/>
      <c r="C7" s="90" t="s">
        <v>982</v>
      </c>
      <c r="F7" s="158" t="s">
        <v>953</v>
      </c>
      <c r="G7" s="134">
        <f>IF(B8="Bloco concluído",1,0)</f>
        <v>0</v>
      </c>
      <c r="H7" s="41"/>
      <c r="I7" s="41"/>
      <c r="J7" s="40"/>
    </row>
    <row r="8" spans="1:10" ht="41.25" x14ac:dyDescent="0.2">
      <c r="A8" s="129"/>
      <c r="B8" s="67" t="str">
        <f>IF(AND(A11="Atingiu 100% das ações fixas",A19="Atingiu 100% das ações variáveis"),"BLOCO CONCLUÍDO","")</f>
        <v/>
      </c>
      <c r="C8" s="130" t="s">
        <v>1085</v>
      </c>
      <c r="F8" s="41"/>
      <c r="G8" s="41"/>
      <c r="H8" s="41"/>
      <c r="I8" s="41"/>
      <c r="J8" s="40"/>
    </row>
    <row r="9" spans="1:10" x14ac:dyDescent="0.2">
      <c r="A9" s="77"/>
      <c r="C9" s="89"/>
      <c r="F9" s="40"/>
      <c r="G9" s="62"/>
      <c r="H9" s="40"/>
      <c r="I9" s="40"/>
      <c r="J9" s="40"/>
    </row>
    <row r="10" spans="1:10" x14ac:dyDescent="0.2">
      <c r="A10" s="77"/>
      <c r="C10" s="92" t="s">
        <v>984</v>
      </c>
      <c r="F10" s="40"/>
      <c r="G10" s="62"/>
      <c r="H10" s="40"/>
      <c r="I10" s="40"/>
      <c r="J10" s="40"/>
    </row>
    <row r="11" spans="1:10" ht="81" x14ac:dyDescent="0.2">
      <c r="A11" s="369" t="str">
        <f>IF(J16&gt;=3,"Atingiu 100% das ações fixas","")</f>
        <v/>
      </c>
      <c r="B11" s="39" t="str">
        <f>IF(J11&gt;0,"Item OK","")</f>
        <v/>
      </c>
      <c r="C11" s="91" t="s">
        <v>1059</v>
      </c>
      <c r="D11" s="164" t="s">
        <v>972</v>
      </c>
      <c r="E11" s="187"/>
      <c r="F11" s="43"/>
      <c r="G11" s="63"/>
      <c r="H11" s="56" t="s">
        <v>909</v>
      </c>
      <c r="I11" s="38">
        <f>'Especialidades ou Insígnias'!H243</f>
        <v>0</v>
      </c>
      <c r="J11" s="38">
        <f>IF(G11+I11&gt;=1,1,0)+E11</f>
        <v>0</v>
      </c>
    </row>
    <row r="12" spans="1:10" x14ac:dyDescent="0.2">
      <c r="A12" s="369"/>
      <c r="B12" s="386" t="str">
        <f>IF(J14&gt;0,"Item OK","")</f>
        <v/>
      </c>
      <c r="C12" s="383" t="s">
        <v>1060</v>
      </c>
      <c r="D12" s="353" t="s">
        <v>972</v>
      </c>
      <c r="E12" s="359"/>
      <c r="F12" s="43" t="s">
        <v>48</v>
      </c>
      <c r="G12" s="63">
        <f>'Pistas e Trilha'!A14</f>
        <v>0</v>
      </c>
      <c r="H12" s="38" t="s">
        <v>244</v>
      </c>
      <c r="I12" s="38">
        <f>'Rumo e Travessia'!A10</f>
        <v>0</v>
      </c>
      <c r="J12" s="38">
        <f t="shared" ref="J12:J13" si="0">IF(G12+I12&gt;=1,1,0)</f>
        <v>0</v>
      </c>
    </row>
    <row r="13" spans="1:10" ht="27.75" x14ac:dyDescent="0.2">
      <c r="A13" s="369"/>
      <c r="B13" s="387"/>
      <c r="C13" s="384"/>
      <c r="D13" s="367"/>
      <c r="E13" s="368"/>
      <c r="F13" s="43"/>
      <c r="G13" s="63"/>
      <c r="H13" s="56" t="s">
        <v>909</v>
      </c>
      <c r="I13" s="38">
        <f>'Especialidades ou Insígnias'!H243</f>
        <v>0</v>
      </c>
      <c r="J13" s="38">
        <f t="shared" si="0"/>
        <v>0</v>
      </c>
    </row>
    <row r="14" spans="1:10" x14ac:dyDescent="0.2">
      <c r="A14" s="369"/>
      <c r="B14" s="388"/>
      <c r="C14" s="385"/>
      <c r="D14" s="354"/>
      <c r="E14" s="360"/>
      <c r="F14" s="43"/>
      <c r="G14" s="63"/>
      <c r="H14" s="56"/>
      <c r="I14" s="68" t="s">
        <v>852</v>
      </c>
      <c r="J14" s="38">
        <f>IF(G12+I12+G14&gt;=2,1,0)+E12</f>
        <v>0</v>
      </c>
    </row>
    <row r="15" spans="1:10" ht="27.75" x14ac:dyDescent="0.2">
      <c r="A15" s="369"/>
      <c r="B15" s="39" t="str">
        <f>IF(J15&gt;0,"Item OK","")</f>
        <v/>
      </c>
      <c r="C15" s="91" t="s">
        <v>1061</v>
      </c>
      <c r="D15" s="164" t="s">
        <v>972</v>
      </c>
      <c r="E15" s="187"/>
      <c r="F15" s="43" t="s">
        <v>245</v>
      </c>
      <c r="G15" s="63">
        <f>'Pistas e Trilha'!A15</f>
        <v>0</v>
      </c>
      <c r="H15" s="38" t="s">
        <v>246</v>
      </c>
      <c r="I15" s="38">
        <f>'Rumo e Travessia'!A5</f>
        <v>0</v>
      </c>
      <c r="J15" s="38">
        <f>IF(G15+I15&gt;=1,1,0)+E15</f>
        <v>0</v>
      </c>
    </row>
    <row r="16" spans="1:10" x14ac:dyDescent="0.2">
      <c r="A16" s="77"/>
      <c r="C16" s="89"/>
      <c r="F16" s="40"/>
      <c r="G16" s="62"/>
      <c r="H16" s="40"/>
      <c r="I16" s="68" t="s">
        <v>852</v>
      </c>
      <c r="J16" s="68">
        <f>J11+J14+J15</f>
        <v>0</v>
      </c>
    </row>
    <row r="17" spans="1:10" x14ac:dyDescent="0.2">
      <c r="A17" s="77"/>
      <c r="C17" s="90" t="s">
        <v>985</v>
      </c>
      <c r="F17" s="40"/>
      <c r="G17" s="62"/>
      <c r="H17" s="40"/>
      <c r="I17" s="40"/>
      <c r="J17" s="40"/>
    </row>
    <row r="18" spans="1:10" ht="17.25" x14ac:dyDescent="0.2">
      <c r="A18" s="77"/>
      <c r="C18" s="93" t="s">
        <v>907</v>
      </c>
      <c r="F18" s="40"/>
      <c r="G18" s="62"/>
      <c r="H18" s="40"/>
      <c r="I18" s="40"/>
      <c r="J18" s="40"/>
    </row>
    <row r="19" spans="1:10" ht="27.75" x14ac:dyDescent="0.2">
      <c r="A19" s="394" t="str">
        <f>IF(OR(J39&gt;0,J35&gt;=4),"Atingiu 100% das ações variáveis","")</f>
        <v/>
      </c>
      <c r="B19" s="39" t="str">
        <f t="shared" ref="B19:B26" si="1">IF(J19&gt;0,"Item OK","")</f>
        <v/>
      </c>
      <c r="C19" s="91" t="s">
        <v>858</v>
      </c>
      <c r="D19" s="164" t="s">
        <v>972</v>
      </c>
      <c r="E19" s="187"/>
      <c r="F19" s="43" t="s">
        <v>41</v>
      </c>
      <c r="G19" s="63">
        <f>'Pistas e Trilha'!A10</f>
        <v>0</v>
      </c>
      <c r="H19" s="38"/>
      <c r="I19" s="38"/>
      <c r="J19" s="38">
        <f>IF(G19+I19&gt;=1,1,0)+E19</f>
        <v>0</v>
      </c>
    </row>
    <row r="20" spans="1:10" ht="27.75" x14ac:dyDescent="0.2">
      <c r="A20" s="394"/>
      <c r="B20" s="39" t="str">
        <f t="shared" si="1"/>
        <v/>
      </c>
      <c r="C20" s="91" t="s">
        <v>1062</v>
      </c>
      <c r="D20" s="164" t="s">
        <v>972</v>
      </c>
      <c r="E20" s="187"/>
      <c r="F20" s="43" t="s">
        <v>247</v>
      </c>
      <c r="G20" s="63">
        <f>'Pistas e Trilha'!A101</f>
        <v>0</v>
      </c>
      <c r="H20" s="38" t="s">
        <v>248</v>
      </c>
      <c r="I20" s="38">
        <f>'Rumo e Travessia'!A7</f>
        <v>0</v>
      </c>
      <c r="J20" s="38">
        <f>IF(G20+I20&gt;=1,1,0)+E20</f>
        <v>0</v>
      </c>
    </row>
    <row r="21" spans="1:10" ht="27.75" x14ac:dyDescent="0.2">
      <c r="A21" s="394"/>
      <c r="B21" s="39" t="str">
        <f t="shared" si="1"/>
        <v/>
      </c>
      <c r="C21" s="91" t="s">
        <v>859</v>
      </c>
      <c r="D21" s="164" t="s">
        <v>972</v>
      </c>
      <c r="E21" s="187"/>
      <c r="F21" s="57" t="s">
        <v>909</v>
      </c>
      <c r="G21" s="63">
        <f>'Especialidades ou Insígnias'!H243</f>
        <v>0</v>
      </c>
      <c r="H21" s="38"/>
      <c r="I21" s="38"/>
      <c r="J21" s="38">
        <f>IF(G21+I21&gt;=1,1,0)+E21</f>
        <v>0</v>
      </c>
    </row>
    <row r="22" spans="1:10" ht="27.75" x14ac:dyDescent="0.2">
      <c r="A22" s="394"/>
      <c r="B22" s="39" t="str">
        <f t="shared" si="1"/>
        <v/>
      </c>
      <c r="C22" s="91" t="s">
        <v>1063</v>
      </c>
      <c r="D22" s="164" t="s">
        <v>972</v>
      </c>
      <c r="E22" s="187"/>
      <c r="F22" s="57" t="s">
        <v>937</v>
      </c>
      <c r="G22" s="63">
        <f>'Especialidades ou Insígnias'!H265</f>
        <v>0</v>
      </c>
      <c r="H22" s="38" t="s">
        <v>1117</v>
      </c>
      <c r="I22" s="38">
        <f>'Rumo e Travessia'!A13</f>
        <v>0</v>
      </c>
      <c r="J22" s="38">
        <f t="shared" ref="J22:J26" si="2">IF(G22+I22&gt;=1,1,0)+E22</f>
        <v>0</v>
      </c>
    </row>
    <row r="23" spans="1:10" ht="27.75" x14ac:dyDescent="0.2">
      <c r="A23" s="394"/>
      <c r="B23" s="39" t="str">
        <f t="shared" si="1"/>
        <v/>
      </c>
      <c r="C23" s="91" t="s">
        <v>860</v>
      </c>
      <c r="D23" s="164" t="s">
        <v>972</v>
      </c>
      <c r="E23" s="187"/>
      <c r="F23" s="43" t="s">
        <v>50</v>
      </c>
      <c r="G23" s="63">
        <f>'Pistas e Trilha'!A16</f>
        <v>0</v>
      </c>
      <c r="H23" s="38"/>
      <c r="I23" s="38"/>
      <c r="J23" s="38">
        <f t="shared" si="2"/>
        <v>0</v>
      </c>
    </row>
    <row r="24" spans="1:10" ht="27.75" x14ac:dyDescent="0.2">
      <c r="A24" s="394"/>
      <c r="B24" s="39" t="str">
        <f t="shared" si="1"/>
        <v/>
      </c>
      <c r="C24" s="91" t="s">
        <v>861</v>
      </c>
      <c r="D24" s="164" t="s">
        <v>972</v>
      </c>
      <c r="E24" s="187"/>
      <c r="F24" s="57" t="s">
        <v>909</v>
      </c>
      <c r="G24" s="63">
        <f>'Especialidades ou Insígnias'!H243</f>
        <v>0</v>
      </c>
      <c r="H24" s="38"/>
      <c r="I24" s="38"/>
      <c r="J24" s="38">
        <f t="shared" si="2"/>
        <v>0</v>
      </c>
    </row>
    <row r="25" spans="1:10" ht="27.75" x14ac:dyDescent="0.2">
      <c r="A25" s="394"/>
      <c r="B25" s="39" t="str">
        <f t="shared" si="1"/>
        <v/>
      </c>
      <c r="C25" s="91" t="s">
        <v>862</v>
      </c>
      <c r="D25" s="164" t="s">
        <v>972</v>
      </c>
      <c r="E25" s="187"/>
      <c r="F25" s="43" t="s">
        <v>40</v>
      </c>
      <c r="G25" s="63">
        <f>'Pistas e Trilha'!A13</f>
        <v>0</v>
      </c>
      <c r="H25" s="38"/>
      <c r="I25" s="38"/>
      <c r="J25" s="38">
        <f t="shared" si="2"/>
        <v>0</v>
      </c>
    </row>
    <row r="26" spans="1:10" ht="27.75" x14ac:dyDescent="0.2">
      <c r="A26" s="394"/>
      <c r="B26" s="39" t="str">
        <f t="shared" si="1"/>
        <v/>
      </c>
      <c r="C26" s="7" t="s">
        <v>863</v>
      </c>
      <c r="D26" s="164" t="s">
        <v>972</v>
      </c>
      <c r="E26" s="187"/>
      <c r="F26" s="57" t="s">
        <v>909</v>
      </c>
      <c r="G26" s="63">
        <f>'Especialidades ou Insígnias'!H243</f>
        <v>0</v>
      </c>
      <c r="H26" s="38" t="s">
        <v>49</v>
      </c>
      <c r="I26" s="38">
        <f>'Rumo e Travessia'!A14</f>
        <v>0</v>
      </c>
      <c r="J26" s="38">
        <f t="shared" si="2"/>
        <v>0</v>
      </c>
    </row>
    <row r="27" spans="1:10" x14ac:dyDescent="0.2">
      <c r="A27" s="394"/>
      <c r="B27" s="39"/>
      <c r="C27" s="90" t="s">
        <v>981</v>
      </c>
      <c r="D27" s="304"/>
      <c r="E27" s="306"/>
      <c r="F27" s="59"/>
      <c r="G27" s="62"/>
      <c r="H27" s="40"/>
      <c r="I27" s="40"/>
      <c r="J27" s="38"/>
    </row>
    <row r="28" spans="1:10" x14ac:dyDescent="0.2">
      <c r="A28" s="394"/>
      <c r="B28" s="39" t="str">
        <f>IF(J28&gt;0,"Item OK","")</f>
        <v/>
      </c>
      <c r="C28" s="91" t="s">
        <v>291</v>
      </c>
      <c r="F28" s="40"/>
      <c r="G28" s="62"/>
      <c r="H28" s="40"/>
      <c r="I28" s="40"/>
      <c r="J28" s="64">
        <f>'Especialidades ou Insígnias'!H34</f>
        <v>0</v>
      </c>
    </row>
    <row r="29" spans="1:10" x14ac:dyDescent="0.2">
      <c r="A29" s="394"/>
      <c r="B29" s="39" t="str">
        <f>IF(J29&gt;0,"Item OK","")</f>
        <v/>
      </c>
      <c r="C29" s="91" t="s">
        <v>329</v>
      </c>
      <c r="F29" s="40"/>
      <c r="G29" s="62"/>
      <c r="H29" s="40"/>
      <c r="I29" s="40"/>
      <c r="J29" s="64">
        <f>'Especialidades ou Insígnias'!H74</f>
        <v>0</v>
      </c>
    </row>
    <row r="30" spans="1:10" x14ac:dyDescent="0.2">
      <c r="A30" s="394"/>
      <c r="B30" s="39"/>
      <c r="C30" s="91" t="s">
        <v>423</v>
      </c>
      <c r="F30" s="40"/>
      <c r="G30" s="62"/>
      <c r="H30" s="40"/>
      <c r="I30" s="40"/>
      <c r="J30" s="64">
        <f>'Especialidades ou Insígnias'!H187</f>
        <v>0</v>
      </c>
    </row>
    <row r="31" spans="1:10" x14ac:dyDescent="0.2">
      <c r="A31" s="394"/>
      <c r="B31" s="39" t="str">
        <f>IF(J31&gt;0,"Item OK","")</f>
        <v/>
      </c>
      <c r="C31" s="91" t="s">
        <v>534</v>
      </c>
      <c r="F31" s="40"/>
      <c r="G31" s="62"/>
      <c r="H31" s="40"/>
      <c r="I31" s="40"/>
      <c r="J31" s="64">
        <f>'Especialidades ou Insígnias'!H305</f>
        <v>0</v>
      </c>
    </row>
    <row r="32" spans="1:10" x14ac:dyDescent="0.2">
      <c r="A32" s="394"/>
      <c r="B32" s="39" t="str">
        <f>IF(J32&gt;0,"Item OK","")</f>
        <v/>
      </c>
      <c r="C32" s="91" t="s">
        <v>496</v>
      </c>
      <c r="F32" s="40"/>
      <c r="G32" s="62"/>
      <c r="H32" s="40"/>
      <c r="I32" s="40"/>
      <c r="J32" s="64">
        <f>'Especialidades ou Insígnias'!H265</f>
        <v>0</v>
      </c>
    </row>
    <row r="33" spans="1:10" x14ac:dyDescent="0.2">
      <c r="A33" s="394"/>
      <c r="B33" s="39"/>
      <c r="C33" s="91" t="s">
        <v>547</v>
      </c>
      <c r="F33" s="40"/>
      <c r="G33" s="62"/>
      <c r="H33" s="40"/>
      <c r="I33" s="40"/>
      <c r="J33" s="73">
        <f>'Especialidades ou Insígnias'!H271</f>
        <v>0</v>
      </c>
    </row>
    <row r="34" spans="1:10" x14ac:dyDescent="0.2">
      <c r="A34" s="394"/>
      <c r="B34" s="39" t="str">
        <f>IF(J34&gt;0,"Item OK","")</f>
        <v/>
      </c>
      <c r="C34" s="91" t="s">
        <v>499</v>
      </c>
      <c r="F34" s="40"/>
      <c r="G34" s="62"/>
      <c r="H34" s="40"/>
      <c r="I34" s="40"/>
      <c r="J34" s="73">
        <f>'Especialidades ou Insígnias'!H268</f>
        <v>0</v>
      </c>
    </row>
    <row r="35" spans="1:10" x14ac:dyDescent="0.2">
      <c r="A35" s="77"/>
      <c r="B35" s="22"/>
      <c r="C35" s="90" t="s">
        <v>1057</v>
      </c>
      <c r="F35" s="40"/>
      <c r="G35" s="62"/>
      <c r="H35" s="40"/>
      <c r="I35" s="68" t="s">
        <v>852</v>
      </c>
      <c r="J35" s="68">
        <f>SUM(J19:J34)</f>
        <v>0</v>
      </c>
    </row>
    <row r="36" spans="1:10" x14ac:dyDescent="0.2">
      <c r="A36" s="77"/>
      <c r="B36" s="39" t="str">
        <f>IF(J36&gt;0,"Item OK","")</f>
        <v/>
      </c>
      <c r="C36" s="91" t="s">
        <v>273</v>
      </c>
      <c r="F36" s="40"/>
      <c r="G36" s="62"/>
      <c r="H36" s="40"/>
      <c r="I36" s="40"/>
      <c r="J36" s="74">
        <f>'Especialidades ou Insígnias'!H14</f>
        <v>0</v>
      </c>
    </row>
    <row r="37" spans="1:10" x14ac:dyDescent="0.2">
      <c r="A37" s="77"/>
      <c r="B37" s="39" t="str">
        <f>IF(J37&gt;0,"Item OK","")</f>
        <v/>
      </c>
      <c r="C37" s="91" t="s">
        <v>474</v>
      </c>
      <c r="F37" s="40"/>
      <c r="G37" s="62"/>
      <c r="H37" s="40"/>
      <c r="I37" s="40"/>
      <c r="J37" s="64">
        <f>'Especialidades ou Insígnias'!H242</f>
        <v>0</v>
      </c>
    </row>
    <row r="38" spans="1:10" ht="15.75" thickBot="1" x14ac:dyDescent="0.25">
      <c r="A38" s="78"/>
      <c r="B38" s="79" t="str">
        <f>IF(J38&gt;0,"Item OK","")</f>
        <v/>
      </c>
      <c r="C38" s="94" t="s">
        <v>475</v>
      </c>
      <c r="F38" s="40"/>
      <c r="G38" s="62"/>
      <c r="H38" s="40"/>
      <c r="I38" s="40"/>
      <c r="J38" s="64">
        <f>'Especialidades ou Insígnias'!H243</f>
        <v>0</v>
      </c>
    </row>
    <row r="39" spans="1:10" x14ac:dyDescent="0.2">
      <c r="F39" s="40"/>
      <c r="G39" s="62"/>
      <c r="H39" s="40"/>
      <c r="I39" s="68" t="s">
        <v>852</v>
      </c>
      <c r="J39" s="68">
        <f>SUM(J36:J38)</f>
        <v>0</v>
      </c>
    </row>
    <row r="40" spans="1:10" ht="15.75" thickBot="1" x14ac:dyDescent="0.25">
      <c r="F40" s="40"/>
      <c r="G40" s="62"/>
      <c r="H40" s="40"/>
      <c r="I40" s="70"/>
      <c r="J40" s="70"/>
    </row>
    <row r="41" spans="1:10" x14ac:dyDescent="0.2">
      <c r="A41" s="76"/>
      <c r="B41" s="87"/>
      <c r="C41" s="88" t="s">
        <v>864</v>
      </c>
      <c r="F41" s="40"/>
      <c r="G41" s="62"/>
      <c r="H41" s="40"/>
      <c r="I41" s="40"/>
      <c r="J41" s="40"/>
    </row>
    <row r="42" spans="1:10" x14ac:dyDescent="0.2">
      <c r="A42" s="77"/>
      <c r="C42" s="312" t="s">
        <v>1089</v>
      </c>
      <c r="F42" s="40"/>
      <c r="G42" s="62"/>
      <c r="H42" s="40"/>
      <c r="I42" s="40"/>
      <c r="J42" s="40"/>
    </row>
    <row r="43" spans="1:10" ht="45.75" x14ac:dyDescent="0.2">
      <c r="A43" s="77"/>
      <c r="C43" s="312" t="s">
        <v>1103</v>
      </c>
      <c r="F43" s="40"/>
      <c r="G43" s="62"/>
      <c r="H43" s="40"/>
      <c r="I43" s="40"/>
      <c r="J43" s="40"/>
    </row>
    <row r="44" spans="1:10" x14ac:dyDescent="0.2">
      <c r="A44" s="77"/>
      <c r="C44" s="89"/>
      <c r="F44" s="40"/>
      <c r="G44" s="62"/>
      <c r="H44" s="40"/>
      <c r="I44" s="40"/>
      <c r="J44" s="40"/>
    </row>
    <row r="45" spans="1:10" x14ac:dyDescent="0.2">
      <c r="A45" s="77"/>
      <c r="C45" s="90" t="s">
        <v>982</v>
      </c>
      <c r="F45" s="158" t="s">
        <v>953</v>
      </c>
      <c r="G45" s="134">
        <f>IF(B46="Bloco concluído",1,0)</f>
        <v>0</v>
      </c>
      <c r="H45" s="41"/>
      <c r="I45" s="41"/>
      <c r="J45" s="40"/>
    </row>
    <row r="46" spans="1:10" ht="41.25" x14ac:dyDescent="0.2">
      <c r="A46" s="129"/>
      <c r="B46" s="67" t="str">
        <f>IF(A50="Atingiu 100% das ações variáveis","BLOCO CONCLUÍDO","")</f>
        <v/>
      </c>
      <c r="C46" s="91" t="s">
        <v>1064</v>
      </c>
      <c r="F46" s="41"/>
      <c r="G46" s="41"/>
      <c r="H46" s="41"/>
      <c r="I46" s="41"/>
      <c r="J46" s="40"/>
    </row>
    <row r="47" spans="1:10" x14ac:dyDescent="0.2">
      <c r="A47" s="77"/>
      <c r="C47" s="89"/>
      <c r="F47" s="40"/>
      <c r="G47" s="62"/>
      <c r="H47" s="40"/>
      <c r="I47" s="40"/>
      <c r="J47" s="40"/>
    </row>
    <row r="48" spans="1:10" x14ac:dyDescent="0.2">
      <c r="A48" s="77"/>
      <c r="C48" s="90" t="s">
        <v>985</v>
      </c>
      <c r="F48" s="40"/>
      <c r="G48" s="62"/>
      <c r="H48" s="40"/>
      <c r="I48" s="40"/>
      <c r="J48" s="40"/>
    </row>
    <row r="49" spans="1:10" ht="17.25" x14ac:dyDescent="0.2">
      <c r="A49" s="77"/>
      <c r="C49" s="92" t="s">
        <v>904</v>
      </c>
      <c r="F49" s="40"/>
      <c r="G49" s="62"/>
      <c r="H49" s="40"/>
      <c r="I49" s="40"/>
      <c r="J49" s="40"/>
    </row>
    <row r="50" spans="1:10" x14ac:dyDescent="0.2">
      <c r="A50" s="394" t="str">
        <f>IF(OR(J62&gt;0,J58&gt;=4),"Atingiu 100% das ações variáveis","")</f>
        <v/>
      </c>
      <c r="B50" s="39" t="str">
        <f>IF(J50&gt;0,"Item OK","")</f>
        <v/>
      </c>
      <c r="C50" s="91" t="s">
        <v>1065</v>
      </c>
      <c r="D50" s="164" t="s">
        <v>972</v>
      </c>
      <c r="E50" s="187"/>
      <c r="F50" s="43" t="s">
        <v>51</v>
      </c>
      <c r="G50" s="63">
        <f>'Pistas e Trilha'!A175</f>
        <v>0</v>
      </c>
      <c r="H50" s="38"/>
      <c r="I50" s="38"/>
      <c r="J50" s="38">
        <f>IF(G50+I50&gt;=1,1,0)+E50</f>
        <v>0</v>
      </c>
    </row>
    <row r="51" spans="1:10" ht="27.75" x14ac:dyDescent="0.2">
      <c r="A51" s="394"/>
      <c r="B51" s="39" t="str">
        <f>IF(J51&gt;0,"Item OK","")</f>
        <v/>
      </c>
      <c r="C51" s="91" t="s">
        <v>865</v>
      </c>
      <c r="D51" s="164" t="s">
        <v>972</v>
      </c>
      <c r="E51" s="187"/>
      <c r="F51" s="43" t="s">
        <v>52</v>
      </c>
      <c r="G51" s="63">
        <f>'Pistas e Trilha'!A180</f>
        <v>0</v>
      </c>
      <c r="H51" s="38"/>
      <c r="I51" s="38"/>
      <c r="J51" s="38">
        <f>IF(G51+I51&gt;=1,1,0)+E51</f>
        <v>0</v>
      </c>
    </row>
    <row r="52" spans="1:10" x14ac:dyDescent="0.2">
      <c r="A52" s="394"/>
      <c r="B52" s="39" t="str">
        <f>IF(J52&gt;0,"Item OK","")</f>
        <v/>
      </c>
      <c r="C52" s="91" t="s">
        <v>866</v>
      </c>
      <c r="D52" s="164" t="s">
        <v>972</v>
      </c>
      <c r="E52" s="187"/>
      <c r="F52" s="43" t="s">
        <v>53</v>
      </c>
      <c r="G52" s="63">
        <f>'Pistas e Trilha'!A174</f>
        <v>0</v>
      </c>
      <c r="H52" s="38"/>
      <c r="I52" s="38"/>
      <c r="J52" s="38">
        <f>IF(G52+I52&gt;=1,1,0)+E52</f>
        <v>0</v>
      </c>
    </row>
    <row r="53" spans="1:10" x14ac:dyDescent="0.2">
      <c r="A53" s="394"/>
      <c r="B53" s="386" t="str">
        <f>IF(J55&gt;0,"Item OK","")</f>
        <v/>
      </c>
      <c r="C53" s="400" t="s">
        <v>867</v>
      </c>
      <c r="D53" s="403" t="s">
        <v>972</v>
      </c>
      <c r="E53" s="397"/>
      <c r="F53" s="43" t="s">
        <v>249</v>
      </c>
      <c r="G53" s="63">
        <f>'Pistas e Trilha'!A185</f>
        <v>0</v>
      </c>
      <c r="H53" s="38" t="s">
        <v>264</v>
      </c>
      <c r="I53" s="38">
        <f>'Rumo e Travessia'!A182</f>
        <v>0</v>
      </c>
      <c r="J53" s="38">
        <f t="shared" ref="J53:J54" si="3">IF(G53+I53&gt;=1,1,0)</f>
        <v>0</v>
      </c>
    </row>
    <row r="54" spans="1:10" x14ac:dyDescent="0.2">
      <c r="A54" s="394"/>
      <c r="B54" s="387"/>
      <c r="C54" s="402"/>
      <c r="D54" s="403"/>
      <c r="E54" s="397"/>
      <c r="F54" s="43"/>
      <c r="G54" s="63"/>
      <c r="H54" s="38" t="s">
        <v>265</v>
      </c>
      <c r="I54" s="38">
        <f>'Rumo e Travessia'!A192</f>
        <v>0</v>
      </c>
      <c r="J54" s="38">
        <f t="shared" si="3"/>
        <v>0</v>
      </c>
    </row>
    <row r="55" spans="1:10" x14ac:dyDescent="0.2">
      <c r="A55" s="394"/>
      <c r="B55" s="388"/>
      <c r="C55" s="401"/>
      <c r="D55" s="403"/>
      <c r="E55" s="397"/>
      <c r="F55" s="43"/>
      <c r="G55" s="63"/>
      <c r="H55" s="38"/>
      <c r="I55" s="68" t="s">
        <v>852</v>
      </c>
      <c r="J55" s="38">
        <f>IF(G53+I53+G54+I54&gt;=1,1,0)+E53</f>
        <v>0</v>
      </c>
    </row>
    <row r="56" spans="1:10" x14ac:dyDescent="0.2">
      <c r="A56" s="394"/>
      <c r="B56" s="39" t="str">
        <f>IF(J56&gt;0,"Item OK","")</f>
        <v/>
      </c>
      <c r="C56" s="91" t="s">
        <v>868</v>
      </c>
      <c r="D56" s="164" t="s">
        <v>972</v>
      </c>
      <c r="E56" s="187"/>
      <c r="F56" s="43" t="s">
        <v>938</v>
      </c>
      <c r="G56" s="63">
        <f>'Pistas e Trilha'!A190</f>
        <v>0</v>
      </c>
      <c r="H56" s="38"/>
      <c r="I56" s="38"/>
      <c r="J56" s="38">
        <f>IF(G56+I56&gt;=1,1,0)+E56</f>
        <v>0</v>
      </c>
    </row>
    <row r="57" spans="1:10" ht="27.75" x14ac:dyDescent="0.2">
      <c r="A57" s="394"/>
      <c r="B57" s="39" t="str">
        <f>IF(J57&gt;0,"Item OK","")</f>
        <v/>
      </c>
      <c r="C57" s="91" t="s">
        <v>869</v>
      </c>
      <c r="D57" s="164" t="s">
        <v>972</v>
      </c>
      <c r="E57" s="187"/>
      <c r="F57" s="43" t="s">
        <v>250</v>
      </c>
      <c r="G57" s="63">
        <f>'Pistas e Trilha'!A183</f>
        <v>0</v>
      </c>
      <c r="H57" s="38" t="s">
        <v>251</v>
      </c>
      <c r="I57" s="38">
        <f>'Rumo e Travessia'!A187</f>
        <v>0</v>
      </c>
      <c r="J57" s="38">
        <f>IF(G57+I57&gt;=1,1,0)+E57</f>
        <v>0</v>
      </c>
    </row>
    <row r="58" spans="1:10" x14ac:dyDescent="0.2">
      <c r="A58" s="85"/>
      <c r="B58" s="22"/>
      <c r="C58" s="89"/>
      <c r="F58" s="40"/>
      <c r="G58" s="62"/>
      <c r="H58" s="40"/>
      <c r="I58" s="70" t="s">
        <v>852</v>
      </c>
      <c r="J58" s="70">
        <f>J50+J51+J52+J55+J56+J57</f>
        <v>0</v>
      </c>
    </row>
    <row r="59" spans="1:10" ht="27.75" x14ac:dyDescent="0.2">
      <c r="A59" s="85"/>
      <c r="B59" s="22"/>
      <c r="C59" s="92" t="s">
        <v>1066</v>
      </c>
      <c r="F59" s="40"/>
      <c r="G59" s="62"/>
      <c r="H59" s="40"/>
      <c r="I59" s="40"/>
      <c r="J59" s="40"/>
    </row>
    <row r="60" spans="1:10" x14ac:dyDescent="0.2">
      <c r="A60" s="95"/>
      <c r="B60" s="39" t="str">
        <f>IF(J60&gt;0,"Item OK","")</f>
        <v/>
      </c>
      <c r="C60" s="91" t="s">
        <v>539</v>
      </c>
      <c r="F60" s="40"/>
      <c r="G60" s="62"/>
      <c r="H60" s="40"/>
      <c r="I60" s="40"/>
      <c r="J60" s="64">
        <f>'Especialidades ou Insígnias'!H310</f>
        <v>0</v>
      </c>
    </row>
    <row r="61" spans="1:10" ht="15.75" thickBot="1" x14ac:dyDescent="0.25">
      <c r="A61" s="96"/>
      <c r="B61" s="79" t="str">
        <f>IF(J61&gt;0,"Item OK","")</f>
        <v/>
      </c>
      <c r="C61" s="94" t="s">
        <v>897</v>
      </c>
      <c r="F61" s="40"/>
      <c r="G61" s="62"/>
      <c r="H61" s="40"/>
      <c r="I61" s="40"/>
      <c r="J61" s="64">
        <f>'Especialidades ou Insígnias'!H87</f>
        <v>0</v>
      </c>
    </row>
    <row r="62" spans="1:10" x14ac:dyDescent="0.2">
      <c r="B62" s="22"/>
      <c r="F62" s="40"/>
      <c r="G62" s="62"/>
      <c r="H62" s="40"/>
      <c r="I62" s="70" t="s">
        <v>852</v>
      </c>
      <c r="J62" s="68">
        <f>SUM(J60:J61)</f>
        <v>0</v>
      </c>
    </row>
    <row r="63" spans="1:10" ht="15.75" thickBot="1" x14ac:dyDescent="0.25">
      <c r="B63" s="22"/>
      <c r="F63" s="40"/>
      <c r="G63" s="62"/>
      <c r="H63" s="40"/>
      <c r="I63" s="40"/>
      <c r="J63" s="40"/>
    </row>
    <row r="64" spans="1:10" ht="15.75" x14ac:dyDescent="0.2">
      <c r="A64" s="76"/>
      <c r="B64" s="80"/>
      <c r="C64" s="88" t="s">
        <v>870</v>
      </c>
      <c r="F64" s="40"/>
      <c r="G64" s="62"/>
      <c r="H64" s="40"/>
      <c r="I64" s="40"/>
      <c r="J64" s="40"/>
    </row>
    <row r="65" spans="1:10" x14ac:dyDescent="0.2">
      <c r="A65" s="77"/>
      <c r="B65" s="22"/>
      <c r="C65" s="312" t="s">
        <v>1089</v>
      </c>
      <c r="F65" s="40"/>
      <c r="G65" s="62"/>
      <c r="H65" s="40"/>
      <c r="I65" s="40"/>
      <c r="J65" s="40"/>
    </row>
    <row r="66" spans="1:10" ht="45.75" x14ac:dyDescent="0.2">
      <c r="A66" s="77"/>
      <c r="B66" s="22"/>
      <c r="C66" s="312" t="s">
        <v>1104</v>
      </c>
      <c r="F66" s="40"/>
      <c r="G66" s="62"/>
      <c r="H66" s="40"/>
      <c r="I66" s="40"/>
      <c r="J66" s="40"/>
    </row>
    <row r="67" spans="1:10" x14ac:dyDescent="0.2">
      <c r="A67" s="77"/>
      <c r="B67" s="22"/>
      <c r="C67" s="89"/>
      <c r="F67" s="40"/>
      <c r="G67" s="62"/>
      <c r="H67" s="40"/>
      <c r="I67" s="40"/>
      <c r="J67" s="40"/>
    </row>
    <row r="68" spans="1:10" x14ac:dyDescent="0.2">
      <c r="A68" s="77"/>
      <c r="B68" s="22"/>
      <c r="C68" s="90" t="s">
        <v>982</v>
      </c>
      <c r="F68" s="158" t="s">
        <v>953</v>
      </c>
      <c r="G68" s="134">
        <f>IF(B69="Bloco concluído",1,0)</f>
        <v>0</v>
      </c>
      <c r="H68" s="41"/>
      <c r="I68" s="41"/>
      <c r="J68" s="40"/>
    </row>
    <row r="69" spans="1:10" ht="41.25" x14ac:dyDescent="0.2">
      <c r="A69" s="129"/>
      <c r="B69" s="67" t="str">
        <f>IF(AND(A72="Atingiu 100% das ações fixas",A77="Atingiu 100% das ações variáveis"),"BLOCO CONCLUÍDO","")</f>
        <v/>
      </c>
      <c r="C69" s="91" t="s">
        <v>1067</v>
      </c>
      <c r="F69" s="41"/>
      <c r="G69" s="41"/>
      <c r="H69" s="41"/>
      <c r="I69" s="41"/>
      <c r="J69" s="40"/>
    </row>
    <row r="70" spans="1:10" x14ac:dyDescent="0.2">
      <c r="A70" s="77"/>
      <c r="C70" s="97"/>
      <c r="F70" s="61"/>
      <c r="G70" s="65"/>
      <c r="H70" s="61"/>
      <c r="I70" s="61"/>
      <c r="J70" s="40"/>
    </row>
    <row r="71" spans="1:10" x14ac:dyDescent="0.2">
      <c r="A71" s="77"/>
      <c r="B71" s="22"/>
      <c r="C71" s="92" t="s">
        <v>984</v>
      </c>
      <c r="F71" s="40"/>
      <c r="G71" s="62"/>
      <c r="H71" s="40"/>
      <c r="I71" s="40"/>
      <c r="J71" s="40"/>
    </row>
    <row r="72" spans="1:10" ht="30" customHeight="1" x14ac:dyDescent="0.2">
      <c r="A72" s="369" t="str">
        <f>IF(J74&gt;=2,"Atingiu 100% das ações fixas","")</f>
        <v/>
      </c>
      <c r="B72" s="136" t="str">
        <f>IF(J72&gt;0,"Item OK","")</f>
        <v/>
      </c>
      <c r="C72" s="163" t="s">
        <v>871</v>
      </c>
      <c r="D72" s="165" t="s">
        <v>972</v>
      </c>
      <c r="E72" s="187"/>
      <c r="F72" s="43" t="s">
        <v>253</v>
      </c>
      <c r="G72" s="63">
        <f>'Pistas e Trilha'!A25</f>
        <v>0</v>
      </c>
      <c r="H72" s="38" t="s">
        <v>252</v>
      </c>
      <c r="I72" s="38">
        <f>'Rumo e Travessia'!A24</f>
        <v>0</v>
      </c>
      <c r="J72" s="38">
        <f>IF(G72+I72&gt;=1,1,0)+E72</f>
        <v>0</v>
      </c>
    </row>
    <row r="73" spans="1:10" ht="30" customHeight="1" x14ac:dyDescent="0.2">
      <c r="A73" s="369"/>
      <c r="B73" s="39" t="str">
        <f>IF(J73&gt;0,"Item OK","")</f>
        <v/>
      </c>
      <c r="C73" s="7" t="s">
        <v>872</v>
      </c>
      <c r="D73" s="164" t="s">
        <v>972</v>
      </c>
      <c r="E73" s="187"/>
      <c r="F73" s="43"/>
      <c r="G73" s="63"/>
      <c r="H73" s="38" t="s">
        <v>974</v>
      </c>
      <c r="I73" s="38">
        <f>'Rumo e Travessia'!A25</f>
        <v>0</v>
      </c>
      <c r="J73" s="38">
        <f>IF(G73+I73&gt;=1,1,0)+E73</f>
        <v>0</v>
      </c>
    </row>
    <row r="74" spans="1:10" x14ac:dyDescent="0.2">
      <c r="A74" s="77"/>
      <c r="C74" s="97"/>
      <c r="F74" s="41"/>
      <c r="G74" s="41"/>
      <c r="H74" s="41"/>
      <c r="I74" s="69" t="s">
        <v>852</v>
      </c>
      <c r="J74" s="68">
        <f>SUM(J72:J73)</f>
        <v>0</v>
      </c>
    </row>
    <row r="75" spans="1:10" x14ac:dyDescent="0.2">
      <c r="A75" s="77"/>
      <c r="C75" s="90" t="s">
        <v>985</v>
      </c>
      <c r="F75" s="41"/>
      <c r="G75" s="41"/>
      <c r="H75" s="41"/>
      <c r="I75" s="41"/>
      <c r="J75" s="40"/>
    </row>
    <row r="76" spans="1:10" ht="17.25" x14ac:dyDescent="0.2">
      <c r="A76" s="77"/>
      <c r="C76" s="93" t="s">
        <v>898</v>
      </c>
      <c r="F76" s="41"/>
      <c r="G76" s="41"/>
      <c r="H76" s="41"/>
      <c r="I76" s="41"/>
      <c r="J76" s="40"/>
    </row>
    <row r="77" spans="1:10" ht="27.75" x14ac:dyDescent="0.2">
      <c r="A77" s="394" t="str">
        <f>IF(OR(J121&gt;0,J118&gt;=3),"Atingiu 100% das ações variáveis","")</f>
        <v/>
      </c>
      <c r="B77" s="39" t="str">
        <f>IF(J77&gt;0,"Item OK","")</f>
        <v/>
      </c>
      <c r="C77" s="7" t="s">
        <v>873</v>
      </c>
      <c r="D77" s="164" t="s">
        <v>972</v>
      </c>
      <c r="E77" s="187"/>
      <c r="F77" s="43" t="s">
        <v>254</v>
      </c>
      <c r="G77" s="63">
        <f>'Pistas e Trilha'!A19</f>
        <v>0</v>
      </c>
      <c r="H77" s="38" t="s">
        <v>956</v>
      </c>
      <c r="I77" s="38">
        <f>'Rumo e Travessia'!A19</f>
        <v>0</v>
      </c>
      <c r="J77" s="38">
        <f>IF(G77+I77&gt;=1,1,0)+E77</f>
        <v>0</v>
      </c>
    </row>
    <row r="78" spans="1:10" ht="30" customHeight="1" x14ac:dyDescent="0.2">
      <c r="A78" s="394"/>
      <c r="B78" s="386" t="str">
        <f>IF(J80&gt;0,"Item OK","")</f>
        <v/>
      </c>
      <c r="C78" s="400" t="s">
        <v>874</v>
      </c>
      <c r="D78" s="396" t="s">
        <v>972</v>
      </c>
      <c r="E78" s="397"/>
      <c r="F78" s="43" t="s">
        <v>256</v>
      </c>
      <c r="G78" s="63">
        <f>'Pistas e Trilha'!A21</f>
        <v>0</v>
      </c>
      <c r="H78" s="38" t="s">
        <v>255</v>
      </c>
      <c r="I78" s="38">
        <f>'Rumo e Travessia'!A17</f>
        <v>0</v>
      </c>
      <c r="J78" s="38"/>
    </row>
    <row r="79" spans="1:10" x14ac:dyDescent="0.2">
      <c r="A79" s="394"/>
      <c r="B79" s="387"/>
      <c r="C79" s="401"/>
      <c r="D79" s="396"/>
      <c r="E79" s="397"/>
      <c r="F79" s="43" t="s">
        <v>257</v>
      </c>
      <c r="G79" s="63">
        <f>'Pistas e Trilha'!A96</f>
        <v>0</v>
      </c>
      <c r="H79" s="38"/>
      <c r="I79" s="38"/>
      <c r="J79" s="38"/>
    </row>
    <row r="80" spans="1:10" hidden="1" x14ac:dyDescent="0.2">
      <c r="A80" s="394"/>
      <c r="B80" s="388"/>
      <c r="C80" s="189"/>
      <c r="E80" s="186"/>
      <c r="F80" s="43"/>
      <c r="G80" s="63"/>
      <c r="H80" s="38"/>
      <c r="I80" s="68" t="s">
        <v>852</v>
      </c>
      <c r="J80" s="38">
        <f>IF(G78+I78+G79+I79&gt;=2,1,0)+E78</f>
        <v>0</v>
      </c>
    </row>
    <row r="81" spans="1:10" ht="30" customHeight="1" x14ac:dyDescent="0.2">
      <c r="A81" s="394"/>
      <c r="B81" s="386" t="str">
        <f>IF(J83&gt;0,"Item OK","")</f>
        <v/>
      </c>
      <c r="C81" s="400" t="s">
        <v>875</v>
      </c>
      <c r="D81" s="396" t="s">
        <v>972</v>
      </c>
      <c r="E81" s="397"/>
      <c r="F81" s="43" t="s">
        <v>258</v>
      </c>
      <c r="G81" s="63">
        <f>'Pistas e Trilha'!A31</f>
        <v>0</v>
      </c>
      <c r="H81" s="38" t="s">
        <v>263</v>
      </c>
      <c r="I81" s="38">
        <f>'Rumo e Travessia'!A28</f>
        <v>0</v>
      </c>
      <c r="J81" s="38"/>
    </row>
    <row r="82" spans="1:10" x14ac:dyDescent="0.2">
      <c r="A82" s="394"/>
      <c r="B82" s="387"/>
      <c r="C82" s="401"/>
      <c r="D82" s="396"/>
      <c r="E82" s="397"/>
      <c r="F82" s="43" t="s">
        <v>261</v>
      </c>
      <c r="G82" s="63">
        <f>'Pistas e Trilha'!A32</f>
        <v>0</v>
      </c>
      <c r="H82" s="38" t="s">
        <v>262</v>
      </c>
      <c r="I82" s="38">
        <f>'Rumo e Travessia'!A29</f>
        <v>0</v>
      </c>
      <c r="J82" s="38"/>
    </row>
    <row r="83" spans="1:10" hidden="1" x14ac:dyDescent="0.2">
      <c r="A83" s="394"/>
      <c r="B83" s="388"/>
      <c r="C83" s="189"/>
      <c r="E83" s="186"/>
      <c r="F83" s="43"/>
      <c r="G83" s="63"/>
      <c r="H83" s="38"/>
      <c r="I83" s="68" t="s">
        <v>852</v>
      </c>
      <c r="J83" s="38">
        <f>IF(G81+I81+G82+I82&gt;=3,1,0)+E81</f>
        <v>0</v>
      </c>
    </row>
    <row r="84" spans="1:10" ht="21" customHeight="1" x14ac:dyDescent="0.2">
      <c r="A84" s="394"/>
      <c r="B84" s="39" t="str">
        <f>IF(J84&gt;0,"Item OK","")</f>
        <v/>
      </c>
      <c r="C84" s="7" t="s">
        <v>876</v>
      </c>
      <c r="D84" s="164" t="s">
        <v>972</v>
      </c>
      <c r="E84" s="187"/>
      <c r="F84" s="43" t="s">
        <v>259</v>
      </c>
      <c r="G84" s="63">
        <f>'Pistas e Trilha'!A36</f>
        <v>0</v>
      </c>
      <c r="H84" s="38" t="s">
        <v>260</v>
      </c>
      <c r="I84" s="38">
        <f>'Rumo e Travessia'!A34</f>
        <v>0</v>
      </c>
      <c r="J84" s="38">
        <f>IF(G84+I84&gt;=1,1,0)+E84</f>
        <v>0</v>
      </c>
    </row>
    <row r="85" spans="1:10" x14ac:dyDescent="0.2">
      <c r="A85" s="394"/>
      <c r="B85" s="39" t="str">
        <f>IF(J85&gt;0,"Item OK","")</f>
        <v/>
      </c>
      <c r="C85" s="7" t="s">
        <v>877</v>
      </c>
      <c r="D85" s="164" t="s">
        <v>972</v>
      </c>
      <c r="E85" s="187"/>
      <c r="F85" s="43" t="s">
        <v>939</v>
      </c>
      <c r="G85" s="63">
        <f>'Pistas e Trilha'!A24</f>
        <v>0</v>
      </c>
      <c r="H85" s="38" t="s">
        <v>611</v>
      </c>
      <c r="I85" s="38">
        <f>'Rumo e Travessia'!A22</f>
        <v>0</v>
      </c>
      <c r="J85" s="38">
        <f>IF(G85+I85&gt;=1,1,0)+E85</f>
        <v>0</v>
      </c>
    </row>
    <row r="86" spans="1:10" x14ac:dyDescent="0.2">
      <c r="A86" s="394"/>
      <c r="B86" s="39" t="str">
        <f>IF(J86&gt;0,"Item OK","")</f>
        <v/>
      </c>
      <c r="C86" s="7" t="s">
        <v>878</v>
      </c>
      <c r="D86" s="164" t="s">
        <v>972</v>
      </c>
      <c r="E86" s="187"/>
      <c r="F86" s="43" t="s">
        <v>947</v>
      </c>
      <c r="G86" s="63">
        <f>'Pistas e Trilha'!A7</f>
        <v>0</v>
      </c>
      <c r="H86" s="38" t="s">
        <v>246</v>
      </c>
      <c r="I86" s="38">
        <f>'Rumo e Travessia'!A5</f>
        <v>0</v>
      </c>
      <c r="J86" s="38">
        <f>IF(G86+I86&gt;=1,1,0)+E86</f>
        <v>0</v>
      </c>
    </row>
    <row r="87" spans="1:10" ht="27.75" x14ac:dyDescent="0.2">
      <c r="A87" s="394"/>
      <c r="B87" s="39" t="str">
        <f>IF(J87&gt;0,"Item OK","")</f>
        <v/>
      </c>
      <c r="C87" s="7" t="s">
        <v>1068</v>
      </c>
      <c r="D87" s="164" t="s">
        <v>972</v>
      </c>
      <c r="E87" s="187"/>
      <c r="F87" s="43"/>
      <c r="G87" s="63"/>
      <c r="H87" s="38"/>
      <c r="I87" s="38"/>
      <c r="J87" s="38">
        <f>IF(G87+I87&gt;=1,1,0)+E87</f>
        <v>0</v>
      </c>
    </row>
    <row r="88" spans="1:10" x14ac:dyDescent="0.2">
      <c r="A88" s="394"/>
      <c r="B88" s="39" t="str">
        <f>IF(J88&gt;0,"Item OK","")</f>
        <v/>
      </c>
      <c r="C88" s="7" t="s">
        <v>1069</v>
      </c>
      <c r="D88" s="164" t="s">
        <v>972</v>
      </c>
      <c r="E88" s="187"/>
      <c r="F88" s="43" t="s">
        <v>54</v>
      </c>
      <c r="G88" s="63">
        <f>'Pistas e Trilha'!A118</f>
        <v>0</v>
      </c>
      <c r="H88" s="38"/>
      <c r="I88" s="38"/>
      <c r="J88" s="38">
        <f>IF(G88+I88&gt;=1,1,0)+E88</f>
        <v>0</v>
      </c>
    </row>
    <row r="89" spans="1:10" x14ac:dyDescent="0.2">
      <c r="A89" s="394"/>
      <c r="B89" s="39"/>
      <c r="C89" s="90" t="s">
        <v>981</v>
      </c>
      <c r="D89" s="304"/>
      <c r="E89" s="306"/>
      <c r="F89" s="40"/>
      <c r="G89" s="62"/>
      <c r="H89" s="40"/>
      <c r="I89" s="40"/>
      <c r="J89" s="38"/>
    </row>
    <row r="90" spans="1:10" x14ac:dyDescent="0.2">
      <c r="A90" s="394"/>
      <c r="B90" s="39" t="str">
        <f t="shared" ref="B90:B100" si="4">IF(J90&gt;0,"Item OK","")</f>
        <v/>
      </c>
      <c r="C90" s="82" t="s">
        <v>286</v>
      </c>
      <c r="F90" s="40"/>
      <c r="G90" s="62"/>
      <c r="H90" s="40"/>
      <c r="I90" s="40"/>
      <c r="J90" s="64">
        <f>'Especialidades ou Insígnias'!H29</f>
        <v>0</v>
      </c>
    </row>
    <row r="91" spans="1:10" x14ac:dyDescent="0.2">
      <c r="A91" s="394"/>
      <c r="B91" s="39" t="str">
        <f t="shared" si="4"/>
        <v/>
      </c>
      <c r="C91" s="82" t="s">
        <v>302</v>
      </c>
      <c r="F91" s="40"/>
      <c r="G91" s="62"/>
      <c r="H91" s="40"/>
      <c r="I91" s="40"/>
      <c r="J91" s="64">
        <f>'Especialidades ou Insígnias'!H46</f>
        <v>0</v>
      </c>
    </row>
    <row r="92" spans="1:10" x14ac:dyDescent="0.2">
      <c r="A92" s="394"/>
      <c r="B92" s="39" t="str">
        <f t="shared" si="4"/>
        <v/>
      </c>
      <c r="C92" s="82" t="s">
        <v>308</v>
      </c>
      <c r="F92" s="40"/>
      <c r="G92" s="62"/>
      <c r="H92" s="40"/>
      <c r="I92" s="40"/>
      <c r="J92" s="64">
        <f>'Especialidades ou Insígnias'!H52</f>
        <v>0</v>
      </c>
    </row>
    <row r="93" spans="1:10" x14ac:dyDescent="0.2">
      <c r="A93" s="394"/>
      <c r="B93" s="39" t="str">
        <f t="shared" si="4"/>
        <v/>
      </c>
      <c r="C93" s="82" t="s">
        <v>322</v>
      </c>
      <c r="F93" s="40"/>
      <c r="G93" s="62"/>
      <c r="H93" s="40"/>
      <c r="I93" s="40"/>
      <c r="J93" s="64">
        <f>'Especialidades ou Insígnias'!H67</f>
        <v>0</v>
      </c>
    </row>
    <row r="94" spans="1:10" x14ac:dyDescent="0.2">
      <c r="A94" s="394"/>
      <c r="B94" s="39" t="str">
        <f t="shared" si="4"/>
        <v/>
      </c>
      <c r="C94" s="82" t="s">
        <v>332</v>
      </c>
      <c r="F94" s="40"/>
      <c r="G94" s="62"/>
      <c r="H94" s="40"/>
      <c r="I94" s="40"/>
      <c r="J94" s="64">
        <f>'Especialidades ou Insígnias'!H78</f>
        <v>0</v>
      </c>
    </row>
    <row r="95" spans="1:10" x14ac:dyDescent="0.2">
      <c r="A95" s="394"/>
      <c r="B95" s="39" t="str">
        <f t="shared" si="4"/>
        <v/>
      </c>
      <c r="C95" s="82" t="s">
        <v>328</v>
      </c>
      <c r="F95" s="40"/>
      <c r="G95" s="62"/>
      <c r="H95" s="40"/>
      <c r="I95" s="40"/>
      <c r="J95" s="64">
        <f>'Especialidades ou Insígnias'!H73</f>
        <v>0</v>
      </c>
    </row>
    <row r="96" spans="1:10" x14ac:dyDescent="0.2">
      <c r="A96" s="394"/>
      <c r="B96" s="39" t="str">
        <f t="shared" si="4"/>
        <v/>
      </c>
      <c r="C96" s="82" t="s">
        <v>334</v>
      </c>
      <c r="F96" s="40"/>
      <c r="G96" s="62"/>
      <c r="H96" s="40"/>
      <c r="I96" s="40"/>
      <c r="J96" s="64">
        <f>'Especialidades ou Insígnias'!H80</f>
        <v>0</v>
      </c>
    </row>
    <row r="97" spans="1:10" x14ac:dyDescent="0.2">
      <c r="A97" s="394"/>
      <c r="B97" s="39" t="str">
        <f t="shared" si="4"/>
        <v/>
      </c>
      <c r="C97" s="82" t="s">
        <v>339</v>
      </c>
      <c r="F97" s="40"/>
      <c r="G97" s="62"/>
      <c r="H97" s="40"/>
      <c r="I97" s="40"/>
      <c r="J97" s="64">
        <f>'Especialidades ou Insígnias'!H86</f>
        <v>0</v>
      </c>
    </row>
    <row r="98" spans="1:10" ht="17.25" x14ac:dyDescent="0.2">
      <c r="A98" s="394"/>
      <c r="B98" s="39" t="str">
        <f t="shared" si="4"/>
        <v/>
      </c>
      <c r="C98" s="82" t="s">
        <v>1130</v>
      </c>
      <c r="F98" s="40"/>
      <c r="G98" s="62"/>
      <c r="H98" s="40"/>
      <c r="I98" s="40"/>
      <c r="J98" s="64">
        <f>IF('Especialidades ou Insígnias'!H135+'Especialidades ou Insígnias'!H307&gt;=1,1,0)</f>
        <v>0</v>
      </c>
    </row>
    <row r="99" spans="1:10" x14ac:dyDescent="0.2">
      <c r="A99" s="394"/>
      <c r="B99" s="39" t="str">
        <f t="shared" si="4"/>
        <v/>
      </c>
      <c r="C99" s="82" t="s">
        <v>370</v>
      </c>
      <c r="F99" s="40"/>
      <c r="G99" s="62"/>
      <c r="H99" s="40"/>
      <c r="I99" s="40"/>
      <c r="J99" s="64">
        <f>'Especialidades ou Insígnias'!H122</f>
        <v>0</v>
      </c>
    </row>
    <row r="100" spans="1:10" ht="17.25" x14ac:dyDescent="0.2">
      <c r="A100" s="394"/>
      <c r="B100" s="39" t="str">
        <f t="shared" si="4"/>
        <v/>
      </c>
      <c r="C100" s="82" t="s">
        <v>1071</v>
      </c>
      <c r="F100" s="40"/>
      <c r="G100" s="62"/>
      <c r="H100" s="40"/>
      <c r="I100" s="40"/>
      <c r="J100" s="64">
        <f>IF(J101+J101&gt;=1,1,0)</f>
        <v>0</v>
      </c>
    </row>
    <row r="101" spans="1:10" hidden="1" x14ac:dyDescent="0.2">
      <c r="A101" s="394"/>
      <c r="B101" s="56"/>
      <c r="C101" s="98" t="s">
        <v>379</v>
      </c>
      <c r="F101" s="40"/>
      <c r="G101" s="62"/>
      <c r="H101" s="40"/>
      <c r="I101" s="40"/>
      <c r="J101" s="64">
        <f>'Especialidades ou Insígnias'!H131</f>
        <v>0</v>
      </c>
    </row>
    <row r="102" spans="1:10" hidden="1" x14ac:dyDescent="0.2">
      <c r="A102" s="394"/>
      <c r="B102" s="56"/>
      <c r="C102" s="98" t="s">
        <v>380</v>
      </c>
      <c r="F102" s="40"/>
      <c r="G102" s="62"/>
      <c r="H102" s="40"/>
      <c r="I102" s="40"/>
      <c r="J102" s="64">
        <f>'Especialidades ou Insígnias'!H132</f>
        <v>0</v>
      </c>
    </row>
    <row r="103" spans="1:10" x14ac:dyDescent="0.2">
      <c r="A103" s="394"/>
      <c r="B103" s="39" t="str">
        <f t="shared" ref="B103:B117" si="5">IF(J103&gt;0,"Item OK","")</f>
        <v/>
      </c>
      <c r="C103" s="82" t="s">
        <v>386</v>
      </c>
      <c r="F103" s="40"/>
      <c r="G103" s="62"/>
      <c r="H103" s="40"/>
      <c r="I103" s="40"/>
      <c r="J103" s="64">
        <f>'Especialidades ou Insígnias'!H138</f>
        <v>0</v>
      </c>
    </row>
    <row r="104" spans="1:10" x14ac:dyDescent="0.2">
      <c r="A104" s="394"/>
      <c r="B104" s="39" t="str">
        <f t="shared" si="5"/>
        <v/>
      </c>
      <c r="C104" s="82" t="s">
        <v>431</v>
      </c>
      <c r="F104" s="40"/>
      <c r="G104" s="62"/>
      <c r="H104" s="40"/>
      <c r="I104" s="40"/>
      <c r="J104" s="64">
        <f>'Especialidades ou Insígnias'!H196</f>
        <v>0</v>
      </c>
    </row>
    <row r="105" spans="1:10" x14ac:dyDescent="0.2">
      <c r="A105" s="394"/>
      <c r="B105" s="39" t="str">
        <f t="shared" si="5"/>
        <v/>
      </c>
      <c r="C105" s="82" t="s">
        <v>444</v>
      </c>
      <c r="F105" s="40"/>
      <c r="G105" s="62"/>
      <c r="H105" s="40"/>
      <c r="I105" s="40"/>
      <c r="J105" s="64">
        <f>'Especialidades ou Insígnias'!H209</f>
        <v>0</v>
      </c>
    </row>
    <row r="106" spans="1:10" x14ac:dyDescent="0.2">
      <c r="A106" s="394"/>
      <c r="B106" s="39" t="str">
        <f t="shared" si="5"/>
        <v/>
      </c>
      <c r="C106" s="82" t="s">
        <v>456</v>
      </c>
      <c r="F106" s="40"/>
      <c r="G106" s="62"/>
      <c r="H106" s="40"/>
      <c r="I106" s="40"/>
      <c r="J106" s="64">
        <f>'Especialidades ou Insígnias'!H223</f>
        <v>0</v>
      </c>
    </row>
    <row r="107" spans="1:10" x14ac:dyDescent="0.2">
      <c r="A107" s="394"/>
      <c r="B107" s="39" t="str">
        <f t="shared" si="5"/>
        <v/>
      </c>
      <c r="C107" s="82" t="s">
        <v>464</v>
      </c>
      <c r="F107" s="40"/>
      <c r="G107" s="62"/>
      <c r="H107" s="40"/>
      <c r="I107" s="40"/>
      <c r="J107" s="64">
        <f>'Especialidades ou Insígnias'!H232</f>
        <v>0</v>
      </c>
    </row>
    <row r="108" spans="1:10" x14ac:dyDescent="0.2">
      <c r="A108" s="394"/>
      <c r="B108" s="39" t="str">
        <f t="shared" si="5"/>
        <v/>
      </c>
      <c r="C108" s="82" t="s">
        <v>490</v>
      </c>
      <c r="F108" s="40"/>
      <c r="G108" s="62"/>
      <c r="H108" s="40"/>
      <c r="I108" s="40"/>
      <c r="J108" s="64">
        <f>'Especialidades ou Insígnias'!H259</f>
        <v>0</v>
      </c>
    </row>
    <row r="109" spans="1:10" x14ac:dyDescent="0.2">
      <c r="A109" s="394"/>
      <c r="B109" s="39" t="str">
        <f t="shared" si="5"/>
        <v/>
      </c>
      <c r="C109" s="82" t="s">
        <v>509</v>
      </c>
      <c r="F109" s="40"/>
      <c r="G109" s="62"/>
      <c r="H109" s="40"/>
      <c r="I109" s="40"/>
      <c r="J109" s="64">
        <f>'Especialidades ou Insígnias'!H279</f>
        <v>0</v>
      </c>
    </row>
    <row r="110" spans="1:10" x14ac:dyDescent="0.2">
      <c r="A110" s="394"/>
      <c r="B110" s="39" t="str">
        <f t="shared" si="5"/>
        <v/>
      </c>
      <c r="C110" s="82" t="s">
        <v>510</v>
      </c>
      <c r="F110" s="40"/>
      <c r="G110" s="62"/>
      <c r="H110" s="40"/>
      <c r="I110" s="40"/>
      <c r="J110" s="64">
        <f>'Especialidades ou Insígnias'!H280</f>
        <v>0</v>
      </c>
    </row>
    <row r="111" spans="1:10" x14ac:dyDescent="0.2">
      <c r="A111" s="394"/>
      <c r="B111" s="39" t="str">
        <f t="shared" si="5"/>
        <v/>
      </c>
      <c r="C111" s="82" t="s">
        <v>521</v>
      </c>
      <c r="F111" s="40"/>
      <c r="G111" s="62"/>
      <c r="H111" s="40"/>
      <c r="I111" s="40"/>
      <c r="J111" s="64">
        <f>'Especialidades ou Insígnias'!H291</f>
        <v>0</v>
      </c>
    </row>
    <row r="112" spans="1:10" x14ac:dyDescent="0.2">
      <c r="A112" s="394"/>
      <c r="B112" s="39" t="str">
        <f t="shared" si="5"/>
        <v/>
      </c>
      <c r="C112" s="82" t="s">
        <v>522</v>
      </c>
      <c r="F112" s="40"/>
      <c r="G112" s="62"/>
      <c r="H112" s="40"/>
      <c r="I112" s="40"/>
      <c r="J112" s="64">
        <f>'Especialidades ou Insígnias'!H292</f>
        <v>0</v>
      </c>
    </row>
    <row r="113" spans="1:10" x14ac:dyDescent="0.2">
      <c r="A113" s="394"/>
      <c r="B113" s="39" t="str">
        <f t="shared" si="5"/>
        <v/>
      </c>
      <c r="C113" s="82" t="s">
        <v>523</v>
      </c>
      <c r="F113" s="40"/>
      <c r="G113" s="62"/>
      <c r="H113" s="40"/>
      <c r="I113" s="40"/>
      <c r="J113" s="64">
        <f>'Especialidades ou Insígnias'!H293</f>
        <v>0</v>
      </c>
    </row>
    <row r="114" spans="1:10" ht="17.25" x14ac:dyDescent="0.2">
      <c r="A114" s="394"/>
      <c r="B114" s="39" t="str">
        <f t="shared" si="5"/>
        <v/>
      </c>
      <c r="C114" s="82" t="s">
        <v>1070</v>
      </c>
      <c r="F114" s="40"/>
      <c r="G114" s="62"/>
      <c r="H114" s="40"/>
      <c r="I114" s="40"/>
      <c r="J114" s="64">
        <f>'Especialidades ou Insígnias'!H20</f>
        <v>0</v>
      </c>
    </row>
    <row r="115" spans="1:10" x14ac:dyDescent="0.2">
      <c r="A115" s="394"/>
      <c r="B115" s="39" t="str">
        <f t="shared" si="5"/>
        <v/>
      </c>
      <c r="C115" s="82" t="s">
        <v>529</v>
      </c>
      <c r="F115" s="40"/>
      <c r="G115" s="62"/>
      <c r="H115" s="40"/>
      <c r="I115" s="40"/>
      <c r="J115" s="64">
        <f>'Especialidades ou Insígnias'!H300</f>
        <v>0</v>
      </c>
    </row>
    <row r="116" spans="1:10" x14ac:dyDescent="0.2">
      <c r="A116" s="394"/>
      <c r="B116" s="39" t="str">
        <f t="shared" si="5"/>
        <v/>
      </c>
      <c r="C116" s="82" t="s">
        <v>530</v>
      </c>
      <c r="F116" s="40"/>
      <c r="G116" s="62"/>
      <c r="H116" s="40"/>
      <c r="I116" s="40"/>
      <c r="J116" s="64">
        <f>'Especialidades ou Insígnias'!H301</f>
        <v>0</v>
      </c>
    </row>
    <row r="117" spans="1:10" x14ac:dyDescent="0.2">
      <c r="A117" s="394"/>
      <c r="B117" s="39" t="str">
        <f t="shared" si="5"/>
        <v/>
      </c>
      <c r="C117" s="82" t="s">
        <v>539</v>
      </c>
      <c r="F117" s="40"/>
      <c r="G117" s="62"/>
      <c r="H117" s="40"/>
      <c r="I117" s="40"/>
      <c r="J117" s="73">
        <f>'Especialidades ou Insígnias'!H310</f>
        <v>0</v>
      </c>
    </row>
    <row r="118" spans="1:10" x14ac:dyDescent="0.2">
      <c r="A118" s="77"/>
      <c r="B118"/>
      <c r="C118" s="92" t="s">
        <v>1057</v>
      </c>
      <c r="F118" s="40"/>
      <c r="G118" s="62"/>
      <c r="H118" s="40"/>
      <c r="I118" s="68" t="s">
        <v>852</v>
      </c>
      <c r="J118" s="68">
        <f>SUM(J90:J117)+J77+J80++J83+J84+J85+J86+J87+J88</f>
        <v>0</v>
      </c>
    </row>
    <row r="119" spans="1:10" x14ac:dyDescent="0.2">
      <c r="A119" s="77"/>
      <c r="B119" s="39" t="str">
        <f>IF(J119&gt;0,"Item OK","")</f>
        <v/>
      </c>
      <c r="C119" s="91" t="s">
        <v>571</v>
      </c>
      <c r="F119" s="40"/>
      <c r="G119" s="62"/>
      <c r="H119" s="40"/>
      <c r="I119" s="40"/>
      <c r="J119" s="74">
        <f>'Especialidades ou Insígnias'!H211</f>
        <v>0</v>
      </c>
    </row>
    <row r="120" spans="1:10" ht="15.75" thickBot="1" x14ac:dyDescent="0.25">
      <c r="A120" s="78"/>
      <c r="B120" s="79" t="str">
        <f>IF(J120&gt;0,"Item OK","")</f>
        <v/>
      </c>
      <c r="C120" s="94" t="s">
        <v>447</v>
      </c>
      <c r="F120" s="40"/>
      <c r="G120" s="62"/>
      <c r="H120" s="40"/>
      <c r="I120" s="40"/>
      <c r="J120" s="64">
        <f>'Especialidades ou Insígnias'!H213</f>
        <v>0</v>
      </c>
    </row>
    <row r="121" spans="1:10" x14ac:dyDescent="0.2">
      <c r="B121" s="22"/>
      <c r="F121" s="40"/>
      <c r="G121" s="62"/>
      <c r="H121" s="40"/>
      <c r="I121" s="68" t="s">
        <v>852</v>
      </c>
      <c r="J121" s="68">
        <f>SUM(J119:J120)</f>
        <v>0</v>
      </c>
    </row>
    <row r="122" spans="1:10" ht="15.75" thickBot="1" x14ac:dyDescent="0.25">
      <c r="B122" s="22"/>
      <c r="F122" s="40"/>
      <c r="G122" s="62"/>
      <c r="H122" s="40"/>
      <c r="I122" s="70"/>
      <c r="J122" s="70"/>
    </row>
    <row r="123" spans="1:10" ht="15.75" x14ac:dyDescent="0.2">
      <c r="A123" s="76"/>
      <c r="B123" s="80"/>
      <c r="C123" s="88" t="s">
        <v>879</v>
      </c>
      <c r="F123" s="40"/>
      <c r="G123" s="62"/>
      <c r="H123" s="40"/>
      <c r="I123" s="40"/>
      <c r="J123" s="40"/>
    </row>
    <row r="124" spans="1:10" x14ac:dyDescent="0.2">
      <c r="A124" s="77"/>
      <c r="B124" s="22"/>
      <c r="C124" s="312" t="s">
        <v>1089</v>
      </c>
      <c r="F124" s="40"/>
      <c r="G124" s="62"/>
      <c r="H124" s="40"/>
      <c r="I124" s="40"/>
      <c r="J124" s="40"/>
    </row>
    <row r="125" spans="1:10" ht="78.75" x14ac:dyDescent="0.2">
      <c r="A125" s="77"/>
      <c r="B125" s="22"/>
      <c r="C125" s="312" t="s">
        <v>1105</v>
      </c>
      <c r="F125" s="40"/>
      <c r="G125" s="62"/>
      <c r="H125" s="40"/>
      <c r="I125" s="40"/>
      <c r="J125" s="40"/>
    </row>
    <row r="126" spans="1:10" x14ac:dyDescent="0.2">
      <c r="A126" s="77"/>
      <c r="B126" s="22"/>
      <c r="C126" s="89"/>
      <c r="F126" s="40"/>
      <c r="G126" s="62"/>
      <c r="H126" s="40"/>
      <c r="I126" s="40"/>
      <c r="J126" s="40"/>
    </row>
    <row r="127" spans="1:10" x14ac:dyDescent="0.2">
      <c r="A127" s="77"/>
      <c r="B127" s="22"/>
      <c r="C127" s="90" t="s">
        <v>982</v>
      </c>
      <c r="F127" s="135" t="s">
        <v>953</v>
      </c>
      <c r="G127" s="134">
        <f>IF(B128="Bloco concluído",1,0)</f>
        <v>0</v>
      </c>
      <c r="H127" s="41"/>
      <c r="I127" s="41"/>
      <c r="J127" s="40"/>
    </row>
    <row r="128" spans="1:10" ht="41.25" x14ac:dyDescent="0.2">
      <c r="A128" s="129"/>
      <c r="B128" s="67" t="str">
        <f>IF(AND(A131="Atingiu 100% das ações fixas",A136="Atingiu 100% das ações variáveis"),"BLOCO CONCLUÍDO","")</f>
        <v/>
      </c>
      <c r="C128" s="91" t="s">
        <v>1072</v>
      </c>
      <c r="F128" s="41"/>
      <c r="G128" s="41"/>
      <c r="H128" s="41"/>
      <c r="I128" s="41"/>
      <c r="J128" s="40"/>
    </row>
    <row r="129" spans="1:10" x14ac:dyDescent="0.2">
      <c r="A129" s="77"/>
      <c r="B129" s="22"/>
      <c r="C129" s="89"/>
      <c r="F129" s="41"/>
      <c r="G129" s="41"/>
      <c r="H129" s="41"/>
      <c r="I129" s="41"/>
      <c r="J129" s="40"/>
    </row>
    <row r="130" spans="1:10" x14ac:dyDescent="0.2">
      <c r="A130" s="77"/>
      <c r="B130" s="22"/>
      <c r="C130" s="90" t="s">
        <v>984</v>
      </c>
      <c r="F130" s="40"/>
      <c r="G130" s="62"/>
      <c r="H130" s="40"/>
      <c r="I130" s="40"/>
      <c r="J130" s="40"/>
    </row>
    <row r="131" spans="1:10" ht="27.75" x14ac:dyDescent="0.2">
      <c r="A131" s="395" t="str">
        <f>IF(J133&gt;=2,"Atingiu 100% das ações fixas","")</f>
        <v/>
      </c>
      <c r="B131" s="39" t="str">
        <f>IF(J131&gt;0,"Item OK","")</f>
        <v/>
      </c>
      <c r="C131" s="91" t="s">
        <v>880</v>
      </c>
      <c r="D131" s="164" t="s">
        <v>972</v>
      </c>
      <c r="E131" s="187"/>
      <c r="F131" s="43"/>
      <c r="G131" s="63"/>
      <c r="H131" s="38"/>
      <c r="I131" s="38"/>
      <c r="J131" s="38">
        <f>IF(G131+I131&gt;=1,1,0)+E131</f>
        <v>0</v>
      </c>
    </row>
    <row r="132" spans="1:10" ht="41.25" x14ac:dyDescent="0.2">
      <c r="A132" s="395"/>
      <c r="B132" s="39" t="str">
        <f>IF(J132&gt;0,"Item OK","")</f>
        <v/>
      </c>
      <c r="C132" s="91" t="s">
        <v>881</v>
      </c>
      <c r="D132" s="164" t="s">
        <v>972</v>
      </c>
      <c r="E132" s="187"/>
      <c r="F132" s="43" t="s">
        <v>1118</v>
      </c>
      <c r="G132" s="63">
        <f>'Pistas e Trilha'!A100</f>
        <v>0</v>
      </c>
      <c r="H132" s="38"/>
      <c r="I132" s="38"/>
      <c r="J132" s="38">
        <f>IF(G132+I132&gt;=1,1,0)+E132</f>
        <v>0</v>
      </c>
    </row>
    <row r="133" spans="1:10" x14ac:dyDescent="0.2">
      <c r="A133" s="77"/>
      <c r="B133" s="22"/>
      <c r="C133" s="89"/>
      <c r="F133" s="40"/>
      <c r="G133" s="62"/>
      <c r="H133" s="40"/>
      <c r="I133" s="68" t="s">
        <v>852</v>
      </c>
      <c r="J133" s="68">
        <f>SUM(J131:J132)</f>
        <v>0</v>
      </c>
    </row>
    <row r="134" spans="1:10" x14ac:dyDescent="0.2">
      <c r="A134" s="77"/>
      <c r="B134" s="22"/>
      <c r="C134" s="90" t="s">
        <v>985</v>
      </c>
      <c r="F134" s="40"/>
      <c r="G134" s="62"/>
      <c r="H134" s="40"/>
      <c r="I134" s="40"/>
      <c r="J134" s="40"/>
    </row>
    <row r="135" spans="1:10" ht="17.25" x14ac:dyDescent="0.2">
      <c r="A135" s="77"/>
      <c r="B135" s="22"/>
      <c r="C135" s="99" t="s">
        <v>908</v>
      </c>
      <c r="F135" s="40"/>
      <c r="G135" s="62"/>
      <c r="H135" s="40"/>
      <c r="I135" s="40"/>
      <c r="J135" s="40"/>
    </row>
    <row r="136" spans="1:10" ht="27.75" x14ac:dyDescent="0.2">
      <c r="A136" s="391" t="str">
        <f>IF(OR(J160&gt;0,J158&gt;=2),"Atingiu 100% das ações variáveis","")</f>
        <v/>
      </c>
      <c r="B136" s="39" t="str">
        <f>IF(J136&gt;0,"Item OK","")</f>
        <v/>
      </c>
      <c r="C136" s="7" t="s">
        <v>882</v>
      </c>
      <c r="D136" s="164" t="s">
        <v>972</v>
      </c>
      <c r="E136" s="187"/>
      <c r="F136" s="43"/>
      <c r="G136" s="63"/>
      <c r="H136" s="38"/>
      <c r="I136" s="38"/>
      <c r="J136" s="38">
        <f>IF(G136+I136&gt;=1,1,0)+E136</f>
        <v>0</v>
      </c>
    </row>
    <row r="137" spans="1:10" ht="27.75" x14ac:dyDescent="0.2">
      <c r="A137" s="392"/>
      <c r="B137" s="39" t="str">
        <f>IF(J137&gt;0,"Item OK","")</f>
        <v/>
      </c>
      <c r="C137" s="7" t="s">
        <v>883</v>
      </c>
      <c r="D137" s="164" t="s">
        <v>972</v>
      </c>
      <c r="E137" s="187"/>
      <c r="F137" s="43"/>
      <c r="G137" s="63"/>
      <c r="H137" s="38"/>
      <c r="I137" s="38"/>
      <c r="J137" s="38">
        <f>IF(G137+I137&gt;=1,1,0)+E137</f>
        <v>0</v>
      </c>
    </row>
    <row r="138" spans="1:10" ht="41.25" x14ac:dyDescent="0.2">
      <c r="A138" s="392"/>
      <c r="B138" s="39" t="str">
        <f>IF(J138&gt;0,"Item OK","")</f>
        <v/>
      </c>
      <c r="C138" s="7" t="s">
        <v>884</v>
      </c>
      <c r="D138" s="164" t="s">
        <v>972</v>
      </c>
      <c r="E138" s="187"/>
      <c r="F138" s="43"/>
      <c r="G138" s="63"/>
      <c r="H138" s="38" t="s">
        <v>1119</v>
      </c>
      <c r="I138" s="38">
        <f>'Rumo e Travessia'!A27</f>
        <v>0</v>
      </c>
      <c r="J138" s="38">
        <f>IF(G138+I138&gt;=1,1,0)+E138</f>
        <v>0</v>
      </c>
    </row>
    <row r="139" spans="1:10" ht="33.75" customHeight="1" x14ac:dyDescent="0.2">
      <c r="A139" s="392"/>
      <c r="B139" s="39" t="str">
        <f>IF(J139&gt;0,"Item OK","")</f>
        <v/>
      </c>
      <c r="C139" s="7" t="s">
        <v>940</v>
      </c>
      <c r="D139" s="164" t="s">
        <v>972</v>
      </c>
      <c r="E139" s="187"/>
      <c r="F139" s="43"/>
      <c r="G139" s="63"/>
      <c r="H139" s="38"/>
      <c r="I139" s="38"/>
      <c r="J139" s="38">
        <f>IF(G139+I139&gt;=1,1,0)+E139</f>
        <v>0</v>
      </c>
    </row>
    <row r="140" spans="1:10" ht="41.25" x14ac:dyDescent="0.2">
      <c r="A140" s="392"/>
      <c r="B140" s="39" t="str">
        <f>IF(J140&gt;0,"Item OK","")</f>
        <v/>
      </c>
      <c r="C140" s="7" t="s">
        <v>885</v>
      </c>
      <c r="D140" s="164" t="s">
        <v>972</v>
      </c>
      <c r="E140" s="187"/>
      <c r="F140" s="43"/>
      <c r="G140" s="63"/>
      <c r="H140" s="38"/>
      <c r="I140" s="38"/>
      <c r="J140" s="38">
        <f>IF(G140+I140&gt;=1,1,0)+E140</f>
        <v>0</v>
      </c>
    </row>
    <row r="141" spans="1:10" x14ac:dyDescent="0.2">
      <c r="A141" s="392"/>
      <c r="B141" s="39"/>
      <c r="C141" s="90" t="s">
        <v>981</v>
      </c>
      <c r="D141" s="304"/>
      <c r="E141" s="305"/>
      <c r="F141" s="40"/>
      <c r="G141" s="62"/>
      <c r="H141" s="40"/>
      <c r="I141" s="40"/>
      <c r="J141" s="38"/>
    </row>
    <row r="142" spans="1:10" x14ac:dyDescent="0.2">
      <c r="A142" s="392"/>
      <c r="B142" s="39"/>
      <c r="C142" s="7" t="s">
        <v>269</v>
      </c>
      <c r="F142" s="40"/>
      <c r="G142" s="62"/>
      <c r="H142" s="40"/>
      <c r="I142" s="40"/>
      <c r="J142" s="38">
        <f>'Especialidades ou Insígnias'!H10</f>
        <v>0</v>
      </c>
    </row>
    <row r="143" spans="1:10" x14ac:dyDescent="0.2">
      <c r="A143" s="392"/>
      <c r="B143" s="39" t="str">
        <f>IF(J143&gt;0,"Item OK","")</f>
        <v/>
      </c>
      <c r="C143" s="7" t="s">
        <v>303</v>
      </c>
      <c r="F143" s="40"/>
      <c r="G143" s="62"/>
      <c r="H143" s="40"/>
      <c r="I143" s="40"/>
      <c r="J143" s="64">
        <f>'Especialidades ou Insígnias'!H47</f>
        <v>0</v>
      </c>
    </row>
    <row r="144" spans="1:10" x14ac:dyDescent="0.2">
      <c r="A144" s="392"/>
      <c r="B144" s="39" t="str">
        <f>IF(J144&gt;0,"Item OK","")</f>
        <v/>
      </c>
      <c r="C144" s="7" t="s">
        <v>313</v>
      </c>
      <c r="F144" s="40"/>
      <c r="G144" s="62"/>
      <c r="H144" s="40"/>
      <c r="I144" s="40"/>
      <c r="J144" s="64">
        <f>'Especialidades ou Insígnias'!H58</f>
        <v>0</v>
      </c>
    </row>
    <row r="145" spans="1:10" x14ac:dyDescent="0.2">
      <c r="A145" s="392"/>
      <c r="B145" s="39" t="str">
        <f>IF(J145&gt;0,"Item OK","")</f>
        <v/>
      </c>
      <c r="C145" s="7" t="s">
        <v>572</v>
      </c>
      <c r="F145" s="40"/>
      <c r="G145" s="62"/>
      <c r="H145" s="40"/>
      <c r="I145" s="40"/>
      <c r="J145" s="64">
        <f>'Especialidades ou Insígnias'!H72</f>
        <v>0</v>
      </c>
    </row>
    <row r="146" spans="1:10" x14ac:dyDescent="0.2">
      <c r="A146" s="392"/>
      <c r="B146" s="39"/>
      <c r="C146" s="7" t="s">
        <v>334</v>
      </c>
      <c r="F146" s="40"/>
      <c r="G146" s="62"/>
      <c r="H146" s="40"/>
      <c r="I146" s="40"/>
      <c r="J146" s="64">
        <f>'Especialidades ou Insígnias'!H80</f>
        <v>0</v>
      </c>
    </row>
    <row r="147" spans="1:10" x14ac:dyDescent="0.2">
      <c r="A147" s="392"/>
      <c r="B147" s="39" t="str">
        <f t="shared" ref="B147:B152" si="6">IF(J147&gt;0,"Item OK","")</f>
        <v/>
      </c>
      <c r="C147" s="7" t="s">
        <v>905</v>
      </c>
      <c r="F147" s="40"/>
      <c r="G147" s="62"/>
      <c r="H147" s="40"/>
      <c r="I147" s="40"/>
      <c r="J147" s="64">
        <f>'Especialidades ou Insígnias'!H114</f>
        <v>0</v>
      </c>
    </row>
    <row r="148" spans="1:10" x14ac:dyDescent="0.2">
      <c r="A148" s="392"/>
      <c r="B148" s="39" t="str">
        <f t="shared" si="6"/>
        <v/>
      </c>
      <c r="C148" s="7" t="s">
        <v>405</v>
      </c>
      <c r="F148" s="40"/>
      <c r="G148" s="62"/>
      <c r="H148" s="40"/>
      <c r="I148" s="40"/>
      <c r="J148" s="64">
        <f>'Especialidades ou Insígnias'!H168</f>
        <v>0</v>
      </c>
    </row>
    <row r="149" spans="1:10" x14ac:dyDescent="0.2">
      <c r="A149" s="392"/>
      <c r="B149" s="39" t="str">
        <f t="shared" si="6"/>
        <v/>
      </c>
      <c r="C149" s="7" t="s">
        <v>407</v>
      </c>
      <c r="F149" s="40"/>
      <c r="G149" s="62"/>
      <c r="H149" s="40"/>
      <c r="I149" s="40"/>
      <c r="J149" s="64">
        <f>'Especialidades ou Insígnias'!H170</f>
        <v>0</v>
      </c>
    </row>
    <row r="150" spans="1:10" x14ac:dyDescent="0.2">
      <c r="A150" s="392"/>
      <c r="B150" s="39" t="str">
        <f t="shared" si="6"/>
        <v/>
      </c>
      <c r="C150" s="7" t="s">
        <v>408</v>
      </c>
      <c r="F150" s="40"/>
      <c r="G150" s="62"/>
      <c r="H150" s="40"/>
      <c r="I150" s="40"/>
      <c r="J150" s="64">
        <f>'Especialidades ou Insígnias'!H171</f>
        <v>0</v>
      </c>
    </row>
    <row r="151" spans="1:10" x14ac:dyDescent="0.2">
      <c r="A151" s="392"/>
      <c r="B151" s="39" t="str">
        <f t="shared" si="6"/>
        <v/>
      </c>
      <c r="C151" s="7" t="s">
        <v>419</v>
      </c>
      <c r="F151" s="40"/>
      <c r="G151" s="62"/>
      <c r="H151" s="40"/>
      <c r="I151" s="40"/>
      <c r="J151" s="64">
        <f>'Especialidades ou Insígnias'!H182</f>
        <v>0</v>
      </c>
    </row>
    <row r="152" spans="1:10" x14ac:dyDescent="0.2">
      <c r="A152" s="392"/>
      <c r="B152" s="39" t="str">
        <f t="shared" si="6"/>
        <v/>
      </c>
      <c r="C152" s="7" t="s">
        <v>465</v>
      </c>
      <c r="F152" s="40"/>
      <c r="G152" s="62"/>
      <c r="H152" s="40"/>
      <c r="I152" s="40"/>
      <c r="J152" s="64">
        <f>'Especialidades ou Insígnias'!H233</f>
        <v>0</v>
      </c>
    </row>
    <row r="153" spans="1:10" x14ac:dyDescent="0.2">
      <c r="A153" s="392"/>
      <c r="B153" s="39"/>
      <c r="C153" s="7" t="s">
        <v>423</v>
      </c>
      <c r="F153" s="40"/>
      <c r="G153" s="62"/>
      <c r="H153" s="40"/>
      <c r="I153" s="40"/>
      <c r="J153" s="64">
        <f>'Especialidades ou Insígnias'!H187</f>
        <v>0</v>
      </c>
    </row>
    <row r="154" spans="1:10" x14ac:dyDescent="0.2">
      <c r="A154" s="392"/>
      <c r="B154" s="39" t="str">
        <f>IF(J154&gt;0,"Item OK","")</f>
        <v/>
      </c>
      <c r="C154" s="7" t="s">
        <v>462</v>
      </c>
      <c r="F154" s="40"/>
      <c r="G154" s="62"/>
      <c r="H154" s="40"/>
      <c r="I154" s="40"/>
      <c r="J154" s="64">
        <f>'Especialidades ou Insígnias'!H230</f>
        <v>0</v>
      </c>
    </row>
    <row r="155" spans="1:10" x14ac:dyDescent="0.2">
      <c r="A155" s="392"/>
      <c r="B155" s="39" t="str">
        <f>IF(J155&gt;0,"Item OK","")</f>
        <v/>
      </c>
      <c r="C155" s="7" t="s">
        <v>573</v>
      </c>
      <c r="F155" s="40"/>
      <c r="G155" s="62"/>
      <c r="H155" s="40"/>
      <c r="I155" s="40"/>
      <c r="J155" s="64">
        <f>'Especialidades ou Insígnias'!H251</f>
        <v>0</v>
      </c>
    </row>
    <row r="156" spans="1:10" x14ac:dyDescent="0.2">
      <c r="A156" s="392"/>
      <c r="B156" s="39" t="str">
        <f>IF(J156&gt;0,"Item OK","")</f>
        <v/>
      </c>
      <c r="C156" s="7" t="s">
        <v>574</v>
      </c>
      <c r="F156" s="40"/>
      <c r="G156" s="62"/>
      <c r="H156" s="40"/>
      <c r="I156" s="40"/>
      <c r="J156" s="64">
        <f>'Especialidades ou Insígnias'!H264</f>
        <v>0</v>
      </c>
    </row>
    <row r="157" spans="1:10" x14ac:dyDescent="0.2">
      <c r="A157" s="392"/>
      <c r="B157" s="39" t="str">
        <f>IF(J157&gt;0,"Item OK","")</f>
        <v/>
      </c>
      <c r="C157" s="7" t="s">
        <v>538</v>
      </c>
      <c r="F157" s="40"/>
      <c r="G157" s="62"/>
      <c r="H157" s="40"/>
      <c r="I157" s="40"/>
      <c r="J157" s="73">
        <f>'Especialidades ou Insígnias'!H309</f>
        <v>0</v>
      </c>
    </row>
    <row r="158" spans="1:10" x14ac:dyDescent="0.2">
      <c r="A158" s="77"/>
      <c r="C158" s="89"/>
      <c r="F158" s="40"/>
      <c r="G158" s="62"/>
      <c r="H158" s="40"/>
      <c r="I158" s="68" t="s">
        <v>852</v>
      </c>
      <c r="J158" s="68">
        <f>SUM(J136:J157)</f>
        <v>0</v>
      </c>
    </row>
    <row r="159" spans="1:10" x14ac:dyDescent="0.2">
      <c r="A159" s="77"/>
      <c r="C159" s="92" t="s">
        <v>1057</v>
      </c>
      <c r="F159" s="40"/>
      <c r="G159" s="62"/>
      <c r="H159" s="40"/>
      <c r="I159" s="40"/>
      <c r="J159" s="40"/>
    </row>
    <row r="160" spans="1:10" ht="15.75" thickBot="1" x14ac:dyDescent="0.25">
      <c r="A160" s="78"/>
      <c r="B160" s="79" t="str">
        <f>IF(J160&gt;0,"Item OK","")</f>
        <v/>
      </c>
      <c r="C160" s="94" t="s">
        <v>906</v>
      </c>
      <c r="F160" s="40"/>
      <c r="G160" s="62"/>
      <c r="H160" s="40"/>
      <c r="I160" s="40"/>
      <c r="J160" s="64">
        <f>J161+J162+IF(J161+J162&gt;=1,1,0)</f>
        <v>0</v>
      </c>
    </row>
    <row r="161" spans="1:10" hidden="1" x14ac:dyDescent="0.2">
      <c r="A161" s="41"/>
      <c r="B161" s="60"/>
      <c r="C161" s="58" t="s">
        <v>469</v>
      </c>
      <c r="F161" s="40"/>
      <c r="G161" s="62"/>
      <c r="H161" s="40"/>
      <c r="I161" s="40"/>
      <c r="J161" s="40">
        <f>'Especialidades ou Insígnias'!H237</f>
        <v>0</v>
      </c>
    </row>
    <row r="162" spans="1:10" hidden="1" x14ac:dyDescent="0.2">
      <c r="A162" s="41"/>
      <c r="B162" s="60"/>
      <c r="C162" s="58" t="s">
        <v>472</v>
      </c>
      <c r="F162" s="40"/>
      <c r="G162" s="62"/>
      <c r="H162" s="40"/>
      <c r="I162" s="40"/>
      <c r="J162" s="40">
        <f>'Especialidades ou Insígnias'!H240</f>
        <v>0</v>
      </c>
    </row>
    <row r="163" spans="1:10" x14ac:dyDescent="0.2">
      <c r="F163" s="40"/>
      <c r="G163" s="62"/>
      <c r="H163" s="40"/>
      <c r="I163" s="40"/>
      <c r="J163" s="40"/>
    </row>
    <row r="164" spans="1:10" ht="15.75" thickBot="1" x14ac:dyDescent="0.25">
      <c r="F164" s="40"/>
      <c r="G164" s="62"/>
      <c r="H164" s="40"/>
      <c r="I164" s="40"/>
      <c r="J164" s="40"/>
    </row>
    <row r="165" spans="1:10" ht="15.75" x14ac:dyDescent="0.2">
      <c r="A165" s="76"/>
      <c r="B165" s="87"/>
      <c r="C165" s="88" t="s">
        <v>886</v>
      </c>
      <c r="F165" s="40"/>
      <c r="G165" s="62"/>
      <c r="H165" s="40"/>
      <c r="I165" s="40"/>
      <c r="J165" s="40"/>
    </row>
    <row r="166" spans="1:10" x14ac:dyDescent="0.2">
      <c r="A166" s="77"/>
      <c r="C166" s="312" t="s">
        <v>1089</v>
      </c>
      <c r="F166" s="40"/>
      <c r="G166" s="62"/>
      <c r="H166" s="40"/>
      <c r="I166" s="40"/>
      <c r="J166" s="40"/>
    </row>
    <row r="167" spans="1:10" ht="56.25" x14ac:dyDescent="0.2">
      <c r="A167" s="77"/>
      <c r="C167" s="312" t="s">
        <v>1106</v>
      </c>
      <c r="F167" s="40"/>
      <c r="G167" s="62"/>
      <c r="H167" s="40"/>
      <c r="I167" s="40"/>
      <c r="J167" s="40"/>
    </row>
    <row r="168" spans="1:10" x14ac:dyDescent="0.2">
      <c r="A168" s="77"/>
      <c r="C168" s="89"/>
      <c r="F168" s="40"/>
      <c r="G168" s="62"/>
      <c r="H168" s="40"/>
      <c r="I168" s="40"/>
      <c r="J168" s="40"/>
    </row>
    <row r="169" spans="1:10" x14ac:dyDescent="0.2">
      <c r="A169" s="77"/>
      <c r="C169" s="90" t="s">
        <v>982</v>
      </c>
      <c r="F169" s="158" t="s">
        <v>953</v>
      </c>
      <c r="G169" s="134">
        <f>IF(B170="Bloco concluído",1,0)</f>
        <v>0</v>
      </c>
      <c r="H169" s="41"/>
      <c r="I169" s="41"/>
      <c r="J169" s="40"/>
    </row>
    <row r="170" spans="1:10" ht="27.75" x14ac:dyDescent="0.2">
      <c r="A170" s="129"/>
      <c r="B170" s="67" t="str">
        <f>IF(AND(A173="Atingiu 100% das ações fixas",A177="Atingiu 100% das ações variáveis"),"BLOCO CONCLUÍDO","")</f>
        <v/>
      </c>
      <c r="C170" s="91" t="s">
        <v>1073</v>
      </c>
      <c r="F170" s="41"/>
      <c r="G170" s="41"/>
      <c r="H170" s="41"/>
      <c r="I170" s="41"/>
      <c r="J170" s="40"/>
    </row>
    <row r="171" spans="1:10" x14ac:dyDescent="0.2">
      <c r="A171" s="77"/>
      <c r="B171" s="22"/>
      <c r="C171" s="89"/>
      <c r="F171" s="41"/>
      <c r="G171" s="41"/>
      <c r="H171" s="41"/>
      <c r="I171" s="41"/>
      <c r="J171" s="40"/>
    </row>
    <row r="172" spans="1:10" x14ac:dyDescent="0.2">
      <c r="A172" s="77"/>
      <c r="C172" s="92" t="s">
        <v>984</v>
      </c>
      <c r="F172" s="40"/>
      <c r="G172" s="62"/>
      <c r="H172" s="25"/>
      <c r="I172" s="25"/>
      <c r="J172" s="25"/>
    </row>
    <row r="173" spans="1:10" x14ac:dyDescent="0.2">
      <c r="A173" s="131" t="str">
        <f>IF(J173&gt;=1,"Atingiu 100% das ações fixas","")</f>
        <v/>
      </c>
      <c r="B173" s="39" t="str">
        <f>IF(J173&gt;0,"Item OK","")</f>
        <v/>
      </c>
      <c r="C173" s="82" t="s">
        <v>1074</v>
      </c>
      <c r="D173" s="164" t="s">
        <v>972</v>
      </c>
      <c r="E173" s="187"/>
      <c r="F173" s="57" t="s">
        <v>946</v>
      </c>
      <c r="G173" s="63">
        <f>'Especialidades ou Insígnias'!H238</f>
        <v>0</v>
      </c>
      <c r="H173" s="38"/>
      <c r="I173" s="38"/>
      <c r="J173" s="38">
        <f>IF(G173+I173&gt;=1,1,0)+E173</f>
        <v>0</v>
      </c>
    </row>
    <row r="174" spans="1:10" x14ac:dyDescent="0.2">
      <c r="A174" s="77"/>
      <c r="C174" s="89"/>
      <c r="F174" s="40"/>
      <c r="G174" s="62"/>
      <c r="H174" s="25"/>
      <c r="I174" s="25"/>
      <c r="J174" s="25"/>
    </row>
    <row r="175" spans="1:10" x14ac:dyDescent="0.2">
      <c r="A175" s="77"/>
      <c r="C175" s="90" t="s">
        <v>985</v>
      </c>
      <c r="F175" s="40"/>
      <c r="G175" s="62"/>
      <c r="H175" s="25"/>
      <c r="I175" s="25"/>
      <c r="J175" s="25"/>
    </row>
    <row r="176" spans="1:10" ht="17.25" x14ac:dyDescent="0.2">
      <c r="A176" s="77"/>
      <c r="C176" s="99" t="s">
        <v>907</v>
      </c>
      <c r="F176" s="40"/>
      <c r="G176" s="62"/>
      <c r="H176" s="25"/>
      <c r="I176" s="25"/>
      <c r="J176" s="25"/>
    </row>
    <row r="177" spans="1:10" ht="27.75" x14ac:dyDescent="0.2">
      <c r="A177" s="394" t="str">
        <f>IF(OR(J189&gt;0,J187&gt;=4),"Atingiu 100% das ações variáveis","")</f>
        <v/>
      </c>
      <c r="B177" s="39" t="str">
        <f t="shared" ref="B177:B186" si="7">IF(J177&gt;0,"Item OK","")</f>
        <v/>
      </c>
      <c r="C177" s="7" t="s">
        <v>887</v>
      </c>
      <c r="D177" s="164" t="s">
        <v>972</v>
      </c>
      <c r="E177" s="187"/>
      <c r="F177" s="43" t="s">
        <v>55</v>
      </c>
      <c r="G177" s="63">
        <f>'Pistas e Trilha'!A37</f>
        <v>0</v>
      </c>
      <c r="H177" s="38"/>
      <c r="I177" s="38"/>
      <c r="J177" s="38">
        <f>IF(G177+I177&gt;=1,1,0)+E177</f>
        <v>0</v>
      </c>
    </row>
    <row r="178" spans="1:10" ht="27.75" x14ac:dyDescent="0.2">
      <c r="A178" s="394"/>
      <c r="B178" s="39" t="str">
        <f t="shared" si="7"/>
        <v/>
      </c>
      <c r="C178" s="7" t="s">
        <v>888</v>
      </c>
      <c r="D178" s="164" t="s">
        <v>972</v>
      </c>
      <c r="E178" s="187"/>
      <c r="F178" s="43" t="s">
        <v>56</v>
      </c>
      <c r="G178" s="63">
        <f>'Pistas e Trilha'!A114</f>
        <v>0</v>
      </c>
      <c r="H178" s="38"/>
      <c r="I178" s="38"/>
      <c r="J178" s="38">
        <f>IF(G178+I178&gt;=1,1,0)+E178</f>
        <v>0</v>
      </c>
    </row>
    <row r="179" spans="1:10" x14ac:dyDescent="0.2">
      <c r="A179" s="394"/>
      <c r="B179" s="39" t="str">
        <f t="shared" si="7"/>
        <v/>
      </c>
      <c r="C179" s="7" t="s">
        <v>889</v>
      </c>
      <c r="D179" s="164" t="s">
        <v>972</v>
      </c>
      <c r="E179" s="187"/>
      <c r="F179" s="43"/>
      <c r="G179" s="63"/>
      <c r="H179" s="38" t="s">
        <v>941</v>
      </c>
      <c r="I179" s="38">
        <f>'Rumo e Travessia'!A64</f>
        <v>0</v>
      </c>
      <c r="J179" s="38">
        <f>IF(G179+I179&gt;=1,1,0)+E179</f>
        <v>0</v>
      </c>
    </row>
    <row r="180" spans="1:10" x14ac:dyDescent="0.2">
      <c r="A180" s="394"/>
      <c r="B180" s="39" t="str">
        <f t="shared" si="7"/>
        <v/>
      </c>
      <c r="C180" s="7" t="s">
        <v>890</v>
      </c>
      <c r="D180" s="164" t="s">
        <v>972</v>
      </c>
      <c r="E180" s="187"/>
      <c r="F180" s="43" t="s">
        <v>942</v>
      </c>
      <c r="G180" s="63">
        <f>'Pistas e Trilha'!A59</f>
        <v>0</v>
      </c>
      <c r="H180" s="38"/>
      <c r="I180" s="38"/>
      <c r="J180" s="38">
        <f t="shared" ref="J180:J186" si="8">IF(G180+I180&gt;=1,1,0)+E180</f>
        <v>0</v>
      </c>
    </row>
    <row r="181" spans="1:10" ht="27.75" x14ac:dyDescent="0.2">
      <c r="A181" s="394"/>
      <c r="B181" s="39" t="str">
        <f t="shared" si="7"/>
        <v/>
      </c>
      <c r="C181" s="7" t="s">
        <v>891</v>
      </c>
      <c r="D181" s="164" t="s">
        <v>972</v>
      </c>
      <c r="E181" s="187"/>
      <c r="F181" s="43" t="s">
        <v>1120</v>
      </c>
      <c r="G181" s="63">
        <f>'Pistas e Trilha'!A117</f>
        <v>0</v>
      </c>
      <c r="H181" s="38" t="s">
        <v>1121</v>
      </c>
      <c r="I181" s="38">
        <f>'Rumo e Travessia'!A122</f>
        <v>0</v>
      </c>
      <c r="J181" s="38">
        <f t="shared" si="8"/>
        <v>0</v>
      </c>
    </row>
    <row r="182" spans="1:10" ht="27.75" x14ac:dyDescent="0.2">
      <c r="A182" s="394"/>
      <c r="B182" s="39" t="str">
        <f t="shared" si="7"/>
        <v/>
      </c>
      <c r="C182" s="7" t="s">
        <v>892</v>
      </c>
      <c r="D182" s="164" t="s">
        <v>972</v>
      </c>
      <c r="E182" s="187"/>
      <c r="F182" s="43" t="s">
        <v>943</v>
      </c>
      <c r="G182" s="63">
        <f>'Pistas e Trilha'!A159</f>
        <v>0</v>
      </c>
      <c r="H182" s="38" t="s">
        <v>944</v>
      </c>
      <c r="I182" s="38">
        <f>'Rumo e Travessia'!A162</f>
        <v>0</v>
      </c>
      <c r="J182" s="38">
        <f t="shared" si="8"/>
        <v>0</v>
      </c>
    </row>
    <row r="183" spans="1:10" x14ac:dyDescent="0.2">
      <c r="A183" s="394"/>
      <c r="B183" s="39" t="str">
        <f t="shared" si="7"/>
        <v/>
      </c>
      <c r="C183" s="7" t="s">
        <v>893</v>
      </c>
      <c r="D183" s="164" t="s">
        <v>972</v>
      </c>
      <c r="E183" s="187"/>
      <c r="F183" s="43" t="s">
        <v>45</v>
      </c>
      <c r="G183" s="63">
        <f>'Pistas e Trilha'!A113</f>
        <v>0</v>
      </c>
      <c r="H183" s="38"/>
      <c r="I183" s="38"/>
      <c r="J183" s="38">
        <f t="shared" si="8"/>
        <v>0</v>
      </c>
    </row>
    <row r="184" spans="1:10" x14ac:dyDescent="0.2">
      <c r="A184" s="394"/>
      <c r="B184" s="39" t="str">
        <f t="shared" si="7"/>
        <v/>
      </c>
      <c r="C184" s="7" t="s">
        <v>894</v>
      </c>
      <c r="D184" s="164" t="s">
        <v>972</v>
      </c>
      <c r="E184" s="187"/>
      <c r="F184" s="43" t="s">
        <v>54</v>
      </c>
      <c r="G184" s="63">
        <f>'Pistas e Trilha'!A118</f>
        <v>0</v>
      </c>
      <c r="H184" s="38"/>
      <c r="I184" s="38"/>
      <c r="J184" s="38">
        <f t="shared" si="8"/>
        <v>0</v>
      </c>
    </row>
    <row r="185" spans="1:10" x14ac:dyDescent="0.2">
      <c r="A185" s="394"/>
      <c r="B185" s="39" t="str">
        <f t="shared" si="7"/>
        <v/>
      </c>
      <c r="C185" s="7" t="s">
        <v>895</v>
      </c>
      <c r="D185" s="164" t="s">
        <v>972</v>
      </c>
      <c r="E185" s="187"/>
      <c r="F185" s="43" t="s">
        <v>945</v>
      </c>
      <c r="G185" s="63">
        <f>'Pistas e Trilha'!A123</f>
        <v>0</v>
      </c>
      <c r="H185" s="38"/>
      <c r="I185" s="38"/>
      <c r="J185" s="38">
        <f t="shared" si="8"/>
        <v>0</v>
      </c>
    </row>
    <row r="186" spans="1:10" ht="27.75" x14ac:dyDescent="0.2">
      <c r="A186" s="394"/>
      <c r="B186" s="39" t="str">
        <f t="shared" si="7"/>
        <v/>
      </c>
      <c r="C186" s="7" t="s">
        <v>896</v>
      </c>
      <c r="D186" s="164" t="s">
        <v>972</v>
      </c>
      <c r="E186" s="187"/>
      <c r="F186" s="43"/>
      <c r="G186" s="63"/>
      <c r="H186" s="38"/>
      <c r="I186" s="38"/>
      <c r="J186" s="38">
        <f t="shared" si="8"/>
        <v>0</v>
      </c>
    </row>
    <row r="187" spans="1:10" x14ac:dyDescent="0.2">
      <c r="A187" s="77"/>
      <c r="C187" s="89"/>
      <c r="F187" s="40"/>
      <c r="G187" s="62"/>
      <c r="H187" s="40"/>
      <c r="I187" s="68" t="s">
        <v>852</v>
      </c>
      <c r="J187" s="68">
        <f>SUM(J177:J186)</f>
        <v>0</v>
      </c>
    </row>
    <row r="188" spans="1:10" x14ac:dyDescent="0.2">
      <c r="A188" s="77"/>
      <c r="C188" s="92" t="s">
        <v>1057</v>
      </c>
      <c r="F188" s="40"/>
      <c r="G188" s="62"/>
      <c r="H188" s="40"/>
      <c r="I188" s="40"/>
      <c r="J188" s="40"/>
    </row>
    <row r="189" spans="1:10" ht="15.75" thickBot="1" x14ac:dyDescent="0.25">
      <c r="A189" s="78"/>
      <c r="B189" s="79" t="str">
        <f>IF(J189&gt;0,"Item OK","")</f>
        <v/>
      </c>
      <c r="C189" s="94" t="s">
        <v>470</v>
      </c>
      <c r="F189" s="40"/>
      <c r="G189" s="62"/>
      <c r="H189" s="40"/>
      <c r="I189" s="40"/>
      <c r="J189" s="64">
        <f>'Especialidades ou Insígnias'!H238</f>
        <v>0</v>
      </c>
    </row>
  </sheetData>
  <sheetProtection sheet="1" objects="1" scenarios="1"/>
  <mergeCells count="24">
    <mergeCell ref="E78:E79"/>
    <mergeCell ref="D81:D82"/>
    <mergeCell ref="E81:E82"/>
    <mergeCell ref="D12:D14"/>
    <mergeCell ref="E12:E14"/>
    <mergeCell ref="D53:D55"/>
    <mergeCell ref="E53:E55"/>
    <mergeCell ref="A136:A157"/>
    <mergeCell ref="A177:A186"/>
    <mergeCell ref="B78:B80"/>
    <mergeCell ref="B81:B83"/>
    <mergeCell ref="D78:D79"/>
    <mergeCell ref="A131:A132"/>
    <mergeCell ref="A11:A15"/>
    <mergeCell ref="B12:B14"/>
    <mergeCell ref="C12:C14"/>
    <mergeCell ref="C81:C82"/>
    <mergeCell ref="C78:C79"/>
    <mergeCell ref="A72:A73"/>
    <mergeCell ref="A19:A34"/>
    <mergeCell ref="A50:A57"/>
    <mergeCell ref="B53:B55"/>
    <mergeCell ref="C53:C55"/>
    <mergeCell ref="A77:A117"/>
  </mergeCells>
  <conditionalFormatting sqref="A11:A15 A72:A73">
    <cfRule type="containsText" dxfId="51" priority="13" operator="containsText" text="Atingiu 100% das ações fixas">
      <formula>NOT(ISERROR(SEARCH("Atingiu 100% das ações fixas",A11)))</formula>
    </cfRule>
  </conditionalFormatting>
  <conditionalFormatting sqref="A19 B50:B53 B119:B127">
    <cfRule type="cellIs" dxfId="50" priority="147" operator="greaterThan">
      <formula>0</formula>
    </cfRule>
  </conditionalFormatting>
  <conditionalFormatting sqref="A19:A34 A50:A57">
    <cfRule type="containsText" dxfId="49" priority="108" operator="containsText" text="Já atingiu 100% do itens variáveis pois conquistou Insígnia">
      <formula>NOT(ISERROR(SEARCH("Já atingiu 100% do itens variáveis pois conquistou Insígnia",A19)))</formula>
    </cfRule>
  </conditionalFormatting>
  <conditionalFormatting sqref="A19:A34">
    <cfRule type="containsText" dxfId="48" priority="7" operator="containsText" text="Atingiu 100% das ações variáveis">
      <formula>NOT(ISERROR(SEARCH("Atingiu 100% das ações variáveis",A19)))</formula>
    </cfRule>
    <cfRule type="containsText" dxfId="47" priority="12" operator="containsText" text="Atingiu 100% do itens variáveis">
      <formula>NOT(ISERROR(SEARCH("Atingiu 100% do itens variáveis",A19)))</formula>
    </cfRule>
  </conditionalFormatting>
  <conditionalFormatting sqref="A50">
    <cfRule type="cellIs" dxfId="46" priority="145" operator="greaterThan">
      <formula>0</formula>
    </cfRule>
  </conditionalFormatting>
  <conditionalFormatting sqref="A50:A57">
    <cfRule type="containsText" dxfId="45" priority="6" operator="containsText" text="Atingiu 100% das ações variáveis">
      <formula>NOT(ISERROR(SEARCH("Atingiu 100% das ações variáveis",A50)))</formula>
    </cfRule>
    <cfRule type="containsText" dxfId="44" priority="11" operator="containsText" text="Atingiu 100% do itens variáveis">
      <formula>NOT(ISERROR(SEARCH("Atingiu 100% do itens variáveis",A50)))</formula>
    </cfRule>
  </conditionalFormatting>
  <conditionalFormatting sqref="A77">
    <cfRule type="cellIs" dxfId="43" priority="144" operator="greaterThan">
      <formula>0</formula>
    </cfRule>
  </conditionalFormatting>
  <conditionalFormatting sqref="A77:A117">
    <cfRule type="containsText" dxfId="42" priority="4" operator="containsText" text="Atingiu 100% das ações variáveis">
      <formula>NOT(ISERROR(SEARCH("Atingiu 100% das ações variáveis",A77)))</formula>
    </cfRule>
    <cfRule type="containsText" dxfId="41" priority="10" operator="containsText" text="Atingiu 100% do itens variáveis">
      <formula>NOT(ISERROR(SEARCH("Atingiu 100% do itens variáveis",A77)))</formula>
    </cfRule>
    <cfRule type="containsText" dxfId="40" priority="46" operator="containsText" text="á atingiu 100% do itens variáveis pois conquistou Insígnia">
      <formula>NOT(ISERROR(SEARCH("á atingiu 100% do itens variáveis pois conquistou Insígnia",A77)))</formula>
    </cfRule>
  </conditionalFormatting>
  <conditionalFormatting sqref="A131:A132">
    <cfRule type="containsText" dxfId="39" priority="3" operator="containsText" text="Atingiu 100% das ações fixas">
      <formula>NOT(ISERROR(SEARCH("Atingiu 100% das ações fixas",A131)))</formula>
    </cfRule>
  </conditionalFormatting>
  <conditionalFormatting sqref="A136">
    <cfRule type="cellIs" dxfId="38" priority="143" operator="greaterThan">
      <formula>0</formula>
    </cfRule>
  </conditionalFormatting>
  <conditionalFormatting sqref="A136:A157">
    <cfRule type="containsText" dxfId="37" priority="34" operator="containsText" text="Já atingiu 100% do itens variáveis pois conquistou Insígnia/Especialidade">
      <formula>NOT(ISERROR(SEARCH("Já atingiu 100% do itens variáveis pois conquistou Insígnia/Especialidade",A136)))</formula>
    </cfRule>
    <cfRule type="containsText" dxfId="36" priority="9" operator="containsText" text="Atingiu 100% do itens variáveis">
      <formula>NOT(ISERROR(SEARCH("Atingiu 100% do itens variáveis",A136)))</formula>
    </cfRule>
  </conditionalFormatting>
  <conditionalFormatting sqref="A173">
    <cfRule type="containsText" dxfId="35" priority="1" operator="containsText" text="Atingiu 100% das ações fixas">
      <formula>NOT(ISERROR(SEARCH("Atingiu 100% das ações fixas",A173)))</formula>
    </cfRule>
  </conditionalFormatting>
  <conditionalFormatting sqref="A177">
    <cfRule type="cellIs" dxfId="34" priority="142" operator="greaterThan">
      <formula>0</formula>
    </cfRule>
  </conditionalFormatting>
  <conditionalFormatting sqref="A177:A186">
    <cfRule type="containsText" dxfId="33" priority="2" operator="containsText" text="Atingiu 100% das ações variáveis">
      <formula>NOT(ISERROR(SEARCH("Atingiu 100% das ações variáveis",A177)))</formula>
    </cfRule>
    <cfRule type="containsText" dxfId="32" priority="35" operator="containsText" text="Já atingiu 100% do itens variáveis pois conquistou Insígnia/Especialidade">
      <formula>NOT(ISERROR(SEARCH("Já atingiu 100% do itens variáveis pois conquistou Insígnia/Especialidade",A177)))</formula>
    </cfRule>
    <cfRule type="containsText" dxfId="31" priority="8" operator="containsText" text="Atingiu 100% do itens variáveis">
      <formula>NOT(ISERROR(SEARCH("Atingiu 100% do itens variáveis",A177)))</formula>
    </cfRule>
  </conditionalFormatting>
  <conditionalFormatting sqref="A8:B8">
    <cfRule type="containsText" dxfId="30" priority="33" operator="containsText" text="BLOCO CONCLUÍDO">
      <formula>NOT(ISERROR(SEARCH("BLOCO CONCLUÍDO",A8)))</formula>
    </cfRule>
  </conditionalFormatting>
  <conditionalFormatting sqref="A46:B46">
    <cfRule type="containsText" dxfId="29" priority="17" operator="containsText" text="BLOCO CONCLUÍDO">
      <formula>NOT(ISERROR(SEARCH("BLOCO CONCLUÍDO",A46)))</formula>
    </cfRule>
  </conditionalFormatting>
  <conditionalFormatting sqref="A69:B69">
    <cfRule type="containsText" dxfId="28" priority="16" operator="containsText" text="BLOCO CONCLUÍDO">
      <formula>NOT(ISERROR(SEARCH("BLOCO CONCLUÍDO",A69)))</formula>
    </cfRule>
  </conditionalFormatting>
  <conditionalFormatting sqref="A128:B128">
    <cfRule type="containsText" dxfId="27" priority="15" operator="containsText" text="BLOCO CONCLUÍDO">
      <formula>NOT(ISERROR(SEARCH("BLOCO CONCLUÍDO",A128)))</formula>
    </cfRule>
  </conditionalFormatting>
  <conditionalFormatting sqref="A170:B170">
    <cfRule type="containsText" dxfId="26" priority="14" operator="containsText" text="BLOCO CONCLUÍDO">
      <formula>NOT(ISERROR(SEARCH("BLOCO CONCLUÍDO",A170)))</formula>
    </cfRule>
  </conditionalFormatting>
  <conditionalFormatting sqref="B11:B12 B15">
    <cfRule type="cellIs" dxfId="25" priority="141" operator="greaterThan">
      <formula>0</formula>
    </cfRule>
    <cfRule type="cellIs" dxfId="24" priority="140" operator="equal">
      <formula>"Item OK"</formula>
    </cfRule>
  </conditionalFormatting>
  <conditionalFormatting sqref="B19:B34 B50:B53">
    <cfRule type="cellIs" dxfId="23" priority="68" operator="equal">
      <formula>"Item OK"</formula>
    </cfRule>
  </conditionalFormatting>
  <conditionalFormatting sqref="B19:B38">
    <cfRule type="cellIs" dxfId="22" priority="69" operator="greaterThan">
      <formula>0</formula>
    </cfRule>
  </conditionalFormatting>
  <conditionalFormatting sqref="B36:B38">
    <cfRule type="cellIs" dxfId="21" priority="26" operator="equal">
      <formula>"Item OK"</formula>
    </cfRule>
  </conditionalFormatting>
  <conditionalFormatting sqref="B56:B57">
    <cfRule type="cellIs" dxfId="20" priority="22" operator="equal">
      <formula>"Item OK"</formula>
    </cfRule>
  </conditionalFormatting>
  <conditionalFormatting sqref="B56:B68">
    <cfRule type="cellIs" dxfId="19" priority="19" operator="greaterThan">
      <formula>0</formula>
    </cfRule>
  </conditionalFormatting>
  <conditionalFormatting sqref="B60:B61">
    <cfRule type="cellIs" dxfId="18" priority="18" operator="equal">
      <formula>"Item OK"</formula>
    </cfRule>
  </conditionalFormatting>
  <conditionalFormatting sqref="B71:B73">
    <cfRule type="cellIs" dxfId="17" priority="107" operator="greaterThan">
      <formula>0</formula>
    </cfRule>
  </conditionalFormatting>
  <conditionalFormatting sqref="B72:B73">
    <cfRule type="cellIs" dxfId="16" priority="53" operator="equal">
      <formula>"Item OK"</formula>
    </cfRule>
  </conditionalFormatting>
  <conditionalFormatting sqref="B77:B78 B81 B84:B117">
    <cfRule type="cellIs" dxfId="15" priority="50" operator="greaterThan">
      <formula>0</formula>
    </cfRule>
    <cfRule type="cellIs" dxfId="14" priority="49" operator="equal">
      <formula>"Item OK"</formula>
    </cfRule>
  </conditionalFormatting>
  <conditionalFormatting sqref="B119:B120">
    <cfRule type="cellIs" dxfId="13" priority="47" operator="equal">
      <formula>"Item OK"</formula>
    </cfRule>
  </conditionalFormatting>
  <conditionalFormatting sqref="B129:B157">
    <cfRule type="cellIs" dxfId="12" priority="41" operator="greaterThan">
      <formula>0</formula>
    </cfRule>
  </conditionalFormatting>
  <conditionalFormatting sqref="B131:B132">
    <cfRule type="cellIs" dxfId="11" priority="40" operator="equal">
      <formula>"Item OK"</formula>
    </cfRule>
  </conditionalFormatting>
  <conditionalFormatting sqref="B136:B157">
    <cfRule type="cellIs" dxfId="10" priority="86" operator="equal">
      <formula>"Item OK"</formula>
    </cfRule>
  </conditionalFormatting>
  <conditionalFormatting sqref="B160">
    <cfRule type="cellIs" dxfId="9" priority="82" operator="equal">
      <formula>"Item OK"</formula>
    </cfRule>
    <cfRule type="cellIs" dxfId="8" priority="83" operator="greaterThan">
      <formula>0</formula>
    </cfRule>
  </conditionalFormatting>
  <conditionalFormatting sqref="B171">
    <cfRule type="cellIs" dxfId="7" priority="38" operator="equal">
      <formula>"Item OK"</formula>
    </cfRule>
    <cfRule type="cellIs" dxfId="6" priority="39" operator="greaterThan">
      <formula>0</formula>
    </cfRule>
  </conditionalFormatting>
  <conditionalFormatting sqref="B173">
    <cfRule type="cellIs" dxfId="5" priority="78" operator="equal">
      <formula>"Item OK"</formula>
    </cfRule>
    <cfRule type="cellIs" dxfId="4" priority="79" operator="greaterThan">
      <formula>0</formula>
    </cfRule>
  </conditionalFormatting>
  <conditionalFormatting sqref="B177:B186">
    <cfRule type="cellIs" dxfId="3" priority="74" operator="equal">
      <formula>"Item OK"</formula>
    </cfRule>
    <cfRule type="cellIs" dxfId="2" priority="75" operator="greaterThan">
      <formula>0</formula>
    </cfRule>
  </conditionalFormatting>
  <conditionalFormatting sqref="B189">
    <cfRule type="cellIs" dxfId="1" priority="37" operator="greaterThan">
      <formula>0</formula>
    </cfRule>
    <cfRule type="cellIs" dxfId="0" priority="36" operator="equal">
      <formula>"Item OK"</formula>
    </cfRule>
  </conditionalFormatting>
  <pageMargins left="0.511811024" right="0.511811024" top="0.78740157499999996" bottom="0.78740157499999996" header="0.31496062000000002" footer="0.31496062000000002"/>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 /></Relationships>
</file>

<file path=customXml/item1.xml>��
</file>

<file path=customXml/itemProps1.xml><?xml version="1.0" encoding="utf-8"?>
<ds:datastoreItem xmlns:ds="http://schemas.openxmlformats.org/officeDocument/2006/customXml" ds:itemID="{E5578E2B-B355-4D43-9DA5-C229E16C055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Planilhas</vt:lpstr>
      </vt:variant>
      <vt:variant>
        <vt:i4>9</vt:i4>
      </vt:variant>
      <vt:variant>
        <vt:lpstr>Intervalos Nomeados</vt:lpstr>
      </vt:variant>
      <vt:variant>
        <vt:i4>1</vt:i4>
      </vt:variant>
    </vt:vector>
  </HeadingPairs>
  <TitlesOfParts>
    <vt:vector size="10" baseType="lpstr">
      <vt:lpstr>Início</vt:lpstr>
      <vt:lpstr>Dados do Jovem</vt:lpstr>
      <vt:lpstr>Pistas e Trilha</vt:lpstr>
      <vt:lpstr>Rumo e Travessia</vt:lpstr>
      <vt:lpstr>Especialidades ou Insígnias</vt:lpstr>
      <vt:lpstr>Habilidades para a Vida</vt:lpstr>
      <vt:lpstr>Meio Ambiente</vt:lpstr>
      <vt:lpstr>Paz e Desenvolvimento</vt:lpstr>
      <vt:lpstr>Saúde e Bem Estar</vt:lpstr>
      <vt:lpstr>Início!Area_de_impressao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Fernando Mendes</dc:creator>
  <cp:lastModifiedBy>Fernando Mendes</cp:lastModifiedBy>
  <cp:lastPrinted>2026-02-03T16:44:48Z</cp:lastPrinted>
  <dcterms:created xsi:type="dcterms:W3CDTF">2025-11-14T19:22:59Z</dcterms:created>
  <dcterms:modified xsi:type="dcterms:W3CDTF">2026-03-29T14:04:46Z</dcterms:modified>
</cp:coreProperties>
</file>