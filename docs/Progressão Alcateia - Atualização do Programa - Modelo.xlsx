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Geral" sheetId="1" r:id="rId5"/>
    <sheet state="visible" name="Progressão Pessoal" sheetId="2" r:id="rId6"/>
    <sheet state="visible" name="Lobinho 1" sheetId="3" r:id="rId7"/>
    <sheet state="visible" name="Lobinho 2" sheetId="4" r:id="rId8"/>
    <sheet state="visible" name="Lobinho 3" sheetId="5" r:id="rId9"/>
    <sheet state="visible" name="Lobinho 4" sheetId="6" r:id="rId10"/>
    <sheet state="visible" name="Lobinho 5" sheetId="7" r:id="rId11"/>
    <sheet state="visible" name="Lobinho 6" sheetId="8" r:id="rId12"/>
    <sheet state="visible" name="Lobinho 7" sheetId="9" r:id="rId13"/>
    <sheet state="visible" name="Lobinho 8" sheetId="10" r:id="rId14"/>
    <sheet state="visible" name="Lobinho 9" sheetId="11" r:id="rId15"/>
    <sheet state="visible" name="Lobinho 10" sheetId="12" r:id="rId16"/>
    <sheet state="visible" name="Lobinho 11" sheetId="13" r:id="rId17"/>
    <sheet state="visible" name="Lobinho 12" sheetId="14" r:id="rId18"/>
  </sheets>
  <definedNames>
    <definedName hidden="1" localSheetId="0" name="_xlnm._FilterDatabase">'Análise Geral'!$A$2:$H$14</definedName>
    <definedName hidden="1" localSheetId="1" name="_xlnm._FilterDatabase">'Progressão Pessoal'!$A$23:$Q$370</definedName>
    <definedName hidden="1" localSheetId="2" name="_xlnm._FilterDatabase">'Lobinho 1'!$A$23:$Q$370</definedName>
    <definedName hidden="1" localSheetId="3" name="_xlnm._FilterDatabase">'Lobinho 2'!$A$23:$Q$370</definedName>
    <definedName hidden="1" localSheetId="4" name="_xlnm._FilterDatabase">'Lobinho 3'!$A$23:$Q$370</definedName>
    <definedName hidden="1" localSheetId="5" name="_xlnm._FilterDatabase">'Lobinho 4'!$A$23:$Q$370</definedName>
    <definedName hidden="1" localSheetId="6" name="_xlnm._FilterDatabase">'Lobinho 5'!$A$23:$Q$370</definedName>
    <definedName hidden="1" localSheetId="7" name="_xlnm._FilterDatabase">'Lobinho 6'!$A$23:$Q$370</definedName>
    <definedName hidden="1" localSheetId="8" name="_xlnm._FilterDatabase">'Lobinho 7'!$A$23:$Q$370</definedName>
    <definedName hidden="1" localSheetId="9" name="_xlnm._FilterDatabase">'Lobinho 8'!$A$23:$Q$370</definedName>
    <definedName hidden="1" localSheetId="10" name="_xlnm._FilterDatabase">'Lobinho 9'!$A$23:$Q$370</definedName>
    <definedName hidden="1" localSheetId="11" name="_xlnm._FilterDatabase">'Lobinho 10'!$A$23:$Q$370</definedName>
    <definedName hidden="1" localSheetId="12" name="_xlnm._FilterDatabase">'Lobinho 11'!$A$23:$Q$370</definedName>
    <definedName hidden="1" localSheetId="13" name="_xlnm._FilterDatabase">'Lobinho 12'!$A$23:$Q$370</definedName>
  </definedNames>
  <calcPr/>
</workbook>
</file>

<file path=xl/sharedStrings.xml><?xml version="1.0" encoding="utf-8"?>
<sst xmlns="http://schemas.openxmlformats.org/spreadsheetml/2006/main" count="27752" uniqueCount="465">
  <si>
    <t>Habilidades para a Vida</t>
  </si>
  <si>
    <t>Meio Ambiente</t>
  </si>
  <si>
    <t>Paz e Desenvolvimento</t>
  </si>
  <si>
    <t>Saúde e Bem-Estar</t>
  </si>
  <si>
    <t>Lobo</t>
  </si>
  <si>
    <t>Ch. Progr.</t>
  </si>
  <si>
    <t>Matilha</t>
  </si>
  <si>
    <t>Progr.</t>
  </si>
  <si>
    <t>Dt. Nasc.</t>
  </si>
  <si>
    <t>idade (ano)</t>
  </si>
  <si>
    <t>Idade</t>
  </si>
  <si>
    <t>Ações Faltantes</t>
  </si>
  <si>
    <t>Aprend. Cont. Desenv. Vocacional</t>
  </si>
  <si>
    <t>Autonomia e Liderança</t>
  </si>
  <si>
    <t>Criatividade e Inovação</t>
  </si>
  <si>
    <t>Inteligência Emocional</t>
  </si>
  <si>
    <t>Ações
Realiz.</t>
  </si>
  <si>
    <t>Tot. Ações</t>
  </si>
  <si>
    <t>Média</t>
  </si>
  <si>
    <t>Consumo Responsável</t>
  </si>
  <si>
    <t>Mudanças Climáticas</t>
  </si>
  <si>
    <t>Preservação da Biodiversidade</t>
  </si>
  <si>
    <t>Vida ao Ar Livre</t>
  </si>
  <si>
    <t>Comunidade</t>
  </si>
  <si>
    <t>Democracia</t>
  </si>
  <si>
    <t>Herança Cultural</t>
  </si>
  <si>
    <t>Promoção da Paz</t>
  </si>
  <si>
    <t>Valores</t>
  </si>
  <si>
    <t>Cuidado com o Corpo</t>
  </si>
  <si>
    <t>Espiritualidade</t>
  </si>
  <si>
    <t>Hábitos Saudáveis</t>
  </si>
  <si>
    <t>Saúde Mental</t>
  </si>
  <si>
    <t>Vínculos Saudáveis</t>
  </si>
  <si>
    <t>Média GERAL</t>
  </si>
  <si>
    <t>Ações Ideais</t>
  </si>
  <si>
    <t>% tmp ano</t>
  </si>
  <si>
    <t>Lobinho 1</t>
  </si>
  <si>
    <t>Chefe 1</t>
  </si>
  <si>
    <t>Branca</t>
  </si>
  <si>
    <t>Introdutório</t>
  </si>
  <si>
    <t>Lobinho 2</t>
  </si>
  <si>
    <t>Marrom</t>
  </si>
  <si>
    <t>Lobinho 3</t>
  </si>
  <si>
    <t>Preta</t>
  </si>
  <si>
    <t>Lobinho 4</t>
  </si>
  <si>
    <t>Pata Tenra</t>
  </si>
  <si>
    <t>Lobinho 5</t>
  </si>
  <si>
    <t>Lobinho 6</t>
  </si>
  <si>
    <t>Chefe 2</t>
  </si>
  <si>
    <t>Vermelha</t>
  </si>
  <si>
    <t>Lobinho 7</t>
  </si>
  <si>
    <t>Saltador</t>
  </si>
  <si>
    <t>Lobinho 8</t>
  </si>
  <si>
    <t>Lobinho 9</t>
  </si>
  <si>
    <t>Lobinho 10</t>
  </si>
  <si>
    <t>Chefe 3</t>
  </si>
  <si>
    <t>Caçador</t>
  </si>
  <si>
    <t>Lobinho 11</t>
  </si>
  <si>
    <t>Lobinho 12</t>
  </si>
  <si>
    <t>Pata Tenra para Saltador</t>
  </si>
  <si>
    <t>4 blocos</t>
  </si>
  <si>
    <t>Saltador para Rastreador</t>
  </si>
  <si>
    <t>Rastreador para Caçador</t>
  </si>
  <si>
    <t>5 blocos</t>
  </si>
  <si>
    <t>Caçador para Cruzeiro do Sul</t>
  </si>
  <si>
    <t>5 blocos + Desafio pessoal + avaliação</t>
  </si>
  <si>
    <t>Observação para uso:</t>
  </si>
  <si>
    <t>Primeiramente, façam uma cópia para uso da sua alcateia. (Arquivo -&gt; Fazer uma cópia)</t>
  </si>
  <si>
    <t>O nome do lobinho deve ser mesmo nome da aba da progressão do lobinho.</t>
  </si>
  <si>
    <t>Para adicionar novos lobinhos basta adicionar novas linhas e replicar as fórmulas, porém deve-se respeitar o item anterior (manter o mesmo nome do lobo na aba e na lista da Análise Geral)</t>
  </si>
  <si>
    <t>versão atualizada 31/01/2026</t>
  </si>
  <si>
    <t>Explicações:</t>
  </si>
  <si>
    <t>coluna AM - Ações Realiz. - são o total de ações realizadas (baseado nas ações fixas e variáveis*). Utilizo para o cálculo de percentuais</t>
  </si>
  <si>
    <t>coluna AN - Média GERAL - qual o percentual realizado geral pelo jovem (baseado nas ações fixas e variáveis*)</t>
  </si>
  <si>
    <t>coluna AO - Ações Ideais - são um cálculo pela idade do jovem que ele deveria ter cumprido de ações para no fim do último ciclo estar próximo do Cruzeiro do Sul</t>
  </si>
  <si>
    <t>coluna AP - % tmp ano - é utilizado para calcular o ideal do ano de nascimento do jovem para o dia atual</t>
  </si>
  <si>
    <t>*  quando comento q é baseado nas ações fixas e variável, se o jovem cumpre uma ação que substitui as variáveis, ele calcula automaticamente como se tivesse cumprido todas as variáveis. Por exemplo, se ele cumpre uma que substitui, o jovem fez uma ação só, mas se o bloco era 5 variáveis, eu somo 5 no total.</t>
  </si>
  <si>
    <t>coluna H - É a coluna mais importante para o chefe. São as Ações Faltantes é quantas ações o jovem deveria ter cumprido até aquela data para estar próximo do Cruzeiro do Sul.</t>
  </si>
  <si>
    <t>Lobinho:</t>
  </si>
  <si>
    <t>XXXXXX</t>
  </si>
  <si>
    <t>Progressão:</t>
  </si>
  <si>
    <t>Modalidade:</t>
  </si>
  <si>
    <t>Básico</t>
  </si>
  <si>
    <t>PROGRESSÃO</t>
  </si>
  <si>
    <t>CONCLUÍDAS</t>
  </si>
  <si>
    <t>Eixo</t>
  </si>
  <si>
    <t>Bloco</t>
  </si>
  <si>
    <t>Fixa</t>
  </si>
  <si>
    <t>Variável</t>
  </si>
  <si>
    <t>Qt. Variável</t>
  </si>
  <si>
    <t>Substitui variável</t>
  </si>
  <si>
    <t>Total ações Realizar</t>
  </si>
  <si>
    <t>Qt. Concl.</t>
  </si>
  <si>
    <t>% Concl.</t>
  </si>
  <si>
    <t>Aprendizagem Contínua e Desenvolvimento Vocacional</t>
  </si>
  <si>
    <t>Objetivo</t>
  </si>
  <si>
    <t>Tipo de Ação</t>
  </si>
  <si>
    <t>Ação</t>
  </si>
  <si>
    <t>Modalid.</t>
  </si>
  <si>
    <t>Requisitos</t>
  </si>
  <si>
    <t>Cumpriu?
(Sim)</t>
  </si>
  <si>
    <t>Data</t>
  </si>
  <si>
    <t>Gosto de conhecer muitos assuntos, aprender com diferentes pessoas e buscar informações em vários lugares para descobrir novas ideias e usar tudo isso nas atividades.</t>
  </si>
  <si>
    <t>Conquistar uma especialidade sobre um tema de seu interesse e que seja um conhecimento novo.</t>
  </si>
  <si>
    <t>Visitar, com a alcateia, um aeródromo, conhecendo seu funcionamento.</t>
  </si>
  <si>
    <t>Ar</t>
  </si>
  <si>
    <t>Visitar, com a alcateia, um porto, marina ou iate clube, conhecendo seu funcionamento.</t>
  </si>
  <si>
    <t>Mar</t>
  </si>
  <si>
    <t>Escolher um novo idioma e aprender cinco frases úteis.</t>
  </si>
  <si>
    <t>Realizar 5 ações</t>
  </si>
  <si>
    <t>Contar para a alcateia a história de um livro que tenha lido.</t>
  </si>
  <si>
    <t>Conhecer uma biblioteca e pedir a recomendação de um livro ao bibliotecário, sobre temas de seu interesse.</t>
  </si>
  <si>
    <t>Demonstrar para a alcateia um conhecimento ou habilidade que possui.</t>
  </si>
  <si>
    <t>Ouvir a história "O aguilhão do rei" e contar suas conclusões.</t>
  </si>
  <si>
    <t>Com a ajuda dos responsáveis, escrever uma carta para um Velho Lobo e enviá-la pelo correio ou por e-mail.</t>
  </si>
  <si>
    <t>Apresentar à alcateia uma profissão de seu interesse, explicando os requisitos necessários para exercê-la.</t>
  </si>
  <si>
    <t>Demonstrar para a alcateia uma habilidade que aprendeu com outra pessoa (familiares, amigos ou convidados).</t>
  </si>
  <si>
    <t>Montar um "diário de curiosidades" com cinco coisas novas aprendidas e contar para a alcateia.</t>
  </si>
  <si>
    <t>Participar de um evento aeronáutico, como uma demonstração de acrobacias aéreas, portões abertos em bases aéreas ou aeroportos, torneios aeromodelismo ou eventos similares.</t>
  </si>
  <si>
    <t>Identificar as partes básicas de uma aeronave, em maquete, desenho ou visita.</t>
  </si>
  <si>
    <t>Identificar partes básicas de uma embarcação em maquete, desenho ou visita.</t>
  </si>
  <si>
    <t>Reconhecer tipos de água (doce/salgada) e listar 3 diferenças percebidas.</t>
  </si>
  <si>
    <t>Conquistar Especialidade: Arquitetura e Urbanismo</t>
  </si>
  <si>
    <t>Conquistar Especialidade: Astronáutica</t>
  </si>
  <si>
    <t>Conquistar Especialidade: Astronomia</t>
  </si>
  <si>
    <t>Conquistar Especialidade: Aeromodelismo</t>
  </si>
  <si>
    <t>Conquistar Especialidade: Biblioteconomia</t>
  </si>
  <si>
    <t>Conquistar Especialidade: Cartografia</t>
  </si>
  <si>
    <t>Conquistar Especialidade: Comunicações</t>
  </si>
  <si>
    <t>Conquistar Especialidade: Confeitaria</t>
  </si>
  <si>
    <t>Conquistar Especialidade: Construção Civil</t>
  </si>
  <si>
    <t>Conquistar Especialidade: Criptografia</t>
  </si>
  <si>
    <t>Conquistar Especialidade: Culinária</t>
  </si>
  <si>
    <t>Conquistar Especialidade: Design de Interiores</t>
  </si>
  <si>
    <t>Conquistar Especialidade: E-Sports</t>
  </si>
  <si>
    <t>Conquistar Especialidade: Etiqueta</t>
  </si>
  <si>
    <t>Conquistar Especialidade: Ferramentas de Corte</t>
  </si>
  <si>
    <t>Conquistar Especialidade: Fiscalização de Pátio de Aeródromo</t>
  </si>
  <si>
    <t>Conquistar Especialidade: Informática</t>
  </si>
  <si>
    <t>Conquistar Especialidade: Investimentos</t>
  </si>
  <si>
    <t>Conquistar Especialidade: Jornalismo</t>
  </si>
  <si>
    <t>Conquistar Especialidade: Manicure</t>
  </si>
  <si>
    <t>Conquistar Especialidade: Manutenção Elétrica</t>
  </si>
  <si>
    <t>Conquistar Especialidade: Marcenaria</t>
  </si>
  <si>
    <t>Conquistar Especialidade: Marinharia</t>
  </si>
  <si>
    <t>Conquistar Especialidade: Matemática</t>
  </si>
  <si>
    <t>Conquistar Especialidade: Mecânica Aérea</t>
  </si>
  <si>
    <t>Conquistar Especialidade: Mecânica de Automóveis</t>
  </si>
  <si>
    <t>Conquistar Especialidade: Navegação Aérea</t>
  </si>
  <si>
    <t>Conquistar Especialidade: Observação Aérea</t>
  </si>
  <si>
    <t>Conquistar Especialidade: Planador</t>
  </si>
  <si>
    <t>Conquistar Especialidade: Prevenção de Incêndio</t>
  </si>
  <si>
    <t>Conquistar Especialidade: Produção Gráfica</t>
  </si>
  <si>
    <t>Conquistar Especialidade: Programação</t>
  </si>
  <si>
    <t>Conquistar Especialidade: Química</t>
  </si>
  <si>
    <t>Conquistar Especialidade: Radioamadorismo</t>
  </si>
  <si>
    <t>Conquistar Especialidade: Radioescuta</t>
  </si>
  <si>
    <t>Conquistar Especialidade: Redes de Computadores</t>
  </si>
  <si>
    <t>Conquistar Especialidade: Segurança e Emergência Náutica</t>
  </si>
  <si>
    <t>Conquistar Especialidade: Segurança no Trânsito</t>
  </si>
  <si>
    <t>Conquistar Especialidade: Simulação Aérea</t>
  </si>
  <si>
    <t>Conquistar Especialidade: Sinalização</t>
  </si>
  <si>
    <t>Conquistar Especialidade: Técnica Aeronáutica</t>
  </si>
  <si>
    <t>Conquistar Especialidade: Vendas</t>
  </si>
  <si>
    <t>Conquistar Especialidade: Web Design</t>
  </si>
  <si>
    <t>Conquistar a seguinte insíguinia: Insígnia do Aprender</t>
  </si>
  <si>
    <t>Substituí ações variáveis</t>
  </si>
  <si>
    <t>Participo das atividades com responsabilidade, cumpro minhas tarefas e ajudo sempre que posso. Penso sobre o que vivo, faço escolhas com cuidado e aprendo a usar o dinheiro de maneira correta no meu dia a dia.</t>
  </si>
  <si>
    <t>Organizar os materiais individuais e arrumar sua mochila para um acampamento de alcateia.</t>
  </si>
  <si>
    <t>Navegar em uma embarcação e usar corretamente o colete salva-vidas, seguindo as regras de segurança.</t>
  </si>
  <si>
    <t>Avaliar as atividades das quais participou, identificando pontos positivos e negativos e sugerindo melhorias.</t>
  </si>
  <si>
    <t>Realizar 4 ações</t>
  </si>
  <si>
    <t>Fazer uma compra e prestar contas do pagamento.</t>
  </si>
  <si>
    <t>Conhecer os meios de transporte, farmácias, correios, hospitais, supermercados, pontos de ônibus/estações de trem/metrô, igrejas e parques próximos à sua casa.</t>
  </si>
  <si>
    <t>Participar de uma atividade sobre o uso do dinheiro de forma responsável.</t>
  </si>
  <si>
    <t>Identificar riscos domésticos (facas, fogo, eletricidade, gás, janelas etc.) e realizar uma ação para prevenir acidentes (cartaz, panfleto, entre outros).</t>
  </si>
  <si>
    <t>Registrar em um quadro ou tabela simples como usou o dinheiro da mesada.</t>
  </si>
  <si>
    <t>Conquistar ao menos uma das seguintes especialidades:
Empreendedorismo, Educação Financeira, Administração, Reparos Domésticos, Oratória.</t>
  </si>
  <si>
    <t>Uso minha criatividade para encontrar diferentes soluções para os desafios do dia a dia e gosto de testar novas formas de resolver problemas.</t>
  </si>
  <si>
    <t>Construir uma engenhoca simples (varal, suporte de panela).</t>
  </si>
  <si>
    <t>Construir três diferentes modelos de avião de papel, testando os princípios da aerodinâmica.</t>
  </si>
  <si>
    <t>Em uma atividade de trabalhos manuais, utilizar a técnica de embrulho de presente e encapar um livro para sua melhor conservação.</t>
  </si>
  <si>
    <t>Costurar um distintivo em seu uniforme ou vestuário escoteiro.</t>
  </si>
  <si>
    <t>Criar e apresentar com sua matilha uma esquete em uma Flor Vermelha.</t>
  </si>
  <si>
    <t>Divulgar sua UEL na escola por meio de cartazes, depoimentos, vídeos e folders.</t>
  </si>
  <si>
    <t>Apresentar um trabalho artístico para sua alcateia, como: pintura, modelagem, colagem etc.</t>
  </si>
  <si>
    <t>Planejar, organizar e executar um pequeno projeto científico, artístico ou utilitário.</t>
  </si>
  <si>
    <t>Ensinar um jogo para outros lobinhos.</t>
  </si>
  <si>
    <t>Durante uma Flor Vermelha, utilizando diversos materiais para criar uma caracterização.</t>
  </si>
  <si>
    <t>Criar um código simples (cores, símbolos ou sons) para enviar uma mensagem para outro lobinho decifrar.</t>
  </si>
  <si>
    <t>Montar uma biruta simples e registrar a direção do vento em três dias diferentes.
Fazer e empinar uma pipa seguindo as regras de segurança.</t>
  </si>
  <si>
    <t>Fazer um trabalho artesanal marinheiro com cabos, usando nós característicos da marinharia.</t>
  </si>
  <si>
    <t>Conquistar ao menos uma das seguintes especialidades:
Arte Digital, Artes Visuais, Artesanato, Comédia, Costura e Estilismo, Encadernação, Grafite, HQ, Maquete, Pintura, Propaganda e Marketing, Robótica, Videomaker.</t>
  </si>
  <si>
    <t>Reconheço minhas emoções e aprendo a lidar com diferentes situações, sempre tentando tirar algo bom de cada experiência.</t>
  </si>
  <si>
    <t>Conversar com a família, responsáveis ou Velhos Lobos sobre pontos que gosta e não gosta em si mesmo e como melhorá-los.</t>
  </si>
  <si>
    <t>Realizar 3 ações</t>
  </si>
  <si>
    <t>Contar a um Velho Lobo sobre um momento difícil recente e descrever o que ajudou a melhorar a situação.</t>
  </si>
  <si>
    <t>Cantar canções com a alcateia e participar de uma dança da Jângal.</t>
  </si>
  <si>
    <t>Identificar situações perigosas, sabendo como agir e a quem recorrer.</t>
  </si>
  <si>
    <t>Escolher um pequeno desafio que dá insegurança (ex.: falar em público) e tentar superá-lo: depois contar a um Velho Lobo o que mudou.</t>
  </si>
  <si>
    <t>Aprender e ensinar para a alcateia uma atividade de relaxamento.</t>
  </si>
  <si>
    <t>Procuro usar apenas o que preciso, sem desperdiçar, e consumo com cuidado para ajudar a preservar a natureza e seus recursos.</t>
  </si>
  <si>
    <t>Participar de um piquenique, excursão ou acampamento com a alcateia, sem a utilização de plásticos descartáveis.</t>
  </si>
  <si>
    <t>Separar e classificar materiais para coleta seletiva do lixo em casa.</t>
  </si>
  <si>
    <t>Observar os rótulos e as embalagens dos produtos usados no dia a dia, entender sua origem e destino, e conversar com os Velhos Lobos sobre o tema.</t>
  </si>
  <si>
    <t>Consertar roupas ou brinquedos com a ajuda de adultos.</t>
  </si>
  <si>
    <t>Adotar diariamente práticas sustentáveis, como apagar luzes, separar o lixo e reduzir o uso de plástico, motivando o seu entorno a fazer o mesmo.</t>
  </si>
  <si>
    <t>Escolher frutas e vegetais da estação e produzidos localmente e utilizá-los em um lanche coletivo da alcateia.</t>
  </si>
  <si>
    <t>Nas refeições, colocar apenas a quantidade de comida que vai consumir e aproveitar as sobras quando possível.</t>
  </si>
  <si>
    <t>Selecionar brinquedos e roupas em bom estado e doar para uma campanha, ação comunitária ou instituição de caridade.</t>
  </si>
  <si>
    <t>Reutilizar cadernos com folhas sobrando e outros materiais escolares, como mochilas ou estojos em bom estado.</t>
  </si>
  <si>
    <t>Cuidar dos materiais da sua alcateia.</t>
  </si>
  <si>
    <t>Evitar desperdício de água, fechando a torneira ao escovar os dentes ou lavar a louça e reduzindo o tempo de banho, sem ficar com a água ligada sem necessidade.</t>
  </si>
  <si>
    <t>Conquistar Especialidade: Agricultura</t>
  </si>
  <si>
    <t>Conquistar Especialidade: Aquicultura</t>
  </si>
  <si>
    <t>Conquistar Especialidade: Energia</t>
  </si>
  <si>
    <t>Fazer um modelo de aeronave à sua escolha (avião, helicóptero, foguete, drone, balão etc.), reutilizando materiais e embalagens que seriam descartados.</t>
  </si>
  <si>
    <t>Conquistar a seguinte especialidade ou insígnia:
Especialidades
Horticultura
Insígnias
Reduzir, Reciclar, Reutilizar</t>
  </si>
  <si>
    <t>Cuido do planeta com atitudes que ajudam a diminuir os efeitos das mudanças climáticas no meu dia a dia.</t>
  </si>
  <si>
    <t>Reconhecer na natureza os sinais de mudança do tempo.</t>
  </si>
  <si>
    <t>Cultivar uma horta sozinho ou com a alcateia, promovendo o cuidado com a natureza.</t>
  </si>
  <si>
    <t>Realizar uma experiência de condensação do vapor da água, relacionando-a com as nuvens e as chuvas.</t>
  </si>
  <si>
    <t>Participar de uma caçada urbana para identificar práticas prejudiciais e sustentáveis para a natureza, e sugerir soluções.</t>
  </si>
  <si>
    <t>Participar de um plantio de árvores em áreas urbanas e discutir com os Velhos Lobos sobre a importância da arborização.</t>
  </si>
  <si>
    <t>Conversar com os Velhos Lobos sobre como as ações cotidianas afetam as mudanças climáticas.</t>
  </si>
  <si>
    <t>Visitar um local que use energia renovável para entender seu impacto.</t>
  </si>
  <si>
    <t>Ser bem avaliado pelos pais e responsáveis sobre o consumo consciente de água e energia elétrica em casa.</t>
  </si>
  <si>
    <t>Em uma atividade ao ar livre, observar as nuvens no céu, reconhecendo diferentes aparências e altitudes.</t>
  </si>
  <si>
    <t>Conquistar Especialidade: Jardinagem</t>
  </si>
  <si>
    <t>Conquistar Especialidade: Paisagismo</t>
  </si>
  <si>
    <t>Conquistar a seguinte especialidade ou insígnia:
Especialidades
Meteorologia
Insígnias
Escoteiros pela Energia Solar</t>
  </si>
  <si>
    <t>Observo e respeito todos os seres vivos, entendendo que cada um tem um papel importante na natureza.</t>
  </si>
  <si>
    <t>Explorar a fauna e a flora local em uma atividade com a alcateia, compreendendo a importância da preservação.</t>
  </si>
  <si>
    <t>Identificar as aves da região e seus hábitos.</t>
  </si>
  <si>
    <t>Conhecer as características do bioma aquático local.</t>
  </si>
  <si>
    <t>Cuidar de uma planta ou de um animal de estimação em casa, demonstrando estes cuidados para a alcateia.</t>
  </si>
  <si>
    <t>Em uma atividade ao ar livre com a alcateia, identificar as características da região onde mora, como relevo, clima, hidrografia, bioma, fauna e flora.</t>
  </si>
  <si>
    <t>Criar um "diário da biodiversidade", registrando plantas, animais e insetos encontrados na vizinhança.</t>
  </si>
  <si>
    <t>Participar, com a alcateia, da limpeza de praias, rios ou parques.</t>
  </si>
  <si>
    <t>Visitar um zoológico, jardim botânico, abrigo de animais, horto florestal, viveiro de plantas ou propriedade rural de produção agrícola.</t>
  </si>
  <si>
    <t>Plantar flores que atraem abelhas e borboletas, discutindo com os Velhos Lobos sobre o papel desses insetos na reprodução das plantas.</t>
  </si>
  <si>
    <t>Ler ou ouvir histórias sobre animais em ameaça de extinção, florestas e a importância dos ecossistemas e explicar a um Velho Lobo.</t>
  </si>
  <si>
    <t>Montar comedouros simples para atrair aves para o quintal/varanda ou para a sua unidade escoteira local (UEL).</t>
  </si>
  <si>
    <t>Criar ecossistemas em miniatura, como terrários ou aquários, e observar a convivência entre os seres.</t>
  </si>
  <si>
    <t>Pesquisar um animal nativo ameaçado da região, fazer um cartaz para a alcateia e sugerir como ajudar sua preservação.</t>
  </si>
  <si>
    <t>Conquistar Especialidade: Animais Venenosos e Peçonhentos</t>
  </si>
  <si>
    <t>Conquistar Especialidade: Aquarismo</t>
  </si>
  <si>
    <t>Conquistar Especialidade: Biologia</t>
  </si>
  <si>
    <t>Conquistar Especialidade: Cuidados com Animais de Estimação</t>
  </si>
  <si>
    <t>Conquistar Especialidade: Entomologia</t>
  </si>
  <si>
    <t>Conquistar Especialidade: Geologia</t>
  </si>
  <si>
    <t>Conquistar Especialidade: Meliponicultura</t>
  </si>
  <si>
    <t>Conquistar Especialidade: Microbiologia</t>
  </si>
  <si>
    <t>Conquistar ao menos uma das seguintes especialidades ou insígnia:
Especialidades
Ciências da Terra, Zoologia, Oceanologia, Botânica
Insígnias
Campeões da Natureza</t>
  </si>
  <si>
    <t>Aproveito as atividades ao ar livre com cuidado e responsabilidade, sempre protegendo a natureza e deixando cada lugar melhor do que encontrei.</t>
  </si>
  <si>
    <t>Aplicar os seguintes nós: direito, escota alceado, aselha, de correr e volta do fiel, sabendo suas funções, durante um acampamento com a alcateia.</t>
  </si>
  <si>
    <t>Montar, pernoitar, desmontar e acondicionar corretamente a barraca durante um acampamento.</t>
  </si>
  <si>
    <t>Acender uma pequena fogueira para fazer uma bebida quente ou lanche, demonstrando as técnicas de segurança no uso de fósforos e acendedores em um acampamento com a alcateia.</t>
  </si>
  <si>
    <t>Conhecer a Rosa dos Ventos e a constelação do Cruzeiro do Sul, usando-os para sua orientação.</t>
  </si>
  <si>
    <t>Participar de pelo menos dois acampamentos ou acantonamentos com a alcateia.</t>
  </si>
  <si>
    <t>Cozinhar um prato de comida mateira com a alcateia.</t>
  </si>
  <si>
    <t>Percorrer uma pista de obstáculos em uma atividade da alcateia.</t>
  </si>
  <si>
    <t>Participar de caçadas ao ar livre com a alcateia, seguindo as regras de etiqueta e de segurança para trilhas.</t>
  </si>
  <si>
    <t>Participar de jogos ao ar livre com a alcateia.</t>
  </si>
  <si>
    <t>Em uma caminhada com a alcateia, observar a natureza, identificar diferentes sons e agradecer por sua existência.</t>
  </si>
  <si>
    <t>Conquistar Especialidade: Corrida de Orientação</t>
  </si>
  <si>
    <t>Conquistar Especialidade: Culinária Mateira</t>
  </si>
  <si>
    <t>Conquistar Especialidade: Escalada</t>
  </si>
  <si>
    <t>Conquistar Especialidade: Espeleoturismo</t>
  </si>
  <si>
    <t>Conquistar Especialidade: Mountain Bike</t>
  </si>
  <si>
    <t>Conquistar Especialidade: Pesca</t>
  </si>
  <si>
    <t>Conquistar Especialidade: Rastreamento</t>
  </si>
  <si>
    <t>Conquistar ao menos uma das seguintes especialidades:
Acampamento, Excursões, Montanhismo, Pioneiria, Sobrevivência.</t>
  </si>
  <si>
    <t>Procuro fazer boas ações todos os dias, em casa, na escola e na comunidade, ajudando a tornar o mundo um lugar melhor.</t>
  </si>
  <si>
    <t>Identificar, com sua alcateia, uma necessidade da unidade escoteira local e participar de uma ação coletiva de melhoria.</t>
  </si>
  <si>
    <t>Conhecer os hospitais próximos à sua casa e os contatos de emergência (Bombeiros, SAMU, Polícia).</t>
  </si>
  <si>
    <t>Participar ativamente com sua alcateia ou grupo escoteiro, de uma campanha de ajuda ao próximo.</t>
  </si>
  <si>
    <t>Visitar um lar de idosos, creche ou entidade assistencial, prestando apoio conforme necessidade.</t>
  </si>
  <si>
    <t>Identificar uma forma de praticar uma Boa Ação e realizá-la.</t>
  </si>
  <si>
    <t>Conhecer ações solidárias realizadas por instituições de sua comunidade.</t>
  </si>
  <si>
    <t>Preparar e entregar cartinhas, desenhos ou mensagens de carinho para pessoas em hospitais ou instituições.</t>
  </si>
  <si>
    <t>Participar de uma ação de apoio a animais, como arrecadação de ração para abrigos.</t>
  </si>
  <si>
    <t>Com a ajuda de sua família, separar brinquedos ou roupas em bom estado para doação e relatar para onde foram.</t>
  </si>
  <si>
    <t>Conquistar Especialidade: Inclusão</t>
  </si>
  <si>
    <t>Conquistar Especialidade: Libras</t>
  </si>
  <si>
    <t>Conquistar ao menos uma das seguintes especialidades ou insígnias:
Especialidades
Defesa Civil
Insígnias
Mensageiros da Paz, Insígnia da Boa Ação</t>
  </si>
  <si>
    <t>Participo das decisões em grupo com respeito, ouvindo os outros e ajudando para que todos possam falar e escolher juntos.</t>
  </si>
  <si>
    <t>Participar ativamente de uma Roca de Conselho, expressando opiniões de forma respeitosa.</t>
  </si>
  <si>
    <t>Conhecer a história "Caçadas de Kaa" e discutir com os companheiros a conduta dos personagens.</t>
  </si>
  <si>
    <t>Participar da eleição de primo e segundo da matilha e combinar suas responsabilidades.</t>
  </si>
  <si>
    <t>Visitar a câmara dos vereadores ou prefeitura, discutindo com os Velhos Lobos o que aprendeu.</t>
  </si>
  <si>
    <t>Realizar 2 ações</t>
  </si>
  <si>
    <t>Participar de um fórum de grupo escoteiro.</t>
  </si>
  <si>
    <t>Participar de um debate com a alcateia, sobre um tema de interesse dos lobinhos.</t>
  </si>
  <si>
    <t>Participar de um jogo democrático com a alcateia.</t>
  </si>
  <si>
    <t>Participar da criação de um "acordo de convivência" da alcateia (ou conhecê-lo) e assiná-lo.</t>
  </si>
  <si>
    <t>Conquistar Especialidade: Prevenção de Fake News</t>
  </si>
  <si>
    <t>Conquistar Especialidade: Geografia</t>
  </si>
  <si>
    <t>Conquistar Especialidade: Paz e Justiça</t>
  </si>
  <si>
    <t>Gosto de conhecer e valorizar a cultura da minha comunidade e do meu país, explorando histórias, tradições e costumes em diferentes atividades.</t>
  </si>
  <si>
    <t>Realizar o hasteamento ou arriamento da Bandeira Nacional em cerimônia de abertura ou de encerramento de atividade.</t>
  </si>
  <si>
    <t>Criar um álbum com fotos (ou desenhos), histórias e tradições familiares ou de onde vive.</t>
  </si>
  <si>
    <t>Aprender e cantar o Hino Nacional Brasileiro com a alcateia e conhecer os elementos e o simbolismo da Bandeira Nacional, demonstrando respeito por estes símbolos.</t>
  </si>
  <si>
    <t>Contar ou encenar, em uma Flor Vermelha, a história de uma pessoa que teve destaque na história do Brasil ou da sua cidade.</t>
  </si>
  <si>
    <t>Participar de atividades sobre a cultura popular brasileira.</t>
  </si>
  <si>
    <t>Visitar um museu histórico com a alcateia e contar o que mais chamou a atenção.</t>
  </si>
  <si>
    <t>Preparar e degustar, com a sua alcateia, uma receita típica de sua cidade ou região.</t>
  </si>
  <si>
    <t>Reproduzir jogos e brincadeiras típicas de diferentes épocas ou culturas, como amarelinha ou pião.</t>
  </si>
  <si>
    <t>Conversar com avós ou membros mais velhos da comunidade sobre histórias do passado.</t>
  </si>
  <si>
    <t>Participar de feiras, festas ou eventos que celebrem tradições locais.</t>
  </si>
  <si>
    <t>Aprender alguma técnica de artesanato local e produzir um presente.</t>
  </si>
  <si>
    <t>Apresentar uma canção, dança ou brincadeira folclórica do Brasil em uma Flor Vermelha.</t>
  </si>
  <si>
    <t>Conquistar Especialidade: Anime</t>
  </si>
  <si>
    <t>Conquistar Especialidade: Arqueologia</t>
  </si>
  <si>
    <t>Conquistar Especialidade: Arte da Marinharia</t>
  </si>
  <si>
    <t>Conquistar Especialidade: Artes Cênicas</t>
  </si>
  <si>
    <t>Conquistar Especialidade: Capoeira</t>
  </si>
  <si>
    <t>Conquistar Especialidade: Civilizações da Antiguidade</t>
  </si>
  <si>
    <t>Conquistar Especialidade: Cosplay</t>
  </si>
  <si>
    <t>Conquistar Especialidade: Culinária Típica</t>
  </si>
  <si>
    <t>Conquistar Especialidade: Danças Folclóricas</t>
  </si>
  <si>
    <t>Conquistar Especialidade: História Aeroespacial</t>
  </si>
  <si>
    <t>Conquistar Especialidade: História da Aviação</t>
  </si>
  <si>
    <t>Conquistar Especialidade: História Brasileira</t>
  </si>
  <si>
    <t>Conquistar Especialidade: História da Arte</t>
  </si>
  <si>
    <t>Conquistar Especialidade: História do Escotismo</t>
  </si>
  <si>
    <t>Conquistar Especialidade: História Local</t>
  </si>
  <si>
    <t>Conquistar Especialidade: História Marítima</t>
  </si>
  <si>
    <t>Conquistar Especialidade: Literatura</t>
  </si>
  <si>
    <t>Conquistar Especialidade: Mitologias</t>
  </si>
  <si>
    <t>Conquistar Especialidade: Museologia</t>
  </si>
  <si>
    <t>Conquistar Especialidade: Origami</t>
  </si>
  <si>
    <t>Conquistar Especialidade: Paleontologia</t>
  </si>
  <si>
    <t>Conquistar Especialidade: Poesia</t>
  </si>
  <si>
    <t>Conquistar Especialidade: Tradições dos Povos Indígenas</t>
  </si>
  <si>
    <t>Conquistar ao menos uma das seguintes especialidades:
Brasilidades, Genealogia, Informações Turísticas, Tradições dos Povos Indígenas.</t>
  </si>
  <si>
    <t>Participo de atividades que incentivam a paz e o respeito entre as pessoas, aprendendo a conviver bem com diferentes crenças e jeitos de pensar.</t>
  </si>
  <si>
    <t>Ouvir as histórias "Flor Vermelha" e "Os Irmãos de Mowgli", do Livro da Jângal.</t>
  </si>
  <si>
    <t>Participar de jogos e atividades relacionados ao diálogo e a cultura de paz.</t>
  </si>
  <si>
    <t>Visitar um templo de uma religião diferente da sua e, após a visita, expressar suas impressões por meio de um desenho ou depoimento.</t>
  </si>
  <si>
    <t>Organizar e apresentar um jogo tradicional de outro país, promovendo troca cultural e cooperação.</t>
  </si>
  <si>
    <t>Visitar outra UEL e refletir sobre o que é a Fraternidade Escoteira.</t>
  </si>
  <si>
    <t>Participar de uma "feira cultural" com comidas, músicas, danças e vestimentas típicas de diferentes países, envolvendo a matilha e as famílias ou responsáveis.</t>
  </si>
  <si>
    <t>Criar com sua alcateia um mural sobre as religiões do mundo, expressando artisticamente as principais características (símbolos, datas comemorativas etc).</t>
  </si>
  <si>
    <t>Conhecer uma festa ou celebração de uma religião diferente da sua e apresentar para sua alcateia.</t>
  </si>
  <si>
    <t>Apresentar com a alcateia, em uma Flor Vermelha, um esquete sobre a cultura de outro país.</t>
  </si>
  <si>
    <t>Registrar no calendário as celebrações religiosas e as festividades das crenças ou religiões dos membros da alcateia.</t>
  </si>
  <si>
    <t>Conquistar Especialidade: História Mundial</t>
  </si>
  <si>
    <t>Conquistar Especialidade: Línguas</t>
  </si>
  <si>
    <t>Conquistar ao menos uma das seguintes insígnias:
Insígnia da Lusofonia, Insígnia do Cone-Sul, Diálogos pela Paz.</t>
  </si>
  <si>
    <t>Procuro agir sempre de acordo com os valores da minha Promessa de Lobinho, sendo amigo, leal e prestativo com todos ao meu redor.</t>
  </si>
  <si>
    <t>Ouvir a história "Tigre Tigre" e comparar a conduta de Mowgli com a sua Promessa de Lobinho.</t>
  </si>
  <si>
    <t>Contar a um Velho Lobo sobre três boas ações que praticou.</t>
  </si>
  <si>
    <t>Explicar o significado da Lei e da Promessa do Lobinho a um novo lobinho ou lobinha na alcateia.</t>
  </si>
  <si>
    <t>Ensinar aos novos membros da alcateia o aperto de mão e a Saudação do Lobinho.</t>
  </si>
  <si>
    <t>Participar com a alcateia de jogos distintos, respeitando as suas regras e agindo com cordialidade.</t>
  </si>
  <si>
    <t>Escrever ou desenhar uma história sobre uma situação em que agiu conforme os ensinamentos da Lei e da Promessa do Lobinho.</t>
  </si>
  <si>
    <t>Saber quem é Baloo e o motivo dele ensinar a viver de acordo com a Lei da Jângal.</t>
  </si>
  <si>
    <t>Discutir com um Velho Lobo as principais regras dos locais onde convive, compreendendo a importância do respeito.</t>
  </si>
  <si>
    <t>Conquistar Especialidade: Fogo de Conselho</t>
  </si>
  <si>
    <t>Conquistar a seguinte especialidade:
Escotismo Mundial.</t>
  </si>
  <si>
    <t>Conheço meu corpo, respeito as diferenças entre as pessoas e pratico atividades que me ajudam a ficar mais ágil, forte e flexível. Também aprendo técnicas simples de primeiros socorros para ajudar quando alguém precisa.</t>
  </si>
  <si>
    <t>Saber realizar os primeiros socorros em cortes, queimaduras e outros pequenos ferimentos.</t>
  </si>
  <si>
    <t>Saber utilizar ataduras e tipoias.</t>
  </si>
  <si>
    <t>Saber usar um termômetro.</t>
  </si>
  <si>
    <t>Cuidar de sua segurança e dos demais nas atividades da alcateia, seguindo as orientações dos Velhos Lobos.</t>
  </si>
  <si>
    <t>Em atividades da alcateia, mostrar que conhece os limites do próprio corpo e dos demais, respeitando a privacidade de cada um.</t>
  </si>
  <si>
    <t>Participar de atividades voltadas à prevenção das doenças mais comuns na infância (viroses, febre, gripe, dengue, catapora, caxumba, sarampo etc.), identificando seus sintomas e aprendendo formas de prevenção.</t>
  </si>
  <si>
    <t>Proteger-se do calor e do frio nas atividades da alcateia, utilizando boné, protetor solar, blusas para o frio, beber água e respeitar os limites do seu corpo.</t>
  </si>
  <si>
    <t>Realizar atividades físicas desafiadoras como passar por uma falsa baiana, subir em uma árvore, dar cambalhota ou fazer estrela.</t>
  </si>
  <si>
    <t>Durante o Jogo do Kim, acertar a maioria dos objetos usando visão, audição, tato, olfato ou paladar.</t>
  </si>
  <si>
    <t>Conhecer e saber utilizar os recursos da caixa de primeiros socorros da alcateia.</t>
  </si>
  <si>
    <t>Fazer um checklist de segurança para a próxima atividade ao ar livre (hidratação, protetor, boné, calçado).</t>
  </si>
  <si>
    <t>Simular como pedir ajuda: quem chamar, o que dizer, onde estamos e como manter a calma.</t>
  </si>
  <si>
    <t>Conquistar Especialidade: Babá</t>
  </si>
  <si>
    <t>Conquistar Especialidade: Cuidados com Idosos</t>
  </si>
  <si>
    <t>Conquistar Especialidade: Vigilância Epidemiológica</t>
  </si>
  <si>
    <t>Conquistar Especialidade: Salvamento</t>
  </si>
  <si>
    <t>Conquistar Especialidade: Segurança</t>
  </si>
  <si>
    <t>Conquistar ao menos uma das seguintes especialidades:
Anatomia Humana, Prevenção em Saúde, Primeiros Socorros</t>
  </si>
  <si>
    <t>Descubro e respeito as diferentes crenças espirituais da minha comunidade, demonstrando a minha fé com respeito e bondade em casa e entre meus amigos.</t>
  </si>
  <si>
    <t>Realizar orações de agradecimento ou momento de reflexão nas atividades da alcateia.</t>
  </si>
  <si>
    <t>Representar artisticamente um símbolo de sua religião e explicá-lo à alcateia.</t>
  </si>
  <si>
    <t>Participar das celebrações e compromissos com sua crença ou religião regularmente.</t>
  </si>
  <si>
    <t>Durante um momento de reflexão, fazer a leitura de um texto de sua crença ou religião.</t>
  </si>
  <si>
    <t>Participar de uma atividade que expressa gratidão sobre coisas da vida e da natureza.</t>
  </si>
  <si>
    <t>Criar uma mandala com elementos da natureza, representando a união e harmonia, e explicar a importância de cada elemento.</t>
  </si>
  <si>
    <t>Conquistar a seguinte especialidade ou insígnia:
Especialidades
Yoga
Insígnias
Diálogo inter-religioso</t>
  </si>
  <si>
    <t>Cuido de mim praticando atividades físicas, tendo uma alimentação saudável e mantendo minha higiene e a do lugar onde estou sempre em dia.</t>
  </si>
  <si>
    <t>Auxiliar na preparação de uma refeição saudável em um acampamento ou acantonamento da alcateia e experimentá-la.</t>
  </si>
  <si>
    <t>Preparar um lanche saudável para uma caçada, contendo pelo menos três tipos de legumes e dois tipos de frutas.</t>
  </si>
  <si>
    <t>Participar de pelo menos uma caminhada ao ar livre com a alcateia (entre 2 e 3 km) registrando três observações sobre o local durante o percurso.</t>
  </si>
  <si>
    <t>Saber remar em bote ou canoa, demonstrando embarque e desembarque.</t>
  </si>
  <si>
    <t>Utilizar o vestuário ou uniforme de lobinho adequadamente, demonstrando aplicação correta dos distintivos.</t>
  </si>
  <si>
    <t>Participar de atividades que demonstrem a importância de uma boa alimentação para a saúde, consumindo alimentos variados e cuidando da higiene.</t>
  </si>
  <si>
    <t>Escolher um esporte, aprender sobre ele e praticá-lo. Contar para a alcateia sobre o esporte que você pratica, suas características e regras.</t>
  </si>
  <si>
    <t>Cuidar da limpeza do corpo, manter uma boa rotina de sono, alimentação e brincadeiras e dedicar um tempo adequado aos estudos.</t>
  </si>
  <si>
    <t>Manter seu quarto e pertences em ordem.</t>
  </si>
  <si>
    <t>Fazer refeições saudáveis nos horários estabelecidos por sua família.</t>
  </si>
  <si>
    <t>Conhecer Bagheera e entender como ela ensina a viver de forma saudável.</t>
  </si>
  <si>
    <t>Preparar um espetinho com pelo menos quatro legumes diferentes e assá-lo em uma fogueira para seu consumo.</t>
  </si>
  <si>
    <t>Conquistar Especialidade: Artes Marciais</t>
  </si>
  <si>
    <t>Conquistar Especialidade: Canoagem</t>
  </si>
  <si>
    <t>Conquistar Especialidade: Ciclismo</t>
  </si>
  <si>
    <t>Conquistar Especialidade: Corrida de Rua</t>
  </si>
  <si>
    <t>Conquistar Especialidade: Culinária Vegetariana</t>
  </si>
  <si>
    <t>Conquistar Especialidade: Cuidados Bucais</t>
  </si>
  <si>
    <t>Conquistar Especialidade: Dança</t>
  </si>
  <si>
    <t>Conquistar Especialidade: Desportos Inclusivos</t>
  </si>
  <si>
    <t>Conquistar Especialidade: Esportes de Quadra</t>
  </si>
  <si>
    <t>Conquistar Especialidade: Futebol</t>
  </si>
  <si>
    <t>Conquistar Especialidade: Ginásticas</t>
  </si>
  <si>
    <t>Conquistar Especialidade: Hipismo</t>
  </si>
  <si>
    <t>Conquistar Especialidade: Mergulho</t>
  </si>
  <si>
    <t>Conquistar Especialidade: Natação</t>
  </si>
  <si>
    <t>Conquistar Especialidade: Patinação</t>
  </si>
  <si>
    <t>Conquistar Especialidade: Plantas Medicinais</t>
  </si>
  <si>
    <t>Conquistar Especialidade: Remo</t>
  </si>
  <si>
    <t>Conquistar Especialidade: Skateboard</t>
  </si>
  <si>
    <t>Conquistar Especialidade: Slackline</t>
  </si>
  <si>
    <t>Conquistar Especialidade: Técnicas Verticais</t>
  </si>
  <si>
    <t>Conquistar Especialidade: Tênis</t>
  </si>
  <si>
    <t>Conquistar Especialidade: Tênis de Mesa</t>
  </si>
  <si>
    <t>Conquistar Especialidade: Tiro com Arco</t>
  </si>
  <si>
    <t>Conquistar Especialidade: Triatlo</t>
  </si>
  <si>
    <t>Conquistar Especialidade: Vela</t>
  </si>
  <si>
    <t>Conquistar Especialidade: Yoga</t>
  </si>
  <si>
    <t>Conquistar ao menos uma das seguintes especialidades:
Noções Desportivas, Nutrição</t>
  </si>
  <si>
    <t>Adoto hábitos que me ajudam a ficar bem, tirando momentos para relaxar, me divertir e cuidar do meu bem-estar e do bem-estar das pessoas ao meu redor.</t>
  </si>
  <si>
    <t>Representar de maneira artística, com a sua alcateia, quais emoções está sentindo e que coisas te deixam feliz.</t>
  </si>
  <si>
    <t>Ajudar um amigo com alguma dificuldade e relatar a experiência a um Velho Lobo.</t>
  </si>
  <si>
    <t>Elogiar os lobinhos da alcateia e agradecer pela ajuda recebida.</t>
  </si>
  <si>
    <t>Saber a quem pedir ajuda quando sentir que algo está incomodando.</t>
  </si>
  <si>
    <t>Propor momentos divertidos e de relaxamento com a sua família, como ir ao parque, praticar esportes, ler um livro, montar um quebra-cabeça etc. e relatar para os Velhos Lobos como foi essa experiência.</t>
  </si>
  <si>
    <t>Identificar suas atividades favoritas e separar um tempo para praticá-las.</t>
  </si>
  <si>
    <t>Praticar uma atividade que te faça sentir feliz e relaxado, encaixando na sua rotina e vendo quanto tempo gasta em suas atividades diárias.</t>
  </si>
  <si>
    <t>Conquistar Especialidade: Canto</t>
  </si>
  <si>
    <t>Conquistar Especialidade: Coleções</t>
  </si>
  <si>
    <t>Conquistar Especialidade: Cubo Mágico</t>
  </si>
  <si>
    <t>Conquistar Especialidade: Expressão Musical</t>
  </si>
  <si>
    <t>Conquistar Especialidade: Ioiô</t>
  </si>
  <si>
    <t>Conquistar Especialidade: Jogos de Cartas Colecionáveis</t>
  </si>
  <si>
    <t>Conquistar Especialidade: Jogos de Tabuleiro</t>
  </si>
  <si>
    <t>Conquistar Especialidade: Mágica e Ilusionismo</t>
  </si>
  <si>
    <t>Conquistar Especialidade: Pipas</t>
  </si>
  <si>
    <t>Conquistar Especialidade: Plastimodelismo</t>
  </si>
  <si>
    <t>Conquistar Especialidade: Quebra-Cabeças</t>
  </si>
  <si>
    <t>Conquistar Especialidade: RPG</t>
  </si>
  <si>
    <t>Conquistar Especialidade: Xadrez</t>
  </si>
  <si>
    <t>Conquistar a seguinte especialidade:
Prevenção aos Vícios</t>
  </si>
  <si>
    <t>Faço novas amizades, fortaleço meus laços com os amigos e procuro me relacionar de um jeito saudável e positivo com todos.</t>
  </si>
  <si>
    <t>Participar com entusiasmo das atividades da alcateia, brincando, conversando e respeitando os lobinhos e os Velhos Lobos.</t>
  </si>
  <si>
    <t>Cumprimentar membros do grupo com a Saudação do Lobinho e o aperto de mão.</t>
  </si>
  <si>
    <t>Conhecer a história "Como apareceu o medo"</t>
  </si>
  <si>
    <t>Com sua alcateia, ir ao cinema ou teatro, se divertir com outros lobinhos e os Velhos Lobos.</t>
  </si>
  <si>
    <t>Participar de uma atividade sobre bullying e formas para evitar essa prática.</t>
  </si>
  <si>
    <t>Convidar um amigo ou parente para conhecer e participar de uma atividade da alcateia.</t>
  </si>
  <si>
    <t>Participar de uma atividade da alcateia que conte com a presença das famílias.</t>
  </si>
  <si>
    <t>Participar de um jogo ou atividade de expressão de sentimentos.</t>
  </si>
  <si>
    <t>Acolher os novos lobinhos e ajudá-los a se integrar na alcateia.</t>
  </si>
  <si>
    <t>Conhecer as seções do seu grupo escoteiro e participar de uma atividade com outra seção.</t>
  </si>
  <si>
    <t>Participar de uma atividade entre diferentes Unidades Escoteiras ou atividade regional do Ramo Lobinho.</t>
  </si>
  <si>
    <t>Participar de uma atividade com outra alcateia.</t>
  </si>
  <si>
    <t>Manter contato com amigos da alcateia, além da atividade semanal.</t>
  </si>
  <si>
    <t>Conquistar a seguinte especialidade:
Prevenção ao Bullying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</si>
</sst>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d/mm/yyyy"/>
    <numFmt numFmtId="166" formatCode="d/m/yyyy"/>
  </numFmts>
  <fonts count="8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  <font/>
    <font>
      <b/>
      <sz val="14.0"/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14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0" fillId="5" fontId="2" numFmtId="0" xfId="0" applyAlignment="1" applyFill="1" applyFon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6" fontId="1" numFmtId="1" xfId="0" applyAlignment="1" applyFont="1" applyNumberFormat="1">
      <alignment horizontal="center" vertical="center"/>
    </xf>
    <xf borderId="0" fillId="6" fontId="1" numFmtId="164" xfId="0" applyAlignment="1" applyFont="1" applyNumberFormat="1">
      <alignment horizontal="center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6" fontId="1" numFmtId="1" xfId="0" applyAlignment="1" applyFont="1" applyNumberFormat="1">
      <alignment horizontal="center" readingOrder="0" shrinkToFit="0" vertical="center" wrapText="1"/>
    </xf>
    <xf borderId="0" fillId="6" fontId="1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0" fillId="2" fontId="1" numFmtId="9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0" fillId="3" fontId="1" numFmtId="9" xfId="0" applyAlignment="1" applyFont="1" applyNumberFormat="1">
      <alignment horizontal="center" vertical="center"/>
    </xf>
    <xf borderId="0" fillId="3" fontId="1" numFmtId="0" xfId="0" applyAlignment="1" applyFont="1">
      <alignment horizontal="center" vertical="center"/>
    </xf>
    <xf borderId="0" fillId="4" fontId="1" numFmtId="9" xfId="0" applyAlignment="1" applyFont="1" applyNumberFormat="1">
      <alignment horizontal="center" vertical="center"/>
    </xf>
    <xf borderId="0" fillId="4" fontId="1" numFmtId="0" xfId="0" applyAlignment="1" applyFont="1">
      <alignment horizontal="center" vertical="center"/>
    </xf>
    <xf borderId="0" fillId="5" fontId="1" numFmtId="9" xfId="0" applyAlignment="1" applyFont="1" applyNumberForma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6" fontId="1" numFmtId="9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1" fillId="0" fontId="4" numFmtId="0" xfId="0" applyAlignment="1" applyBorder="1" applyFont="1">
      <alignment horizontal="right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3" fillId="0" fontId="1" numFmtId="0" xfId="0" applyAlignment="1" applyBorder="1" applyFont="1">
      <alignment horizontal="right" readingOrder="0" shrinkToFit="0" vertical="center" wrapText="1"/>
    </xf>
    <xf borderId="4" fillId="0" fontId="6" numFmtId="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5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7" fillId="2" fontId="7" numFmtId="0" xfId="0" applyAlignment="1" applyBorder="1" applyFont="1">
      <alignment shrinkToFit="0" vertical="center" wrapText="1"/>
    </xf>
    <xf borderId="8" fillId="2" fontId="7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2" fontId="1" numFmtId="9" xfId="0" applyAlignment="1" applyBorder="1" applyFont="1" applyNumberFormat="1">
      <alignment horizontal="center" shrinkToFit="0" vertical="center" wrapText="1"/>
    </xf>
    <xf borderId="7" fillId="3" fontId="7" numFmtId="0" xfId="0" applyAlignment="1" applyBorder="1" applyFont="1">
      <alignment shrinkToFit="0" vertical="center" wrapText="1"/>
    </xf>
    <xf borderId="8" fillId="3" fontId="7" numFmtId="0" xfId="0" applyAlignment="1" applyBorder="1" applyFont="1">
      <alignment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9" fillId="3" fontId="1" numFmtId="9" xfId="0" applyAlignment="1" applyBorder="1" applyFont="1" applyNumberFormat="1">
      <alignment horizontal="center" shrinkToFit="0" vertical="center" wrapText="1"/>
    </xf>
    <xf borderId="7" fillId="4" fontId="7" numFmtId="0" xfId="0" applyAlignment="1" applyBorder="1" applyFont="1">
      <alignment shrinkToFit="0" vertical="center" wrapText="1"/>
    </xf>
    <xf borderId="8" fillId="4" fontId="7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9" xfId="0" applyAlignment="1" applyBorder="1" applyFont="1" applyNumberFormat="1">
      <alignment horizontal="center" shrinkToFit="0" vertical="center" wrapText="1"/>
    </xf>
    <xf borderId="7" fillId="5" fontId="7" numFmtId="0" xfId="0" applyAlignment="1" applyBorder="1" applyFont="1">
      <alignment shrinkToFit="0" vertical="center" wrapText="1"/>
    </xf>
    <xf borderId="8" fillId="5" fontId="7" numFmtId="0" xfId="0" applyAlignment="1" applyBorder="1" applyFont="1">
      <alignment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9" fillId="5" fontId="1" numFmtId="9" xfId="0" applyAlignment="1" applyBorder="1" applyFont="1" applyNumberFormat="1">
      <alignment horizontal="center" shrinkToFit="0" vertical="center" wrapText="1"/>
    </xf>
    <xf borderId="10" fillId="5" fontId="7" numFmtId="0" xfId="0" applyAlignment="1" applyBorder="1" applyFont="1">
      <alignment shrinkToFit="0" vertical="center" wrapText="1"/>
    </xf>
    <xf borderId="11" fillId="5" fontId="7" numFmtId="0" xfId="0" applyAlignment="1" applyBorder="1" applyFont="1">
      <alignment shrinkToFit="0" vertical="center" wrapText="1"/>
    </xf>
    <xf borderId="10" fillId="5" fontId="1" numFmtId="0" xfId="0" applyAlignment="1" applyBorder="1" applyFont="1">
      <alignment horizontal="center" shrinkToFit="0" vertical="center" wrapText="1"/>
    </xf>
    <xf borderId="12" fillId="5" fontId="1" numFmtId="0" xfId="0" applyAlignment="1" applyBorder="1" applyFont="1">
      <alignment horizontal="center" shrinkToFit="0" vertical="center" wrapText="1"/>
    </xf>
    <xf borderId="12" fillId="5" fontId="1" numFmtId="0" xfId="0" applyAlignment="1" applyBorder="1" applyFont="1">
      <alignment horizontal="center" readingOrder="0" shrinkToFit="0" vertical="center" wrapText="1"/>
    </xf>
    <xf borderId="13" fillId="5" fontId="1" numFmtId="0" xfId="0" applyAlignment="1" applyBorder="1" applyFont="1">
      <alignment horizontal="center" shrinkToFit="0" vertical="center" wrapText="1"/>
    </xf>
    <xf borderId="13" fillId="5" fontId="1" numFmtId="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5.14"/>
    <col customWidth="1" min="3" max="3" width="10.57"/>
    <col customWidth="1" min="4" max="4" width="10.86"/>
    <col customWidth="1" min="5" max="5" width="12.14"/>
    <col customWidth="1" min="6" max="7" width="9.0"/>
    <col customWidth="1" min="8" max="8" width="12.43"/>
    <col customWidth="1" min="9" max="9" width="12.86"/>
    <col customWidth="1" min="10" max="10" width="11.29"/>
    <col customWidth="1" min="11" max="11" width="12.29"/>
    <col customWidth="1" min="12" max="12" width="10.71"/>
    <col customWidth="1" min="13" max="14" width="6.86"/>
    <col customWidth="1" min="15" max="15" width="6.29"/>
    <col customWidth="1" min="16" max="16" width="13.86"/>
    <col customWidth="1" min="17" max="17" width="10.0"/>
    <col customWidth="1" min="18" max="18" width="13.57"/>
    <col customWidth="1" min="19" max="19" width="10.0"/>
    <col customWidth="1" min="20" max="20" width="7.0"/>
    <col customWidth="1" min="21" max="21" width="6.43"/>
    <col customWidth="1" min="22" max="22" width="6.29"/>
    <col customWidth="1" min="23" max="23" width="13.14"/>
    <col customWidth="1" min="24" max="24" width="11.29"/>
    <col customWidth="1" min="25" max="25" width="8.29"/>
    <col customWidth="1" min="26" max="26" width="9.86"/>
    <col customWidth="1" min="27" max="27" width="7.43"/>
    <col customWidth="1" min="28" max="28" width="7.0"/>
    <col customWidth="1" min="29" max="29" width="6.71"/>
    <col customWidth="1" min="30" max="30" width="6.29"/>
    <col customWidth="1" min="31" max="31" width="9.71"/>
    <col customWidth="1" min="32" max="32" width="13.57"/>
    <col customWidth="1" min="33" max="33" width="10.0"/>
    <col customWidth="1" min="34" max="34" width="8.14"/>
    <col customWidth="1" min="35" max="35" width="10.0"/>
    <col customWidth="1" min="36" max="36" width="7.0"/>
    <col customWidth="1" min="37" max="37" width="6.43"/>
    <col customWidth="1" min="38" max="38" width="6.29"/>
    <col customWidth="1" min="39" max="39" width="7.0"/>
    <col customWidth="1" min="40" max="40" width="7.57"/>
    <col customWidth="1" min="41" max="41" width="6.43"/>
    <col customWidth="1" min="42" max="42" width="5.0"/>
  </cols>
  <sheetData>
    <row r="1">
      <c r="A1" s="1"/>
      <c r="B1" s="1"/>
      <c r="C1" s="1"/>
      <c r="D1" s="1"/>
      <c r="E1" s="2"/>
      <c r="F1" s="2"/>
      <c r="G1" s="2"/>
      <c r="H1" s="3"/>
      <c r="I1" s="4" t="s">
        <v>0</v>
      </c>
      <c r="P1" s="5" t="s">
        <v>1</v>
      </c>
      <c r="W1" s="6" t="s">
        <v>2</v>
      </c>
      <c r="AE1" s="7" t="s">
        <v>3</v>
      </c>
      <c r="AM1" s="8"/>
      <c r="AN1" s="8"/>
      <c r="AO1" s="9"/>
      <c r="AP1" s="10"/>
    </row>
    <row r="2">
      <c r="A2" s="11" t="s">
        <v>4</v>
      </c>
      <c r="B2" s="11" t="s">
        <v>5</v>
      </c>
      <c r="C2" s="11" t="s">
        <v>6</v>
      </c>
      <c r="D2" s="11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3" t="s">
        <v>12</v>
      </c>
      <c r="J2" s="14" t="s">
        <v>13</v>
      </c>
      <c r="K2" s="14" t="s">
        <v>14</v>
      </c>
      <c r="L2" s="14" t="s">
        <v>15</v>
      </c>
      <c r="M2" s="13" t="s">
        <v>16</v>
      </c>
      <c r="N2" s="13" t="s">
        <v>17</v>
      </c>
      <c r="O2" s="13" t="s">
        <v>18</v>
      </c>
      <c r="P2" s="15" t="s">
        <v>19</v>
      </c>
      <c r="Q2" s="15" t="s">
        <v>20</v>
      </c>
      <c r="R2" s="15" t="s">
        <v>21</v>
      </c>
      <c r="S2" s="15" t="s">
        <v>22</v>
      </c>
      <c r="T2" s="16" t="s">
        <v>16</v>
      </c>
      <c r="U2" s="16" t="s">
        <v>17</v>
      </c>
      <c r="V2" s="16" t="s">
        <v>18</v>
      </c>
      <c r="W2" s="17" t="s">
        <v>23</v>
      </c>
      <c r="X2" s="17" t="s">
        <v>24</v>
      </c>
      <c r="Y2" s="17" t="s">
        <v>25</v>
      </c>
      <c r="Z2" s="17" t="s">
        <v>26</v>
      </c>
      <c r="AA2" s="17" t="s">
        <v>27</v>
      </c>
      <c r="AB2" s="18" t="s">
        <v>16</v>
      </c>
      <c r="AC2" s="18" t="s">
        <v>17</v>
      </c>
      <c r="AD2" s="18" t="s">
        <v>18</v>
      </c>
      <c r="AE2" s="19" t="s">
        <v>28</v>
      </c>
      <c r="AF2" s="19" t="s">
        <v>29</v>
      </c>
      <c r="AG2" s="19" t="s">
        <v>30</v>
      </c>
      <c r="AH2" s="19" t="s">
        <v>31</v>
      </c>
      <c r="AI2" s="19" t="s">
        <v>32</v>
      </c>
      <c r="AJ2" s="20" t="s">
        <v>16</v>
      </c>
      <c r="AK2" s="20" t="s">
        <v>17</v>
      </c>
      <c r="AL2" s="20" t="s">
        <v>18</v>
      </c>
      <c r="AM2" s="21" t="s">
        <v>16</v>
      </c>
      <c r="AN2" s="21" t="s">
        <v>33</v>
      </c>
      <c r="AO2" s="22" t="s">
        <v>34</v>
      </c>
      <c r="AP2" s="23" t="s">
        <v>35</v>
      </c>
    </row>
    <row r="3">
      <c r="A3" s="1" t="s">
        <v>36</v>
      </c>
      <c r="B3" s="1" t="s">
        <v>37</v>
      </c>
      <c r="C3" s="1" t="s">
        <v>38</v>
      </c>
      <c r="D3" s="1" t="s">
        <v>39</v>
      </c>
      <c r="E3" s="24">
        <v>43471.0</v>
      </c>
      <c r="F3" s="10">
        <f t="shared" ref="F3:F14" si="1">DATEDIF(E3,TODAY(),"M")/12</f>
        <v>7.083333333</v>
      </c>
      <c r="G3" s="25" t="str">
        <f t="shared" ref="G3:G14" si="2">datedif(E3,today(),"Y")&amp;" a "&amp;datedif(E3,today(),"YM")&amp;" m"</f>
        <v>7 a 1 m</v>
      </c>
      <c r="H3" s="26">
        <f t="shared" ref="H3:H14" si="3">AO3-AM3</f>
        <v>15.3125</v>
      </c>
      <c r="I3" s="27">
        <f t="shared" ref="I3:I14" si="4">INDIRECT("'"&amp;A3&amp;"'!$L$4")</f>
        <v>0</v>
      </c>
      <c r="J3" s="27">
        <f t="shared" ref="J3:J14" si="5">INDIRECT("'"&amp;A3&amp;"'!$L$5")</f>
        <v>0</v>
      </c>
      <c r="K3" s="27">
        <f t="shared" ref="K3:K14" si="6">INDIRECT("'"&amp;A3&amp;"'!$L$6")</f>
        <v>0</v>
      </c>
      <c r="L3" s="27">
        <f t="shared" ref="L3:L14" si="7">INDIRECT("'"&amp;A3&amp;"'!$L$7")</f>
        <v>0</v>
      </c>
      <c r="M3" s="28">
        <f t="shared" ref="M3:M14" si="8">sum(INDIRECT("'"&amp;A3&amp;"'!$K$4:$K$7"))</f>
        <v>0</v>
      </c>
      <c r="N3" s="28">
        <f t="shared" ref="N3:N14" si="9">sum(INDIRECT("'"&amp;A3&amp;"'!$G$4:$G$7"))</f>
        <v>20</v>
      </c>
      <c r="O3" s="27">
        <f t="shared" ref="O3:O14" si="10">average(I3:L3)</f>
        <v>0</v>
      </c>
      <c r="P3" s="29">
        <f t="shared" ref="P3:P14" si="11">INDIRECT("'"&amp;A3&amp;"'!$L$8")</f>
        <v>0</v>
      </c>
      <c r="Q3" s="29">
        <f t="shared" ref="Q3:Q14" si="12">INDIRECT("'"&amp;A3&amp;"'!$L$9")</f>
        <v>0</v>
      </c>
      <c r="R3" s="29">
        <f t="shared" ref="R3:R14" si="13">INDIRECT("'"&amp;A3&amp;"'!$L$10")</f>
        <v>0</v>
      </c>
      <c r="S3" s="29">
        <f t="shared" ref="S3:S14" si="14">INDIRECT("'"&amp;A3&amp;"'!$L$11")</f>
        <v>0</v>
      </c>
      <c r="T3" s="30">
        <f t="shared" ref="T3:T14" si="15">sum(INDIRECT("'"&amp;A3&amp;"'!$K$8:$K$11"))</f>
        <v>0</v>
      </c>
      <c r="U3" s="30">
        <f t="shared" ref="U3:U14" si="16">sum(INDIRECT("'"&amp;A3&amp;"'!$G$8:$G$11"))</f>
        <v>26</v>
      </c>
      <c r="V3" s="29">
        <f t="shared" ref="V3:V14" si="17">average(P3:S3)</f>
        <v>0</v>
      </c>
      <c r="W3" s="31">
        <f t="shared" ref="W3:W14" si="18">INDIRECT("'"&amp;A3&amp;"'!$L$12")</f>
        <v>0</v>
      </c>
      <c r="X3" s="31">
        <f t="shared" ref="X3:X14" si="19">INDIRECT("'"&amp;A3&amp;"'!$L$13")</f>
        <v>0</v>
      </c>
      <c r="Y3" s="31">
        <f t="shared" ref="Y3:Y14" si="20">INDIRECT("'"&amp;A3&amp;"'!$L$14")</f>
        <v>0</v>
      </c>
      <c r="Z3" s="31">
        <f t="shared" ref="Z3:Z14" si="21">INDIRECT("'"&amp;A3&amp;"'!$L$15")</f>
        <v>0</v>
      </c>
      <c r="AA3" s="31">
        <f t="shared" ref="AA3:AA14" si="22">INDIRECT("'"&amp;A3&amp;"'!$L$16")</f>
        <v>0</v>
      </c>
      <c r="AB3" s="32">
        <f t="shared" ref="AB3:AB14" si="23">sum(INDIRECT("'"&amp;A3&amp;"'!$K$12:$K$16"))</f>
        <v>0</v>
      </c>
      <c r="AC3" s="32">
        <f t="shared" ref="AC3:AC14" si="24">sum(INDIRECT("'"&amp;A3&amp;"'!$G$12:$G$16"))</f>
        <v>28</v>
      </c>
      <c r="AD3" s="31">
        <f t="shared" ref="AD3:AD14" si="25">average(W3:AA3)</f>
        <v>0</v>
      </c>
      <c r="AE3" s="33">
        <f t="shared" ref="AE3:AE14" si="26">INDIRECT("'"&amp;A3&amp;"'!$L$17")</f>
        <v>0</v>
      </c>
      <c r="AF3" s="33">
        <f t="shared" ref="AF3:AF14" si="27">INDIRECT("'"&amp;A3&amp;"'!$L$18")</f>
        <v>0</v>
      </c>
      <c r="AG3" s="33">
        <f t="shared" ref="AG3:AG14" si="28">INDIRECT("'"&amp;A3&amp;"'!$L$19")</f>
        <v>0</v>
      </c>
      <c r="AH3" s="33">
        <f t="shared" ref="AH3:AH14" si="29">INDIRECT("'"&amp;A3&amp;"'!$L$20")</f>
        <v>0</v>
      </c>
      <c r="AI3" s="33">
        <f t="shared" ref="AI3:AI14" si="30">INDIRECT("'"&amp;A3&amp;"'!$L$21")</f>
        <v>0</v>
      </c>
      <c r="AJ3" s="34">
        <f t="shared" ref="AJ3:AJ14" si="31">sum(INDIRECT("'"&amp;A3&amp;"'!$K$17:$K$21"))</f>
        <v>0</v>
      </c>
      <c r="AK3" s="34">
        <f t="shared" ref="AK3:AK14" si="32">sum(INDIRECT("'"&amp;A3&amp;"'!$G$17:$G$21"))</f>
        <v>31</v>
      </c>
      <c r="AL3" s="33">
        <f t="shared" ref="AL3:AL14" si="33">average(AE3:AI3)</f>
        <v>0</v>
      </c>
      <c r="AM3" s="35">
        <f t="shared" ref="AM3:AM14" si="34">M3+T3+AB3+AJ3</f>
        <v>0</v>
      </c>
      <c r="AN3" s="35">
        <f t="shared" ref="AN3:AN14" si="35">AM3/(N3+U3+AC3+AK3)</f>
        <v>0</v>
      </c>
      <c r="AO3" s="9">
        <f t="shared" ref="AO3:AO14" si="36">(N3+U3+AC3+AK3)*AP3</f>
        <v>15.3125</v>
      </c>
      <c r="AP3" s="36">
        <f t="shared" ref="AP3:AP14" si="37">(F3-6.5)/4</f>
        <v>0.1458333333</v>
      </c>
    </row>
    <row r="4">
      <c r="A4" s="1" t="s">
        <v>40</v>
      </c>
      <c r="B4" s="1" t="s">
        <v>37</v>
      </c>
      <c r="C4" s="1" t="s">
        <v>41</v>
      </c>
      <c r="D4" s="1" t="s">
        <v>39</v>
      </c>
      <c r="E4" s="24">
        <v>43471.0</v>
      </c>
      <c r="F4" s="10">
        <f t="shared" si="1"/>
        <v>7.083333333</v>
      </c>
      <c r="G4" s="25" t="str">
        <f t="shared" si="2"/>
        <v>7 a 1 m</v>
      </c>
      <c r="H4" s="26">
        <f t="shared" si="3"/>
        <v>15.3125</v>
      </c>
      <c r="I4" s="27">
        <f t="shared" si="4"/>
        <v>0</v>
      </c>
      <c r="J4" s="27">
        <f t="shared" si="5"/>
        <v>0</v>
      </c>
      <c r="K4" s="27">
        <f t="shared" si="6"/>
        <v>0</v>
      </c>
      <c r="L4" s="27">
        <f t="shared" si="7"/>
        <v>0</v>
      </c>
      <c r="M4" s="28">
        <f t="shared" si="8"/>
        <v>0</v>
      </c>
      <c r="N4" s="28">
        <f t="shared" si="9"/>
        <v>20</v>
      </c>
      <c r="O4" s="27">
        <f t="shared" si="10"/>
        <v>0</v>
      </c>
      <c r="P4" s="29">
        <f t="shared" si="11"/>
        <v>0</v>
      </c>
      <c r="Q4" s="29">
        <f t="shared" si="12"/>
        <v>0</v>
      </c>
      <c r="R4" s="29">
        <f t="shared" si="13"/>
        <v>0</v>
      </c>
      <c r="S4" s="29">
        <f t="shared" si="14"/>
        <v>0</v>
      </c>
      <c r="T4" s="30">
        <f t="shared" si="15"/>
        <v>0</v>
      </c>
      <c r="U4" s="30">
        <f t="shared" si="16"/>
        <v>26</v>
      </c>
      <c r="V4" s="29">
        <f t="shared" si="17"/>
        <v>0</v>
      </c>
      <c r="W4" s="31">
        <f t="shared" si="18"/>
        <v>0</v>
      </c>
      <c r="X4" s="31">
        <f t="shared" si="19"/>
        <v>0</v>
      </c>
      <c r="Y4" s="31">
        <f t="shared" si="20"/>
        <v>0</v>
      </c>
      <c r="Z4" s="31">
        <f t="shared" si="21"/>
        <v>0</v>
      </c>
      <c r="AA4" s="31">
        <f t="shared" si="22"/>
        <v>0</v>
      </c>
      <c r="AB4" s="32">
        <f t="shared" si="23"/>
        <v>0</v>
      </c>
      <c r="AC4" s="32">
        <f t="shared" si="24"/>
        <v>28</v>
      </c>
      <c r="AD4" s="31">
        <f t="shared" si="25"/>
        <v>0</v>
      </c>
      <c r="AE4" s="33">
        <f t="shared" si="26"/>
        <v>0</v>
      </c>
      <c r="AF4" s="33">
        <f t="shared" si="27"/>
        <v>0</v>
      </c>
      <c r="AG4" s="33">
        <f t="shared" si="28"/>
        <v>0</v>
      </c>
      <c r="AH4" s="33">
        <f t="shared" si="29"/>
        <v>0</v>
      </c>
      <c r="AI4" s="33">
        <f t="shared" si="30"/>
        <v>0</v>
      </c>
      <c r="AJ4" s="34">
        <f t="shared" si="31"/>
        <v>0</v>
      </c>
      <c r="AK4" s="34">
        <f t="shared" si="32"/>
        <v>31</v>
      </c>
      <c r="AL4" s="33">
        <f t="shared" si="33"/>
        <v>0</v>
      </c>
      <c r="AM4" s="35">
        <f t="shared" si="34"/>
        <v>0</v>
      </c>
      <c r="AN4" s="35">
        <f t="shared" si="35"/>
        <v>0</v>
      </c>
      <c r="AO4" s="9">
        <f t="shared" si="36"/>
        <v>15.3125</v>
      </c>
      <c r="AP4" s="36">
        <f t="shared" si="37"/>
        <v>0.1458333333</v>
      </c>
    </row>
    <row r="5">
      <c r="A5" s="1" t="s">
        <v>42</v>
      </c>
      <c r="B5" s="1" t="s">
        <v>37</v>
      </c>
      <c r="C5" s="1" t="s">
        <v>43</v>
      </c>
      <c r="D5" s="1" t="s">
        <v>39</v>
      </c>
      <c r="E5" s="37">
        <v>43398.0</v>
      </c>
      <c r="F5" s="10">
        <f t="shared" si="1"/>
        <v>7.25</v>
      </c>
      <c r="G5" s="25" t="str">
        <f t="shared" si="2"/>
        <v>7 a 3 m</v>
      </c>
      <c r="H5" s="26">
        <f t="shared" si="3"/>
        <v>19.6875</v>
      </c>
      <c r="I5" s="27">
        <f t="shared" si="4"/>
        <v>0</v>
      </c>
      <c r="J5" s="27">
        <f t="shared" si="5"/>
        <v>0</v>
      </c>
      <c r="K5" s="27">
        <f t="shared" si="6"/>
        <v>0</v>
      </c>
      <c r="L5" s="27">
        <f t="shared" si="7"/>
        <v>0</v>
      </c>
      <c r="M5" s="28">
        <f t="shared" si="8"/>
        <v>0</v>
      </c>
      <c r="N5" s="28">
        <f t="shared" si="9"/>
        <v>20</v>
      </c>
      <c r="O5" s="27">
        <f t="shared" si="10"/>
        <v>0</v>
      </c>
      <c r="P5" s="29">
        <f t="shared" si="11"/>
        <v>0</v>
      </c>
      <c r="Q5" s="29">
        <f t="shared" si="12"/>
        <v>0</v>
      </c>
      <c r="R5" s="29">
        <f t="shared" si="13"/>
        <v>0</v>
      </c>
      <c r="S5" s="29">
        <f t="shared" si="14"/>
        <v>0</v>
      </c>
      <c r="T5" s="30">
        <f t="shared" si="15"/>
        <v>0</v>
      </c>
      <c r="U5" s="30">
        <f t="shared" si="16"/>
        <v>26</v>
      </c>
      <c r="V5" s="29">
        <f t="shared" si="17"/>
        <v>0</v>
      </c>
      <c r="W5" s="31">
        <f t="shared" si="18"/>
        <v>0</v>
      </c>
      <c r="X5" s="31">
        <f t="shared" si="19"/>
        <v>0</v>
      </c>
      <c r="Y5" s="31">
        <f t="shared" si="20"/>
        <v>0</v>
      </c>
      <c r="Z5" s="31">
        <f t="shared" si="21"/>
        <v>0</v>
      </c>
      <c r="AA5" s="31">
        <f t="shared" si="22"/>
        <v>0</v>
      </c>
      <c r="AB5" s="32">
        <f t="shared" si="23"/>
        <v>0</v>
      </c>
      <c r="AC5" s="32">
        <f t="shared" si="24"/>
        <v>28</v>
      </c>
      <c r="AD5" s="31">
        <f t="shared" si="25"/>
        <v>0</v>
      </c>
      <c r="AE5" s="33">
        <f t="shared" si="26"/>
        <v>0</v>
      </c>
      <c r="AF5" s="33">
        <f t="shared" si="27"/>
        <v>0</v>
      </c>
      <c r="AG5" s="33">
        <f t="shared" si="28"/>
        <v>0</v>
      </c>
      <c r="AH5" s="33">
        <f t="shared" si="29"/>
        <v>0</v>
      </c>
      <c r="AI5" s="33">
        <f t="shared" si="30"/>
        <v>0</v>
      </c>
      <c r="AJ5" s="34">
        <f t="shared" si="31"/>
        <v>0</v>
      </c>
      <c r="AK5" s="34">
        <f t="shared" si="32"/>
        <v>31</v>
      </c>
      <c r="AL5" s="33">
        <f t="shared" si="33"/>
        <v>0</v>
      </c>
      <c r="AM5" s="35">
        <f t="shared" si="34"/>
        <v>0</v>
      </c>
      <c r="AN5" s="35">
        <f t="shared" si="35"/>
        <v>0</v>
      </c>
      <c r="AO5" s="9">
        <f t="shared" si="36"/>
        <v>19.6875</v>
      </c>
      <c r="AP5" s="36">
        <f t="shared" si="37"/>
        <v>0.1875</v>
      </c>
    </row>
    <row r="6">
      <c r="A6" s="1" t="s">
        <v>44</v>
      </c>
      <c r="B6" s="1" t="s">
        <v>37</v>
      </c>
      <c r="C6" s="1" t="s">
        <v>38</v>
      </c>
      <c r="D6" s="1" t="s">
        <v>45</v>
      </c>
      <c r="E6" s="24">
        <v>43374.0</v>
      </c>
      <c r="F6" s="10">
        <f t="shared" si="1"/>
        <v>7.333333333</v>
      </c>
      <c r="G6" s="25" t="str">
        <f t="shared" si="2"/>
        <v>7 a 4 m</v>
      </c>
      <c r="H6" s="26">
        <f t="shared" si="3"/>
        <v>21.875</v>
      </c>
      <c r="I6" s="27">
        <f t="shared" si="4"/>
        <v>0</v>
      </c>
      <c r="J6" s="27">
        <f t="shared" si="5"/>
        <v>0</v>
      </c>
      <c r="K6" s="27">
        <f t="shared" si="6"/>
        <v>0</v>
      </c>
      <c r="L6" s="27">
        <f t="shared" si="7"/>
        <v>0</v>
      </c>
      <c r="M6" s="28">
        <f t="shared" si="8"/>
        <v>0</v>
      </c>
      <c r="N6" s="28">
        <f t="shared" si="9"/>
        <v>20</v>
      </c>
      <c r="O6" s="27">
        <f t="shared" si="10"/>
        <v>0</v>
      </c>
      <c r="P6" s="29">
        <f t="shared" si="11"/>
        <v>0</v>
      </c>
      <c r="Q6" s="29">
        <f t="shared" si="12"/>
        <v>0</v>
      </c>
      <c r="R6" s="29">
        <f t="shared" si="13"/>
        <v>0</v>
      </c>
      <c r="S6" s="29">
        <f t="shared" si="14"/>
        <v>0</v>
      </c>
      <c r="T6" s="30">
        <f t="shared" si="15"/>
        <v>0</v>
      </c>
      <c r="U6" s="30">
        <f t="shared" si="16"/>
        <v>26</v>
      </c>
      <c r="V6" s="29">
        <f t="shared" si="17"/>
        <v>0</v>
      </c>
      <c r="W6" s="31">
        <f t="shared" si="18"/>
        <v>0</v>
      </c>
      <c r="X6" s="31">
        <f t="shared" si="19"/>
        <v>0</v>
      </c>
      <c r="Y6" s="31">
        <f t="shared" si="20"/>
        <v>0</v>
      </c>
      <c r="Z6" s="31">
        <f t="shared" si="21"/>
        <v>0</v>
      </c>
      <c r="AA6" s="31">
        <f t="shared" si="22"/>
        <v>0</v>
      </c>
      <c r="AB6" s="32">
        <f t="shared" si="23"/>
        <v>0</v>
      </c>
      <c r="AC6" s="32">
        <f t="shared" si="24"/>
        <v>28</v>
      </c>
      <c r="AD6" s="31">
        <f t="shared" si="25"/>
        <v>0</v>
      </c>
      <c r="AE6" s="33">
        <f t="shared" si="26"/>
        <v>0</v>
      </c>
      <c r="AF6" s="33">
        <f t="shared" si="27"/>
        <v>0</v>
      </c>
      <c r="AG6" s="33">
        <f t="shared" si="28"/>
        <v>0</v>
      </c>
      <c r="AH6" s="33">
        <f t="shared" si="29"/>
        <v>0</v>
      </c>
      <c r="AI6" s="33">
        <f t="shared" si="30"/>
        <v>0</v>
      </c>
      <c r="AJ6" s="34">
        <f t="shared" si="31"/>
        <v>0</v>
      </c>
      <c r="AK6" s="34">
        <f t="shared" si="32"/>
        <v>31</v>
      </c>
      <c r="AL6" s="33">
        <f t="shared" si="33"/>
        <v>0</v>
      </c>
      <c r="AM6" s="35">
        <f t="shared" si="34"/>
        <v>0</v>
      </c>
      <c r="AN6" s="35">
        <f t="shared" si="35"/>
        <v>0</v>
      </c>
      <c r="AO6" s="9">
        <f t="shared" si="36"/>
        <v>21.875</v>
      </c>
      <c r="AP6" s="36">
        <f t="shared" si="37"/>
        <v>0.2083333333</v>
      </c>
    </row>
    <row r="7">
      <c r="A7" s="1" t="s">
        <v>46</v>
      </c>
      <c r="B7" s="1" t="s">
        <v>37</v>
      </c>
      <c r="C7" s="1" t="s">
        <v>41</v>
      </c>
      <c r="D7" s="1" t="s">
        <v>45</v>
      </c>
      <c r="E7" s="24">
        <v>43351.0</v>
      </c>
      <c r="F7" s="10">
        <f t="shared" si="1"/>
        <v>7.416666667</v>
      </c>
      <c r="G7" s="25" t="str">
        <f t="shared" si="2"/>
        <v>7 a 5 m</v>
      </c>
      <c r="H7" s="26">
        <f t="shared" si="3"/>
        <v>24.0625</v>
      </c>
      <c r="I7" s="27">
        <f t="shared" si="4"/>
        <v>0</v>
      </c>
      <c r="J7" s="27">
        <f t="shared" si="5"/>
        <v>0</v>
      </c>
      <c r="K7" s="27">
        <f t="shared" si="6"/>
        <v>0</v>
      </c>
      <c r="L7" s="27">
        <f t="shared" si="7"/>
        <v>0</v>
      </c>
      <c r="M7" s="28">
        <f t="shared" si="8"/>
        <v>0</v>
      </c>
      <c r="N7" s="28">
        <f t="shared" si="9"/>
        <v>20</v>
      </c>
      <c r="O7" s="27">
        <f t="shared" si="10"/>
        <v>0</v>
      </c>
      <c r="P7" s="29">
        <f t="shared" si="11"/>
        <v>0</v>
      </c>
      <c r="Q7" s="29">
        <f t="shared" si="12"/>
        <v>0</v>
      </c>
      <c r="R7" s="29">
        <f t="shared" si="13"/>
        <v>0</v>
      </c>
      <c r="S7" s="29">
        <f t="shared" si="14"/>
        <v>0</v>
      </c>
      <c r="T7" s="30">
        <f t="shared" si="15"/>
        <v>0</v>
      </c>
      <c r="U7" s="30">
        <f t="shared" si="16"/>
        <v>26</v>
      </c>
      <c r="V7" s="29">
        <f t="shared" si="17"/>
        <v>0</v>
      </c>
      <c r="W7" s="31">
        <f t="shared" si="18"/>
        <v>0</v>
      </c>
      <c r="X7" s="31">
        <f t="shared" si="19"/>
        <v>0</v>
      </c>
      <c r="Y7" s="31">
        <f t="shared" si="20"/>
        <v>0</v>
      </c>
      <c r="Z7" s="31">
        <f t="shared" si="21"/>
        <v>0</v>
      </c>
      <c r="AA7" s="31">
        <f t="shared" si="22"/>
        <v>0</v>
      </c>
      <c r="AB7" s="32">
        <f t="shared" si="23"/>
        <v>0</v>
      </c>
      <c r="AC7" s="32">
        <f t="shared" si="24"/>
        <v>28</v>
      </c>
      <c r="AD7" s="31">
        <f t="shared" si="25"/>
        <v>0</v>
      </c>
      <c r="AE7" s="33">
        <f t="shared" si="26"/>
        <v>0</v>
      </c>
      <c r="AF7" s="33">
        <f t="shared" si="27"/>
        <v>0</v>
      </c>
      <c r="AG7" s="33">
        <f t="shared" si="28"/>
        <v>0</v>
      </c>
      <c r="AH7" s="33">
        <f t="shared" si="29"/>
        <v>0</v>
      </c>
      <c r="AI7" s="33">
        <f t="shared" si="30"/>
        <v>0</v>
      </c>
      <c r="AJ7" s="34">
        <f t="shared" si="31"/>
        <v>0</v>
      </c>
      <c r="AK7" s="34">
        <f t="shared" si="32"/>
        <v>31</v>
      </c>
      <c r="AL7" s="33">
        <f t="shared" si="33"/>
        <v>0</v>
      </c>
      <c r="AM7" s="35">
        <f t="shared" si="34"/>
        <v>0</v>
      </c>
      <c r="AN7" s="35">
        <f t="shared" si="35"/>
        <v>0</v>
      </c>
      <c r="AO7" s="9">
        <f t="shared" si="36"/>
        <v>24.0625</v>
      </c>
      <c r="AP7" s="36">
        <f t="shared" si="37"/>
        <v>0.2291666667</v>
      </c>
    </row>
    <row r="8">
      <c r="A8" s="1" t="s">
        <v>47</v>
      </c>
      <c r="B8" s="1" t="s">
        <v>48</v>
      </c>
      <c r="C8" s="1" t="s">
        <v>49</v>
      </c>
      <c r="D8" s="1" t="s">
        <v>45</v>
      </c>
      <c r="E8" s="24">
        <v>43108.0</v>
      </c>
      <c r="F8" s="10">
        <f t="shared" si="1"/>
        <v>8.083333333</v>
      </c>
      <c r="G8" s="25" t="str">
        <f t="shared" si="2"/>
        <v>8 a 1 m</v>
      </c>
      <c r="H8" s="26">
        <f t="shared" si="3"/>
        <v>41.5625</v>
      </c>
      <c r="I8" s="27">
        <f t="shared" si="4"/>
        <v>0</v>
      </c>
      <c r="J8" s="27">
        <f t="shared" si="5"/>
        <v>0</v>
      </c>
      <c r="K8" s="27">
        <f t="shared" si="6"/>
        <v>0</v>
      </c>
      <c r="L8" s="27">
        <f t="shared" si="7"/>
        <v>0</v>
      </c>
      <c r="M8" s="28">
        <f t="shared" si="8"/>
        <v>0</v>
      </c>
      <c r="N8" s="28">
        <f t="shared" si="9"/>
        <v>20</v>
      </c>
      <c r="O8" s="27">
        <f t="shared" si="10"/>
        <v>0</v>
      </c>
      <c r="P8" s="29">
        <f t="shared" si="11"/>
        <v>0</v>
      </c>
      <c r="Q8" s="29">
        <f t="shared" si="12"/>
        <v>0</v>
      </c>
      <c r="R8" s="29">
        <f t="shared" si="13"/>
        <v>0</v>
      </c>
      <c r="S8" s="29">
        <f t="shared" si="14"/>
        <v>0</v>
      </c>
      <c r="T8" s="30">
        <f t="shared" si="15"/>
        <v>0</v>
      </c>
      <c r="U8" s="30">
        <f t="shared" si="16"/>
        <v>26</v>
      </c>
      <c r="V8" s="29">
        <f t="shared" si="17"/>
        <v>0</v>
      </c>
      <c r="W8" s="31">
        <f t="shared" si="18"/>
        <v>0</v>
      </c>
      <c r="X8" s="31">
        <f t="shared" si="19"/>
        <v>0</v>
      </c>
      <c r="Y8" s="31">
        <f t="shared" si="20"/>
        <v>0</v>
      </c>
      <c r="Z8" s="31">
        <f t="shared" si="21"/>
        <v>0</v>
      </c>
      <c r="AA8" s="31">
        <f t="shared" si="22"/>
        <v>0</v>
      </c>
      <c r="AB8" s="32">
        <f t="shared" si="23"/>
        <v>0</v>
      </c>
      <c r="AC8" s="32">
        <f t="shared" si="24"/>
        <v>28</v>
      </c>
      <c r="AD8" s="31">
        <f t="shared" si="25"/>
        <v>0</v>
      </c>
      <c r="AE8" s="33">
        <f t="shared" si="26"/>
        <v>0</v>
      </c>
      <c r="AF8" s="33">
        <f t="shared" si="27"/>
        <v>0</v>
      </c>
      <c r="AG8" s="33">
        <f t="shared" si="28"/>
        <v>0</v>
      </c>
      <c r="AH8" s="33">
        <f t="shared" si="29"/>
        <v>0</v>
      </c>
      <c r="AI8" s="33">
        <f t="shared" si="30"/>
        <v>0</v>
      </c>
      <c r="AJ8" s="34">
        <f t="shared" si="31"/>
        <v>0</v>
      </c>
      <c r="AK8" s="34">
        <f t="shared" si="32"/>
        <v>31</v>
      </c>
      <c r="AL8" s="33">
        <f t="shared" si="33"/>
        <v>0</v>
      </c>
      <c r="AM8" s="35">
        <f t="shared" si="34"/>
        <v>0</v>
      </c>
      <c r="AN8" s="35">
        <f t="shared" si="35"/>
        <v>0</v>
      </c>
      <c r="AO8" s="9">
        <f t="shared" si="36"/>
        <v>41.5625</v>
      </c>
      <c r="AP8" s="36">
        <f t="shared" si="37"/>
        <v>0.3958333333</v>
      </c>
    </row>
    <row r="9">
      <c r="A9" s="1" t="s">
        <v>50</v>
      </c>
      <c r="B9" s="1" t="s">
        <v>48</v>
      </c>
      <c r="C9" s="1" t="s">
        <v>43</v>
      </c>
      <c r="D9" s="1" t="s">
        <v>51</v>
      </c>
      <c r="E9" s="24">
        <v>42988.0</v>
      </c>
      <c r="F9" s="10">
        <f t="shared" si="1"/>
        <v>8.416666667</v>
      </c>
      <c r="G9" s="25" t="str">
        <f t="shared" si="2"/>
        <v>8 a 5 m</v>
      </c>
      <c r="H9" s="26">
        <f t="shared" si="3"/>
        <v>50.3125</v>
      </c>
      <c r="I9" s="27">
        <f t="shared" si="4"/>
        <v>0</v>
      </c>
      <c r="J9" s="27">
        <f t="shared" si="5"/>
        <v>0</v>
      </c>
      <c r="K9" s="27">
        <f t="shared" si="6"/>
        <v>0</v>
      </c>
      <c r="L9" s="27">
        <f t="shared" si="7"/>
        <v>0</v>
      </c>
      <c r="M9" s="28">
        <f t="shared" si="8"/>
        <v>0</v>
      </c>
      <c r="N9" s="28">
        <f t="shared" si="9"/>
        <v>20</v>
      </c>
      <c r="O9" s="27">
        <f t="shared" si="10"/>
        <v>0</v>
      </c>
      <c r="P9" s="29">
        <f t="shared" si="11"/>
        <v>0</v>
      </c>
      <c r="Q9" s="29">
        <f t="shared" si="12"/>
        <v>0</v>
      </c>
      <c r="R9" s="29">
        <f t="shared" si="13"/>
        <v>0</v>
      </c>
      <c r="S9" s="29">
        <f t="shared" si="14"/>
        <v>0</v>
      </c>
      <c r="T9" s="30">
        <f t="shared" si="15"/>
        <v>0</v>
      </c>
      <c r="U9" s="30">
        <f t="shared" si="16"/>
        <v>26</v>
      </c>
      <c r="V9" s="29">
        <f t="shared" si="17"/>
        <v>0</v>
      </c>
      <c r="W9" s="31">
        <f t="shared" si="18"/>
        <v>0</v>
      </c>
      <c r="X9" s="31">
        <f t="shared" si="19"/>
        <v>0</v>
      </c>
      <c r="Y9" s="31">
        <f t="shared" si="20"/>
        <v>0</v>
      </c>
      <c r="Z9" s="31">
        <f t="shared" si="21"/>
        <v>0</v>
      </c>
      <c r="AA9" s="31">
        <f t="shared" si="22"/>
        <v>0</v>
      </c>
      <c r="AB9" s="32">
        <f t="shared" si="23"/>
        <v>0</v>
      </c>
      <c r="AC9" s="32">
        <f t="shared" si="24"/>
        <v>28</v>
      </c>
      <c r="AD9" s="31">
        <f t="shared" si="25"/>
        <v>0</v>
      </c>
      <c r="AE9" s="33">
        <f t="shared" si="26"/>
        <v>0</v>
      </c>
      <c r="AF9" s="33">
        <f t="shared" si="27"/>
        <v>0</v>
      </c>
      <c r="AG9" s="33">
        <f t="shared" si="28"/>
        <v>0</v>
      </c>
      <c r="AH9" s="33">
        <f t="shared" si="29"/>
        <v>0</v>
      </c>
      <c r="AI9" s="33">
        <f t="shared" si="30"/>
        <v>0</v>
      </c>
      <c r="AJ9" s="34">
        <f t="shared" si="31"/>
        <v>0</v>
      </c>
      <c r="AK9" s="34">
        <f t="shared" si="32"/>
        <v>31</v>
      </c>
      <c r="AL9" s="33">
        <f t="shared" si="33"/>
        <v>0</v>
      </c>
      <c r="AM9" s="35">
        <f t="shared" si="34"/>
        <v>0</v>
      </c>
      <c r="AN9" s="35">
        <f t="shared" si="35"/>
        <v>0</v>
      </c>
      <c r="AO9" s="9">
        <f t="shared" si="36"/>
        <v>50.3125</v>
      </c>
      <c r="AP9" s="36">
        <f t="shared" si="37"/>
        <v>0.4791666667</v>
      </c>
    </row>
    <row r="10">
      <c r="A10" s="1" t="s">
        <v>52</v>
      </c>
      <c r="B10" s="1" t="s">
        <v>48</v>
      </c>
      <c r="C10" s="1" t="s">
        <v>38</v>
      </c>
      <c r="D10" s="1" t="s">
        <v>51</v>
      </c>
      <c r="E10" s="24">
        <v>42905.0</v>
      </c>
      <c r="F10" s="10">
        <f t="shared" si="1"/>
        <v>8.583333333</v>
      </c>
      <c r="G10" s="25" t="str">
        <f t="shared" si="2"/>
        <v>8 a 7 m</v>
      </c>
      <c r="H10" s="26">
        <f t="shared" si="3"/>
        <v>54.6875</v>
      </c>
      <c r="I10" s="27">
        <f t="shared" si="4"/>
        <v>0</v>
      </c>
      <c r="J10" s="27">
        <f t="shared" si="5"/>
        <v>0</v>
      </c>
      <c r="K10" s="27">
        <f t="shared" si="6"/>
        <v>0</v>
      </c>
      <c r="L10" s="27">
        <f t="shared" si="7"/>
        <v>0</v>
      </c>
      <c r="M10" s="28">
        <f t="shared" si="8"/>
        <v>0</v>
      </c>
      <c r="N10" s="28">
        <f t="shared" si="9"/>
        <v>20</v>
      </c>
      <c r="O10" s="27">
        <f t="shared" si="10"/>
        <v>0</v>
      </c>
      <c r="P10" s="29">
        <f t="shared" si="11"/>
        <v>0</v>
      </c>
      <c r="Q10" s="29">
        <f t="shared" si="12"/>
        <v>0</v>
      </c>
      <c r="R10" s="29">
        <f t="shared" si="13"/>
        <v>0</v>
      </c>
      <c r="S10" s="29">
        <f t="shared" si="14"/>
        <v>0</v>
      </c>
      <c r="T10" s="30">
        <f t="shared" si="15"/>
        <v>0</v>
      </c>
      <c r="U10" s="30">
        <f t="shared" si="16"/>
        <v>26</v>
      </c>
      <c r="V10" s="29">
        <f t="shared" si="17"/>
        <v>0</v>
      </c>
      <c r="W10" s="31">
        <f t="shared" si="18"/>
        <v>0</v>
      </c>
      <c r="X10" s="31">
        <f t="shared" si="19"/>
        <v>0</v>
      </c>
      <c r="Y10" s="31">
        <f t="shared" si="20"/>
        <v>0</v>
      </c>
      <c r="Z10" s="31">
        <f t="shared" si="21"/>
        <v>0</v>
      </c>
      <c r="AA10" s="31">
        <f t="shared" si="22"/>
        <v>0</v>
      </c>
      <c r="AB10" s="32">
        <f t="shared" si="23"/>
        <v>0</v>
      </c>
      <c r="AC10" s="32">
        <f t="shared" si="24"/>
        <v>28</v>
      </c>
      <c r="AD10" s="31">
        <f t="shared" si="25"/>
        <v>0</v>
      </c>
      <c r="AE10" s="33">
        <f t="shared" si="26"/>
        <v>0</v>
      </c>
      <c r="AF10" s="33">
        <f t="shared" si="27"/>
        <v>0</v>
      </c>
      <c r="AG10" s="33">
        <f t="shared" si="28"/>
        <v>0</v>
      </c>
      <c r="AH10" s="33">
        <f t="shared" si="29"/>
        <v>0</v>
      </c>
      <c r="AI10" s="33">
        <f t="shared" si="30"/>
        <v>0</v>
      </c>
      <c r="AJ10" s="34">
        <f t="shared" si="31"/>
        <v>0</v>
      </c>
      <c r="AK10" s="34">
        <f t="shared" si="32"/>
        <v>31</v>
      </c>
      <c r="AL10" s="33">
        <f t="shared" si="33"/>
        <v>0</v>
      </c>
      <c r="AM10" s="35">
        <f t="shared" si="34"/>
        <v>0</v>
      </c>
      <c r="AN10" s="35">
        <f t="shared" si="35"/>
        <v>0</v>
      </c>
      <c r="AO10" s="9">
        <f t="shared" si="36"/>
        <v>54.6875</v>
      </c>
      <c r="AP10" s="36">
        <f t="shared" si="37"/>
        <v>0.5208333333</v>
      </c>
    </row>
    <row r="11">
      <c r="A11" s="1" t="s">
        <v>53</v>
      </c>
      <c r="B11" s="1" t="s">
        <v>48</v>
      </c>
      <c r="C11" s="1" t="s">
        <v>43</v>
      </c>
      <c r="D11" s="1" t="s">
        <v>51</v>
      </c>
      <c r="E11" s="24">
        <v>42850.0</v>
      </c>
      <c r="F11" s="10">
        <f t="shared" si="1"/>
        <v>8.75</v>
      </c>
      <c r="G11" s="25" t="str">
        <f t="shared" si="2"/>
        <v>8 a 9 m</v>
      </c>
      <c r="H11" s="26">
        <f t="shared" si="3"/>
        <v>59.0625</v>
      </c>
      <c r="I11" s="27">
        <f t="shared" si="4"/>
        <v>0</v>
      </c>
      <c r="J11" s="27">
        <f t="shared" si="5"/>
        <v>0</v>
      </c>
      <c r="K11" s="27">
        <f t="shared" si="6"/>
        <v>0</v>
      </c>
      <c r="L11" s="27">
        <f t="shared" si="7"/>
        <v>0</v>
      </c>
      <c r="M11" s="28">
        <f t="shared" si="8"/>
        <v>0</v>
      </c>
      <c r="N11" s="28">
        <f t="shared" si="9"/>
        <v>20</v>
      </c>
      <c r="O11" s="27">
        <f t="shared" si="10"/>
        <v>0</v>
      </c>
      <c r="P11" s="29">
        <f t="shared" si="11"/>
        <v>0</v>
      </c>
      <c r="Q11" s="29">
        <f t="shared" si="12"/>
        <v>0</v>
      </c>
      <c r="R11" s="29">
        <f t="shared" si="13"/>
        <v>0</v>
      </c>
      <c r="S11" s="29">
        <f t="shared" si="14"/>
        <v>0</v>
      </c>
      <c r="T11" s="30">
        <f t="shared" si="15"/>
        <v>0</v>
      </c>
      <c r="U11" s="30">
        <f t="shared" si="16"/>
        <v>26</v>
      </c>
      <c r="V11" s="29">
        <f t="shared" si="17"/>
        <v>0</v>
      </c>
      <c r="W11" s="31">
        <f t="shared" si="18"/>
        <v>0</v>
      </c>
      <c r="X11" s="31">
        <f t="shared" si="19"/>
        <v>0</v>
      </c>
      <c r="Y11" s="31">
        <f t="shared" si="20"/>
        <v>0</v>
      </c>
      <c r="Z11" s="31">
        <f t="shared" si="21"/>
        <v>0</v>
      </c>
      <c r="AA11" s="31">
        <f t="shared" si="22"/>
        <v>0</v>
      </c>
      <c r="AB11" s="32">
        <f t="shared" si="23"/>
        <v>0</v>
      </c>
      <c r="AC11" s="32">
        <f t="shared" si="24"/>
        <v>28</v>
      </c>
      <c r="AD11" s="31">
        <f t="shared" si="25"/>
        <v>0</v>
      </c>
      <c r="AE11" s="33">
        <f t="shared" si="26"/>
        <v>0</v>
      </c>
      <c r="AF11" s="33">
        <f t="shared" si="27"/>
        <v>0</v>
      </c>
      <c r="AG11" s="33">
        <f t="shared" si="28"/>
        <v>0</v>
      </c>
      <c r="AH11" s="33">
        <f t="shared" si="29"/>
        <v>0</v>
      </c>
      <c r="AI11" s="33">
        <f t="shared" si="30"/>
        <v>0</v>
      </c>
      <c r="AJ11" s="34">
        <f t="shared" si="31"/>
        <v>0</v>
      </c>
      <c r="AK11" s="34">
        <f t="shared" si="32"/>
        <v>31</v>
      </c>
      <c r="AL11" s="33">
        <f t="shared" si="33"/>
        <v>0</v>
      </c>
      <c r="AM11" s="35">
        <f t="shared" si="34"/>
        <v>0</v>
      </c>
      <c r="AN11" s="35">
        <f t="shared" si="35"/>
        <v>0</v>
      </c>
      <c r="AO11" s="9">
        <f t="shared" si="36"/>
        <v>59.0625</v>
      </c>
      <c r="AP11" s="36">
        <f t="shared" si="37"/>
        <v>0.5625</v>
      </c>
    </row>
    <row r="12">
      <c r="A12" s="1" t="s">
        <v>54</v>
      </c>
      <c r="B12" s="1" t="s">
        <v>55</v>
      </c>
      <c r="C12" s="1" t="s">
        <v>49</v>
      </c>
      <c r="D12" s="1" t="s">
        <v>56</v>
      </c>
      <c r="E12" s="24">
        <v>42851.0</v>
      </c>
      <c r="F12" s="10">
        <f t="shared" si="1"/>
        <v>8.75</v>
      </c>
      <c r="G12" s="25" t="str">
        <f t="shared" si="2"/>
        <v>8 a 9 m</v>
      </c>
      <c r="H12" s="26">
        <f t="shared" si="3"/>
        <v>59.0625</v>
      </c>
      <c r="I12" s="27">
        <f t="shared" si="4"/>
        <v>0</v>
      </c>
      <c r="J12" s="27">
        <f t="shared" si="5"/>
        <v>0</v>
      </c>
      <c r="K12" s="27">
        <f t="shared" si="6"/>
        <v>0</v>
      </c>
      <c r="L12" s="27">
        <f t="shared" si="7"/>
        <v>0</v>
      </c>
      <c r="M12" s="28">
        <f t="shared" si="8"/>
        <v>0</v>
      </c>
      <c r="N12" s="28">
        <f t="shared" si="9"/>
        <v>20</v>
      </c>
      <c r="O12" s="27">
        <f t="shared" si="10"/>
        <v>0</v>
      </c>
      <c r="P12" s="29">
        <f t="shared" si="11"/>
        <v>0</v>
      </c>
      <c r="Q12" s="29">
        <f t="shared" si="12"/>
        <v>0</v>
      </c>
      <c r="R12" s="29">
        <f t="shared" si="13"/>
        <v>0</v>
      </c>
      <c r="S12" s="29">
        <f t="shared" si="14"/>
        <v>0</v>
      </c>
      <c r="T12" s="30">
        <f t="shared" si="15"/>
        <v>0</v>
      </c>
      <c r="U12" s="30">
        <f t="shared" si="16"/>
        <v>26</v>
      </c>
      <c r="V12" s="29">
        <f t="shared" si="17"/>
        <v>0</v>
      </c>
      <c r="W12" s="31">
        <f t="shared" si="18"/>
        <v>0</v>
      </c>
      <c r="X12" s="31">
        <f t="shared" si="19"/>
        <v>0</v>
      </c>
      <c r="Y12" s="31">
        <f t="shared" si="20"/>
        <v>0</v>
      </c>
      <c r="Z12" s="31">
        <f t="shared" si="21"/>
        <v>0</v>
      </c>
      <c r="AA12" s="31">
        <f t="shared" si="22"/>
        <v>0</v>
      </c>
      <c r="AB12" s="32">
        <f t="shared" si="23"/>
        <v>0</v>
      </c>
      <c r="AC12" s="32">
        <f t="shared" si="24"/>
        <v>28</v>
      </c>
      <c r="AD12" s="31">
        <f t="shared" si="25"/>
        <v>0</v>
      </c>
      <c r="AE12" s="33">
        <f t="shared" si="26"/>
        <v>0</v>
      </c>
      <c r="AF12" s="33">
        <f t="shared" si="27"/>
        <v>0</v>
      </c>
      <c r="AG12" s="33">
        <f t="shared" si="28"/>
        <v>0</v>
      </c>
      <c r="AH12" s="33">
        <f t="shared" si="29"/>
        <v>0</v>
      </c>
      <c r="AI12" s="33">
        <f t="shared" si="30"/>
        <v>0</v>
      </c>
      <c r="AJ12" s="34">
        <f t="shared" si="31"/>
        <v>0</v>
      </c>
      <c r="AK12" s="34">
        <f t="shared" si="32"/>
        <v>31</v>
      </c>
      <c r="AL12" s="33">
        <f t="shared" si="33"/>
        <v>0</v>
      </c>
      <c r="AM12" s="35">
        <f t="shared" si="34"/>
        <v>0</v>
      </c>
      <c r="AN12" s="35">
        <f t="shared" si="35"/>
        <v>0</v>
      </c>
      <c r="AO12" s="9">
        <f t="shared" si="36"/>
        <v>59.0625</v>
      </c>
      <c r="AP12" s="36">
        <f t="shared" si="37"/>
        <v>0.5625</v>
      </c>
    </row>
    <row r="13">
      <c r="A13" s="1" t="s">
        <v>57</v>
      </c>
      <c r="B13" s="1" t="s">
        <v>55</v>
      </c>
      <c r="C13" s="1" t="s">
        <v>49</v>
      </c>
      <c r="D13" s="1" t="s">
        <v>56</v>
      </c>
      <c r="E13" s="24">
        <v>42835.0</v>
      </c>
      <c r="F13" s="10">
        <f t="shared" si="1"/>
        <v>8.833333333</v>
      </c>
      <c r="G13" s="25" t="str">
        <f t="shared" si="2"/>
        <v>8 a 10 m</v>
      </c>
      <c r="H13" s="26">
        <f t="shared" si="3"/>
        <v>61.25</v>
      </c>
      <c r="I13" s="27">
        <f t="shared" si="4"/>
        <v>0</v>
      </c>
      <c r="J13" s="27">
        <f t="shared" si="5"/>
        <v>0</v>
      </c>
      <c r="K13" s="27">
        <f t="shared" si="6"/>
        <v>0</v>
      </c>
      <c r="L13" s="27">
        <f t="shared" si="7"/>
        <v>0</v>
      </c>
      <c r="M13" s="28">
        <f t="shared" si="8"/>
        <v>0</v>
      </c>
      <c r="N13" s="28">
        <f t="shared" si="9"/>
        <v>20</v>
      </c>
      <c r="O13" s="27">
        <f t="shared" si="10"/>
        <v>0</v>
      </c>
      <c r="P13" s="29">
        <f t="shared" si="11"/>
        <v>0</v>
      </c>
      <c r="Q13" s="29">
        <f t="shared" si="12"/>
        <v>0</v>
      </c>
      <c r="R13" s="29">
        <f t="shared" si="13"/>
        <v>0</v>
      </c>
      <c r="S13" s="29">
        <f t="shared" si="14"/>
        <v>0</v>
      </c>
      <c r="T13" s="30">
        <f t="shared" si="15"/>
        <v>0</v>
      </c>
      <c r="U13" s="30">
        <f t="shared" si="16"/>
        <v>26</v>
      </c>
      <c r="V13" s="29">
        <f t="shared" si="17"/>
        <v>0</v>
      </c>
      <c r="W13" s="31">
        <f t="shared" si="18"/>
        <v>0</v>
      </c>
      <c r="X13" s="31">
        <f t="shared" si="19"/>
        <v>0</v>
      </c>
      <c r="Y13" s="31">
        <f t="shared" si="20"/>
        <v>0</v>
      </c>
      <c r="Z13" s="31">
        <f t="shared" si="21"/>
        <v>0</v>
      </c>
      <c r="AA13" s="31">
        <f t="shared" si="22"/>
        <v>0</v>
      </c>
      <c r="AB13" s="32">
        <f t="shared" si="23"/>
        <v>0</v>
      </c>
      <c r="AC13" s="32">
        <f t="shared" si="24"/>
        <v>28</v>
      </c>
      <c r="AD13" s="31">
        <f t="shared" si="25"/>
        <v>0</v>
      </c>
      <c r="AE13" s="33">
        <f t="shared" si="26"/>
        <v>0</v>
      </c>
      <c r="AF13" s="33">
        <f t="shared" si="27"/>
        <v>0</v>
      </c>
      <c r="AG13" s="33">
        <f t="shared" si="28"/>
        <v>0</v>
      </c>
      <c r="AH13" s="33">
        <f t="shared" si="29"/>
        <v>0</v>
      </c>
      <c r="AI13" s="33">
        <f t="shared" si="30"/>
        <v>0</v>
      </c>
      <c r="AJ13" s="34">
        <f t="shared" si="31"/>
        <v>0</v>
      </c>
      <c r="AK13" s="34">
        <f t="shared" si="32"/>
        <v>31</v>
      </c>
      <c r="AL13" s="33">
        <f t="shared" si="33"/>
        <v>0</v>
      </c>
      <c r="AM13" s="35">
        <f t="shared" si="34"/>
        <v>0</v>
      </c>
      <c r="AN13" s="35">
        <f t="shared" si="35"/>
        <v>0</v>
      </c>
      <c r="AO13" s="9">
        <f t="shared" si="36"/>
        <v>61.25</v>
      </c>
      <c r="AP13" s="36">
        <f t="shared" si="37"/>
        <v>0.5833333333</v>
      </c>
    </row>
    <row r="14">
      <c r="A14" s="1" t="s">
        <v>58</v>
      </c>
      <c r="B14" s="1" t="s">
        <v>55</v>
      </c>
      <c r="C14" s="1" t="s">
        <v>41</v>
      </c>
      <c r="D14" s="1" t="s">
        <v>56</v>
      </c>
      <c r="E14" s="24">
        <v>42755.0</v>
      </c>
      <c r="F14" s="10">
        <f t="shared" si="1"/>
        <v>9</v>
      </c>
      <c r="G14" s="25" t="str">
        <f t="shared" si="2"/>
        <v>9 a 0 m</v>
      </c>
      <c r="H14" s="26">
        <f t="shared" si="3"/>
        <v>65.625</v>
      </c>
      <c r="I14" s="27">
        <f t="shared" si="4"/>
        <v>0</v>
      </c>
      <c r="J14" s="27">
        <f t="shared" si="5"/>
        <v>0</v>
      </c>
      <c r="K14" s="27">
        <f t="shared" si="6"/>
        <v>0</v>
      </c>
      <c r="L14" s="27">
        <f t="shared" si="7"/>
        <v>0</v>
      </c>
      <c r="M14" s="28">
        <f t="shared" si="8"/>
        <v>0</v>
      </c>
      <c r="N14" s="28">
        <f t="shared" si="9"/>
        <v>20</v>
      </c>
      <c r="O14" s="27">
        <f t="shared" si="10"/>
        <v>0</v>
      </c>
      <c r="P14" s="29">
        <f t="shared" si="11"/>
        <v>0</v>
      </c>
      <c r="Q14" s="29">
        <f t="shared" si="12"/>
        <v>0</v>
      </c>
      <c r="R14" s="29">
        <f t="shared" si="13"/>
        <v>0</v>
      </c>
      <c r="S14" s="29">
        <f t="shared" si="14"/>
        <v>0</v>
      </c>
      <c r="T14" s="30">
        <f t="shared" si="15"/>
        <v>0</v>
      </c>
      <c r="U14" s="30">
        <f t="shared" si="16"/>
        <v>26</v>
      </c>
      <c r="V14" s="29">
        <f t="shared" si="17"/>
        <v>0</v>
      </c>
      <c r="W14" s="31">
        <f t="shared" si="18"/>
        <v>0</v>
      </c>
      <c r="X14" s="31">
        <f t="shared" si="19"/>
        <v>0</v>
      </c>
      <c r="Y14" s="31">
        <f t="shared" si="20"/>
        <v>0</v>
      </c>
      <c r="Z14" s="31">
        <f t="shared" si="21"/>
        <v>0</v>
      </c>
      <c r="AA14" s="31">
        <f t="shared" si="22"/>
        <v>0</v>
      </c>
      <c r="AB14" s="32">
        <f t="shared" si="23"/>
        <v>0</v>
      </c>
      <c r="AC14" s="32">
        <f t="shared" si="24"/>
        <v>28</v>
      </c>
      <c r="AD14" s="31">
        <f t="shared" si="25"/>
        <v>0</v>
      </c>
      <c r="AE14" s="33">
        <f t="shared" si="26"/>
        <v>0</v>
      </c>
      <c r="AF14" s="33">
        <f t="shared" si="27"/>
        <v>0</v>
      </c>
      <c r="AG14" s="33">
        <f t="shared" si="28"/>
        <v>0</v>
      </c>
      <c r="AH14" s="33">
        <f t="shared" si="29"/>
        <v>0</v>
      </c>
      <c r="AI14" s="33">
        <f t="shared" si="30"/>
        <v>0</v>
      </c>
      <c r="AJ14" s="34">
        <f t="shared" si="31"/>
        <v>0</v>
      </c>
      <c r="AK14" s="34">
        <f t="shared" si="32"/>
        <v>31</v>
      </c>
      <c r="AL14" s="33">
        <f t="shared" si="33"/>
        <v>0</v>
      </c>
      <c r="AM14" s="35">
        <f t="shared" si="34"/>
        <v>0</v>
      </c>
      <c r="AN14" s="35">
        <f t="shared" si="35"/>
        <v>0</v>
      </c>
      <c r="AO14" s="9">
        <f t="shared" si="36"/>
        <v>65.625</v>
      </c>
      <c r="AP14" s="36">
        <f t="shared" si="37"/>
        <v>0.625</v>
      </c>
    </row>
    <row r="15">
      <c r="A15" s="38"/>
      <c r="B15" s="38"/>
      <c r="C15" s="38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8"/>
      <c r="AK15" s="38"/>
      <c r="AL15" s="38"/>
      <c r="AM15" s="38"/>
      <c r="AN15" s="38"/>
      <c r="AO15" s="40"/>
      <c r="AP15" s="41"/>
    </row>
    <row r="16">
      <c r="A16" s="38"/>
      <c r="B16" s="38"/>
      <c r="C16" s="38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8"/>
      <c r="AK16" s="38"/>
      <c r="AL16" s="38"/>
      <c r="AM16" s="38"/>
      <c r="AN16" s="38"/>
      <c r="AO16" s="40"/>
      <c r="AP16" s="41"/>
    </row>
    <row r="17">
      <c r="A17" s="38"/>
      <c r="B17" s="38"/>
      <c r="C17" s="38"/>
      <c r="D17" s="38"/>
      <c r="E17" s="39"/>
      <c r="F17" s="39"/>
      <c r="G17" s="39"/>
      <c r="H17" s="39"/>
      <c r="I17" s="39"/>
      <c r="J17" s="39"/>
      <c r="K17" s="39"/>
      <c r="L17" s="39"/>
      <c r="M17" s="2"/>
      <c r="N17" s="2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8"/>
      <c r="AK17" s="38"/>
      <c r="AL17" s="38"/>
      <c r="AM17" s="38"/>
      <c r="AN17" s="38"/>
      <c r="AO17" s="40"/>
      <c r="AP17" s="41"/>
    </row>
    <row r="18">
      <c r="A18" s="38"/>
      <c r="B18" s="38"/>
      <c r="C18" s="38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8"/>
      <c r="AK18" s="38"/>
      <c r="AL18" s="38"/>
      <c r="AM18" s="38"/>
      <c r="AN18" s="38"/>
      <c r="AO18" s="40"/>
      <c r="AP18" s="41"/>
    </row>
    <row r="19">
      <c r="A19" s="1" t="s">
        <v>59</v>
      </c>
      <c r="B19" s="42" t="s">
        <v>60</v>
      </c>
      <c r="C19" s="1"/>
      <c r="D19" s="2"/>
      <c r="E19" s="43"/>
      <c r="F19" s="2"/>
      <c r="G19" s="2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8"/>
      <c r="AK19" s="38"/>
      <c r="AL19" s="38"/>
      <c r="AM19" s="38"/>
      <c r="AN19" s="38"/>
      <c r="AO19" s="40"/>
      <c r="AP19" s="41"/>
    </row>
    <row r="20">
      <c r="A20" s="1" t="s">
        <v>61</v>
      </c>
      <c r="B20" s="42" t="s">
        <v>60</v>
      </c>
      <c r="C20" s="1"/>
      <c r="D20" s="2"/>
      <c r="E20" s="43"/>
      <c r="F20" s="44"/>
      <c r="G20" s="44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8"/>
      <c r="AK20" s="38"/>
      <c r="AL20" s="38"/>
      <c r="AM20" s="38"/>
      <c r="AN20" s="38"/>
      <c r="AO20" s="40"/>
      <c r="AP20" s="41"/>
    </row>
    <row r="21">
      <c r="A21" s="1" t="s">
        <v>62</v>
      </c>
      <c r="B21" s="42" t="s">
        <v>63</v>
      </c>
      <c r="C21" s="1"/>
      <c r="D21" s="2"/>
      <c r="E21" s="43"/>
      <c r="F21" s="44"/>
      <c r="G21" s="44"/>
      <c r="H21" s="39"/>
      <c r="I21" s="45"/>
      <c r="J21" s="45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8"/>
      <c r="AK21" s="38"/>
      <c r="AL21" s="38"/>
      <c r="AM21" s="38"/>
      <c r="AN21" s="38"/>
      <c r="AO21" s="40"/>
      <c r="AP21" s="41"/>
    </row>
    <row r="22">
      <c r="A22" s="1" t="s">
        <v>64</v>
      </c>
      <c r="B22" s="42" t="s">
        <v>65</v>
      </c>
      <c r="C22" s="1"/>
      <c r="D22" s="2"/>
      <c r="E22" s="43"/>
      <c r="F22" s="44"/>
      <c r="G22" s="44"/>
      <c r="H22" s="39"/>
      <c r="I22" s="45"/>
      <c r="J22" s="45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8"/>
      <c r="AK22" s="38"/>
      <c r="AL22" s="38"/>
      <c r="AM22" s="38"/>
      <c r="AN22" s="38"/>
      <c r="AO22" s="40"/>
      <c r="AP22" s="41"/>
    </row>
    <row r="23">
      <c r="A23" s="38"/>
      <c r="C23" s="1"/>
      <c r="D23" s="2"/>
      <c r="E23" s="43"/>
      <c r="F23" s="44"/>
      <c r="G23" s="44"/>
      <c r="H23" s="39"/>
      <c r="I23" s="45"/>
      <c r="J23" s="45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8"/>
      <c r="AK23" s="38"/>
      <c r="AL23" s="38"/>
      <c r="AM23" s="38"/>
      <c r="AN23" s="38"/>
      <c r="AO23" s="40"/>
      <c r="AP23" s="41"/>
    </row>
    <row r="24">
      <c r="C24" s="1"/>
      <c r="D24" s="2"/>
      <c r="E24" s="43"/>
      <c r="F24" s="44"/>
      <c r="G24" s="44"/>
      <c r="H24" s="39"/>
      <c r="I24" s="45"/>
      <c r="J24" s="45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8"/>
      <c r="AK24" s="38"/>
      <c r="AL24" s="38"/>
      <c r="AM24" s="38"/>
      <c r="AN24" s="38"/>
      <c r="AO24" s="40"/>
      <c r="AP24" s="41"/>
    </row>
    <row r="25">
      <c r="A25" s="46" t="s">
        <v>66</v>
      </c>
      <c r="B25" s="38"/>
      <c r="C25" s="38"/>
      <c r="D25" s="38"/>
      <c r="E25" s="39"/>
      <c r="F25" s="39"/>
      <c r="G25" s="39"/>
      <c r="H25" s="45"/>
      <c r="I25" s="45"/>
      <c r="J25" s="45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8"/>
      <c r="AK25" s="38"/>
      <c r="AL25" s="38"/>
      <c r="AM25" s="38"/>
      <c r="AN25" s="38"/>
      <c r="AO25" s="40"/>
      <c r="AP25" s="41"/>
    </row>
    <row r="26">
      <c r="A26" s="1" t="s">
        <v>67</v>
      </c>
      <c r="B26" s="38"/>
      <c r="C26" s="38"/>
      <c r="D26" s="38"/>
      <c r="E26" s="39"/>
      <c r="F26" s="39"/>
      <c r="G26" s="39"/>
      <c r="H26" s="45"/>
      <c r="I26" s="45"/>
      <c r="J26" s="45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8"/>
      <c r="AK26" s="38"/>
      <c r="AL26" s="38"/>
      <c r="AM26" s="38"/>
      <c r="AN26" s="38"/>
      <c r="AO26" s="40"/>
      <c r="AP26" s="41"/>
    </row>
    <row r="27">
      <c r="A27" s="1" t="s">
        <v>68</v>
      </c>
      <c r="B27" s="38"/>
      <c r="C27" s="38"/>
      <c r="D27" s="38"/>
      <c r="E27" s="39"/>
      <c r="F27" s="39"/>
      <c r="G27" s="39"/>
      <c r="H27" s="45"/>
      <c r="I27" s="45"/>
      <c r="J27" s="45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8"/>
      <c r="AK27" s="38"/>
      <c r="AL27" s="38"/>
      <c r="AM27" s="38"/>
      <c r="AN27" s="38"/>
      <c r="AO27" s="40"/>
      <c r="AP27" s="41"/>
    </row>
    <row r="28">
      <c r="A28" s="1" t="s">
        <v>69</v>
      </c>
      <c r="B28" s="38"/>
      <c r="C28" s="38"/>
      <c r="D28" s="38"/>
      <c r="E28" s="39"/>
      <c r="F28" s="39"/>
      <c r="G28" s="39"/>
      <c r="H28" s="45"/>
      <c r="I28" s="45"/>
      <c r="J28" s="45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8"/>
      <c r="AK28" s="38"/>
      <c r="AL28" s="38"/>
      <c r="AM28" s="38"/>
      <c r="AN28" s="38"/>
      <c r="AO28" s="40"/>
      <c r="AP28" s="41"/>
    </row>
    <row r="29">
      <c r="A29" s="1" t="s">
        <v>70</v>
      </c>
      <c r="B29" s="38"/>
      <c r="C29" s="38"/>
      <c r="D29" s="38"/>
      <c r="E29" s="39"/>
      <c r="F29" s="39"/>
      <c r="G29" s="39"/>
      <c r="H29" s="45"/>
      <c r="I29" s="45"/>
      <c r="J29" s="45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8"/>
      <c r="AK29" s="38"/>
      <c r="AL29" s="38"/>
      <c r="AM29" s="38"/>
      <c r="AN29" s="38"/>
      <c r="AO29" s="40"/>
      <c r="AP29" s="41"/>
    </row>
    <row r="30">
      <c r="A30" s="38"/>
      <c r="B30" s="38"/>
      <c r="C30" s="38"/>
      <c r="D30" s="38"/>
      <c r="E30" s="39"/>
      <c r="F30" s="39"/>
      <c r="G30" s="39"/>
      <c r="H30" s="45"/>
      <c r="I30" s="45"/>
      <c r="J30" s="45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8"/>
      <c r="AK30" s="38"/>
      <c r="AL30" s="38"/>
      <c r="AM30" s="38"/>
      <c r="AN30" s="38"/>
      <c r="AO30" s="40"/>
      <c r="AP30" s="41"/>
    </row>
    <row r="31">
      <c r="A31" s="46" t="s">
        <v>71</v>
      </c>
      <c r="B31" s="38"/>
      <c r="C31" s="38"/>
      <c r="D31" s="38"/>
      <c r="E31" s="39"/>
      <c r="F31" s="39"/>
      <c r="G31" s="39"/>
      <c r="H31" s="45"/>
      <c r="I31" s="45"/>
      <c r="J31" s="45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8"/>
      <c r="AK31" s="38"/>
      <c r="AL31" s="38"/>
      <c r="AM31" s="38"/>
      <c r="AN31" s="38"/>
      <c r="AO31" s="40"/>
      <c r="AP31" s="41"/>
    </row>
    <row r="32">
      <c r="A32" s="1" t="s">
        <v>72</v>
      </c>
      <c r="B32" s="38"/>
      <c r="C32" s="1"/>
      <c r="D32" s="1"/>
      <c r="E32" s="39"/>
      <c r="F32" s="39"/>
      <c r="G32" s="39"/>
      <c r="H32" s="45"/>
      <c r="I32" s="45"/>
      <c r="J32" s="45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8"/>
      <c r="AK32" s="38"/>
      <c r="AL32" s="38"/>
      <c r="AM32" s="38"/>
      <c r="AN32" s="38"/>
      <c r="AO32" s="40"/>
      <c r="AP32" s="41"/>
    </row>
    <row r="33">
      <c r="A33" s="1" t="s">
        <v>73</v>
      </c>
      <c r="B33" s="38"/>
      <c r="C33" s="1"/>
      <c r="D33" s="38"/>
      <c r="E33" s="39"/>
      <c r="F33" s="39"/>
      <c r="G33" s="39"/>
      <c r="H33" s="45"/>
      <c r="I33" s="45"/>
      <c r="J33" s="45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8"/>
      <c r="AK33" s="38"/>
      <c r="AL33" s="38"/>
      <c r="AM33" s="38"/>
      <c r="AN33" s="38"/>
      <c r="AO33" s="40"/>
      <c r="AP33" s="41"/>
    </row>
    <row r="34">
      <c r="A34" s="1" t="s">
        <v>74</v>
      </c>
      <c r="B34" s="38"/>
      <c r="C34" s="38"/>
      <c r="D34" s="38"/>
      <c r="E34" s="39"/>
      <c r="F34" s="39"/>
      <c r="G34" s="39"/>
      <c r="H34" s="45"/>
      <c r="I34" s="45"/>
      <c r="J34" s="45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8"/>
      <c r="AK34" s="38"/>
      <c r="AL34" s="38"/>
      <c r="AM34" s="38"/>
      <c r="AN34" s="38"/>
      <c r="AO34" s="40"/>
      <c r="AP34" s="41"/>
    </row>
    <row r="35">
      <c r="A35" s="1" t="s">
        <v>75</v>
      </c>
      <c r="B35" s="38"/>
      <c r="C35" s="38"/>
      <c r="D35" s="38"/>
      <c r="E35" s="39"/>
      <c r="F35" s="39"/>
      <c r="G35" s="39"/>
      <c r="H35" s="45"/>
      <c r="I35" s="45"/>
      <c r="J35" s="45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8"/>
      <c r="AK35" s="38"/>
      <c r="AL35" s="38"/>
      <c r="AM35" s="38"/>
      <c r="AN35" s="38"/>
      <c r="AO35" s="40"/>
      <c r="AP35" s="41"/>
    </row>
    <row r="36">
      <c r="A36" s="1" t="s">
        <v>76</v>
      </c>
      <c r="B36" s="38"/>
      <c r="C36" s="38"/>
      <c r="D36" s="38"/>
      <c r="E36" s="39"/>
      <c r="F36" s="39"/>
      <c r="G36" s="39"/>
      <c r="H36" s="45"/>
      <c r="I36" s="45"/>
      <c r="J36" s="45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8"/>
      <c r="AK36" s="38"/>
      <c r="AL36" s="38"/>
      <c r="AM36" s="38"/>
      <c r="AN36" s="38"/>
      <c r="AO36" s="40"/>
      <c r="AP36" s="41"/>
    </row>
    <row r="37">
      <c r="B37" s="38"/>
      <c r="C37" s="38"/>
      <c r="D37" s="38"/>
      <c r="E37" s="39"/>
      <c r="F37" s="39"/>
      <c r="G37" s="39"/>
      <c r="H37" s="45"/>
      <c r="I37" s="45"/>
      <c r="J37" s="45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8"/>
      <c r="AK37" s="38"/>
      <c r="AL37" s="38"/>
      <c r="AM37" s="38"/>
      <c r="AN37" s="38"/>
      <c r="AO37" s="40"/>
      <c r="AP37" s="41"/>
    </row>
    <row r="38">
      <c r="A38" s="1" t="s">
        <v>77</v>
      </c>
      <c r="B38" s="38"/>
      <c r="C38" s="38"/>
      <c r="D38" s="38"/>
      <c r="E38" s="39"/>
      <c r="F38" s="39"/>
      <c r="G38" s="39"/>
      <c r="H38" s="45"/>
      <c r="I38" s="45"/>
      <c r="J38" s="45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8"/>
      <c r="AK38" s="38"/>
      <c r="AL38" s="38"/>
      <c r="AM38" s="38"/>
      <c r="AN38" s="38"/>
      <c r="AO38" s="40"/>
      <c r="AP38" s="41"/>
    </row>
    <row r="39">
      <c r="A39" s="38"/>
      <c r="B39" s="38"/>
      <c r="C39" s="38"/>
      <c r="D39" s="38"/>
      <c r="E39" s="39"/>
      <c r="F39" s="39"/>
      <c r="G39" s="39"/>
      <c r="H39" s="45"/>
      <c r="I39" s="45"/>
      <c r="J39" s="45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8"/>
      <c r="AK39" s="38"/>
      <c r="AL39" s="38"/>
      <c r="AM39" s="38"/>
      <c r="AN39" s="38"/>
      <c r="AO39" s="40"/>
      <c r="AP39" s="41"/>
    </row>
    <row r="40">
      <c r="A40" s="38"/>
      <c r="B40" s="38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8"/>
      <c r="AK40" s="38"/>
      <c r="AL40" s="38"/>
      <c r="AM40" s="38"/>
      <c r="AN40" s="38"/>
      <c r="AO40" s="40"/>
      <c r="AP40" s="41"/>
    </row>
    <row r="41">
      <c r="A41" s="38"/>
      <c r="B41" s="38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8"/>
      <c r="AK41" s="38"/>
      <c r="AL41" s="38"/>
      <c r="AM41" s="38"/>
      <c r="AN41" s="38"/>
      <c r="AO41" s="40"/>
      <c r="AP41" s="41"/>
    </row>
    <row r="42">
      <c r="A42" s="38"/>
      <c r="B42" s="38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8"/>
      <c r="AK42" s="38"/>
      <c r="AL42" s="38"/>
      <c r="AM42" s="38"/>
      <c r="AN42" s="38"/>
      <c r="AO42" s="40"/>
      <c r="AP42" s="41"/>
    </row>
    <row r="43">
      <c r="A43" s="38"/>
      <c r="B43" s="38"/>
      <c r="C43" s="38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8"/>
      <c r="AK43" s="38"/>
      <c r="AL43" s="38"/>
      <c r="AM43" s="38"/>
      <c r="AN43" s="38"/>
      <c r="AO43" s="40"/>
      <c r="AP43" s="41"/>
    </row>
    <row r="44">
      <c r="A44" s="38"/>
      <c r="B44" s="38"/>
      <c r="C44" s="38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8"/>
      <c r="AK44" s="38"/>
      <c r="AL44" s="38"/>
      <c r="AM44" s="38"/>
      <c r="AN44" s="38"/>
      <c r="AO44" s="40"/>
      <c r="AP44" s="41"/>
    </row>
    <row r="45">
      <c r="A45" s="38"/>
      <c r="B45" s="38"/>
      <c r="C45" s="38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8"/>
      <c r="AK45" s="38"/>
      <c r="AL45" s="38"/>
      <c r="AM45" s="38"/>
      <c r="AN45" s="38"/>
      <c r="AO45" s="40"/>
      <c r="AP45" s="41"/>
    </row>
    <row r="46">
      <c r="A46" s="38"/>
      <c r="B46" s="38"/>
      <c r="C46" s="38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8"/>
      <c r="AK46" s="38"/>
      <c r="AL46" s="38"/>
      <c r="AM46" s="38"/>
      <c r="AN46" s="38"/>
      <c r="AO46" s="40"/>
      <c r="AP46" s="41"/>
    </row>
    <row r="47">
      <c r="A47" s="38"/>
      <c r="B47" s="38"/>
      <c r="C47" s="38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8"/>
      <c r="AK47" s="38"/>
      <c r="AL47" s="38"/>
      <c r="AM47" s="38"/>
      <c r="AN47" s="38"/>
      <c r="AO47" s="40"/>
      <c r="AP47" s="41"/>
    </row>
    <row r="48">
      <c r="A48" s="38"/>
      <c r="B48" s="38"/>
      <c r="C48" s="38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8"/>
      <c r="AK48" s="38"/>
      <c r="AL48" s="38"/>
      <c r="AM48" s="38"/>
      <c r="AN48" s="38"/>
      <c r="AO48" s="40"/>
      <c r="AP48" s="41"/>
    </row>
    <row r="49">
      <c r="A49" s="38"/>
      <c r="B49" s="38"/>
      <c r="C49" s="38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8"/>
      <c r="AK49" s="38"/>
      <c r="AL49" s="38"/>
      <c r="AM49" s="38"/>
      <c r="AN49" s="38"/>
      <c r="AO49" s="40"/>
      <c r="AP49" s="41"/>
    </row>
    <row r="50">
      <c r="A50" s="38"/>
      <c r="B50" s="38"/>
      <c r="C50" s="38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8"/>
      <c r="AK50" s="38"/>
      <c r="AL50" s="38"/>
      <c r="AM50" s="38"/>
      <c r="AN50" s="38"/>
      <c r="AO50" s="40"/>
      <c r="AP50" s="41"/>
    </row>
    <row r="51">
      <c r="A51" s="38"/>
      <c r="B51" s="38"/>
      <c r="C51" s="38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8"/>
      <c r="AK51" s="38"/>
      <c r="AL51" s="38"/>
      <c r="AM51" s="38"/>
      <c r="AN51" s="38"/>
      <c r="AO51" s="40"/>
      <c r="AP51" s="41"/>
    </row>
    <row r="52">
      <c r="A52" s="38"/>
      <c r="B52" s="38"/>
      <c r="C52" s="38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8"/>
      <c r="AK52" s="38"/>
      <c r="AL52" s="38"/>
      <c r="AM52" s="38"/>
      <c r="AN52" s="38"/>
      <c r="AO52" s="40"/>
      <c r="AP52" s="41"/>
    </row>
    <row r="53">
      <c r="A53" s="38"/>
      <c r="B53" s="38"/>
      <c r="C53" s="38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8"/>
      <c r="AK53" s="38"/>
      <c r="AL53" s="38"/>
      <c r="AM53" s="38"/>
      <c r="AN53" s="38"/>
      <c r="AO53" s="40"/>
      <c r="AP53" s="41"/>
    </row>
    <row r="54">
      <c r="A54" s="38"/>
      <c r="B54" s="38"/>
      <c r="C54" s="38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8"/>
      <c r="AK54" s="38"/>
      <c r="AL54" s="38"/>
      <c r="AM54" s="38"/>
      <c r="AN54" s="38"/>
      <c r="AO54" s="40"/>
      <c r="AP54" s="41"/>
    </row>
    <row r="55">
      <c r="A55" s="38"/>
      <c r="B55" s="38"/>
      <c r="C55" s="38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8"/>
      <c r="AK55" s="38"/>
      <c r="AL55" s="38"/>
      <c r="AM55" s="38"/>
      <c r="AN55" s="38"/>
      <c r="AO55" s="40"/>
      <c r="AP55" s="41"/>
    </row>
    <row r="56">
      <c r="A56" s="38"/>
      <c r="B56" s="38"/>
      <c r="C56" s="38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8"/>
      <c r="AK56" s="38"/>
      <c r="AL56" s="38"/>
      <c r="AM56" s="38"/>
      <c r="AN56" s="38"/>
      <c r="AO56" s="40"/>
      <c r="AP56" s="41"/>
    </row>
    <row r="57">
      <c r="A57" s="38"/>
      <c r="B57" s="38"/>
      <c r="C57" s="38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8"/>
      <c r="AK57" s="38"/>
      <c r="AL57" s="38"/>
      <c r="AM57" s="38"/>
      <c r="AN57" s="38"/>
      <c r="AO57" s="40"/>
      <c r="AP57" s="41"/>
    </row>
    <row r="58">
      <c r="A58" s="38"/>
      <c r="B58" s="38"/>
      <c r="C58" s="38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8"/>
      <c r="AK58" s="38"/>
      <c r="AL58" s="38"/>
      <c r="AM58" s="38"/>
      <c r="AN58" s="38"/>
      <c r="AO58" s="40"/>
      <c r="AP58" s="41"/>
    </row>
    <row r="59">
      <c r="A59" s="38"/>
      <c r="B59" s="38"/>
      <c r="C59" s="38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8"/>
      <c r="AK59" s="38"/>
      <c r="AL59" s="38"/>
      <c r="AM59" s="38"/>
      <c r="AN59" s="38"/>
      <c r="AO59" s="40"/>
      <c r="AP59" s="41"/>
    </row>
    <row r="60">
      <c r="A60" s="38"/>
      <c r="B60" s="38"/>
      <c r="C60" s="38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8"/>
      <c r="AK60" s="38"/>
      <c r="AL60" s="38"/>
      <c r="AM60" s="38"/>
      <c r="AN60" s="38"/>
      <c r="AO60" s="40"/>
      <c r="AP60" s="41"/>
    </row>
    <row r="61">
      <c r="A61" s="38"/>
      <c r="B61" s="38"/>
      <c r="C61" s="38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8"/>
      <c r="AK61" s="38"/>
      <c r="AL61" s="38"/>
      <c r="AM61" s="38"/>
      <c r="AN61" s="38"/>
      <c r="AO61" s="40"/>
      <c r="AP61" s="41"/>
    </row>
    <row r="62">
      <c r="A62" s="38"/>
      <c r="B62" s="38"/>
      <c r="C62" s="38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8"/>
      <c r="AK62" s="38"/>
      <c r="AL62" s="38"/>
      <c r="AM62" s="38"/>
      <c r="AN62" s="38"/>
      <c r="AO62" s="40"/>
      <c r="AP62" s="41"/>
    </row>
    <row r="63">
      <c r="A63" s="38"/>
      <c r="B63" s="38"/>
      <c r="C63" s="38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8"/>
      <c r="AK63" s="38"/>
      <c r="AL63" s="38"/>
      <c r="AM63" s="38"/>
      <c r="AN63" s="38"/>
      <c r="AO63" s="40"/>
      <c r="AP63" s="41"/>
    </row>
    <row r="64">
      <c r="A64" s="38"/>
      <c r="B64" s="38"/>
      <c r="C64" s="38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8"/>
      <c r="AK64" s="38"/>
      <c r="AL64" s="38"/>
      <c r="AM64" s="38"/>
      <c r="AN64" s="38"/>
      <c r="AO64" s="40"/>
      <c r="AP64" s="41"/>
    </row>
    <row r="65">
      <c r="A65" s="38"/>
      <c r="B65" s="38"/>
      <c r="C65" s="38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8"/>
      <c r="AK65" s="38"/>
      <c r="AL65" s="38"/>
      <c r="AM65" s="38"/>
      <c r="AN65" s="38"/>
      <c r="AO65" s="40"/>
      <c r="AP65" s="41"/>
    </row>
    <row r="66">
      <c r="A66" s="38"/>
      <c r="B66" s="38"/>
      <c r="C66" s="38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8"/>
      <c r="AK66" s="38"/>
      <c r="AL66" s="38"/>
      <c r="AM66" s="38"/>
      <c r="AN66" s="38"/>
      <c r="AO66" s="40"/>
      <c r="AP66" s="41"/>
    </row>
    <row r="67">
      <c r="A67" s="38"/>
      <c r="B67" s="38"/>
      <c r="C67" s="38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8"/>
      <c r="AK67" s="38"/>
      <c r="AL67" s="38"/>
      <c r="AM67" s="38"/>
      <c r="AN67" s="38"/>
      <c r="AO67" s="40"/>
      <c r="AP67" s="41"/>
    </row>
    <row r="68">
      <c r="A68" s="38"/>
      <c r="B68" s="38"/>
      <c r="C68" s="38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8"/>
      <c r="AK68" s="38"/>
      <c r="AL68" s="38"/>
      <c r="AM68" s="38"/>
      <c r="AN68" s="38"/>
      <c r="AO68" s="40"/>
      <c r="AP68" s="41"/>
    </row>
    <row r="69">
      <c r="A69" s="38"/>
      <c r="B69" s="38"/>
      <c r="C69" s="38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8"/>
      <c r="AK69" s="38"/>
      <c r="AL69" s="38"/>
      <c r="AM69" s="38"/>
      <c r="AN69" s="38"/>
      <c r="AO69" s="40"/>
      <c r="AP69" s="41"/>
    </row>
    <row r="70">
      <c r="A70" s="38"/>
      <c r="B70" s="38"/>
      <c r="C70" s="38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8"/>
      <c r="AK70" s="38"/>
      <c r="AL70" s="38"/>
      <c r="AM70" s="38"/>
      <c r="AN70" s="38"/>
      <c r="AO70" s="40"/>
      <c r="AP70" s="41"/>
    </row>
    <row r="71">
      <c r="A71" s="38"/>
      <c r="B71" s="38"/>
      <c r="C71" s="38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8"/>
      <c r="AK71" s="38"/>
      <c r="AL71" s="38"/>
      <c r="AM71" s="38"/>
      <c r="AN71" s="38"/>
      <c r="AO71" s="40"/>
      <c r="AP71" s="41"/>
    </row>
    <row r="72">
      <c r="A72" s="38"/>
      <c r="B72" s="38"/>
      <c r="C72" s="38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8"/>
      <c r="AK72" s="38"/>
      <c r="AL72" s="38"/>
      <c r="AM72" s="38"/>
      <c r="AN72" s="38"/>
      <c r="AO72" s="40"/>
      <c r="AP72" s="41"/>
    </row>
    <row r="73">
      <c r="A73" s="38"/>
      <c r="B73" s="38"/>
      <c r="C73" s="38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8"/>
      <c r="AK73" s="38"/>
      <c r="AL73" s="38"/>
      <c r="AM73" s="38"/>
      <c r="AN73" s="38"/>
      <c r="AO73" s="40"/>
      <c r="AP73" s="41"/>
    </row>
    <row r="74">
      <c r="A74" s="38"/>
      <c r="B74" s="38"/>
      <c r="C74" s="38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8"/>
      <c r="AK74" s="38"/>
      <c r="AL74" s="38"/>
      <c r="AM74" s="38"/>
      <c r="AN74" s="38"/>
      <c r="AO74" s="40"/>
      <c r="AP74" s="41"/>
    </row>
    <row r="75">
      <c r="A75" s="38"/>
      <c r="B75" s="38"/>
      <c r="C75" s="38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8"/>
      <c r="AK75" s="38"/>
      <c r="AL75" s="38"/>
      <c r="AM75" s="38"/>
      <c r="AN75" s="38"/>
      <c r="AO75" s="40"/>
      <c r="AP75" s="41"/>
    </row>
    <row r="76">
      <c r="A76" s="38"/>
      <c r="B76" s="38"/>
      <c r="C76" s="38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8"/>
      <c r="AK76" s="38"/>
      <c r="AL76" s="38"/>
      <c r="AM76" s="38"/>
      <c r="AN76" s="38"/>
      <c r="AO76" s="40"/>
      <c r="AP76" s="41"/>
    </row>
    <row r="77">
      <c r="A77" s="38"/>
      <c r="B77" s="38"/>
      <c r="C77" s="38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8"/>
      <c r="AK77" s="38"/>
      <c r="AL77" s="38"/>
      <c r="AM77" s="38"/>
      <c r="AN77" s="38"/>
      <c r="AO77" s="40"/>
      <c r="AP77" s="41"/>
    </row>
    <row r="78">
      <c r="A78" s="38"/>
      <c r="B78" s="38"/>
      <c r="C78" s="38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8"/>
      <c r="AK78" s="38"/>
      <c r="AL78" s="38"/>
      <c r="AM78" s="38"/>
      <c r="AN78" s="38"/>
      <c r="AO78" s="40"/>
      <c r="AP78" s="41"/>
    </row>
    <row r="79">
      <c r="A79" s="38"/>
      <c r="B79" s="38"/>
      <c r="C79" s="38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8"/>
      <c r="AK79" s="38"/>
      <c r="AL79" s="38"/>
      <c r="AM79" s="38"/>
      <c r="AN79" s="38"/>
      <c r="AO79" s="40"/>
      <c r="AP79" s="41"/>
    </row>
    <row r="80">
      <c r="A80" s="38"/>
      <c r="B80" s="38"/>
      <c r="C80" s="38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8"/>
      <c r="AK80" s="38"/>
      <c r="AL80" s="38"/>
      <c r="AM80" s="38"/>
      <c r="AN80" s="38"/>
      <c r="AO80" s="40"/>
      <c r="AP80" s="41"/>
    </row>
    <row r="81">
      <c r="A81" s="38"/>
      <c r="B81" s="38"/>
      <c r="C81" s="38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8"/>
      <c r="AK81" s="38"/>
      <c r="AL81" s="38"/>
      <c r="AM81" s="38"/>
      <c r="AN81" s="38"/>
      <c r="AO81" s="40"/>
      <c r="AP81" s="41"/>
    </row>
    <row r="82">
      <c r="A82" s="38"/>
      <c r="B82" s="38"/>
      <c r="C82" s="38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8"/>
      <c r="AK82" s="38"/>
      <c r="AL82" s="38"/>
      <c r="AM82" s="38"/>
      <c r="AN82" s="38"/>
      <c r="AO82" s="40"/>
      <c r="AP82" s="41"/>
    </row>
    <row r="83">
      <c r="A83" s="38"/>
      <c r="B83" s="38"/>
      <c r="C83" s="38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8"/>
      <c r="AK83" s="38"/>
      <c r="AL83" s="38"/>
      <c r="AM83" s="38"/>
      <c r="AN83" s="38"/>
      <c r="AO83" s="40"/>
      <c r="AP83" s="41"/>
    </row>
    <row r="84">
      <c r="A84" s="38"/>
      <c r="B84" s="38"/>
      <c r="C84" s="38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8"/>
      <c r="AK84" s="38"/>
      <c r="AL84" s="38"/>
      <c r="AM84" s="38"/>
      <c r="AN84" s="38"/>
      <c r="AO84" s="40"/>
      <c r="AP84" s="41"/>
    </row>
    <row r="85">
      <c r="A85" s="38"/>
      <c r="B85" s="38"/>
      <c r="C85" s="38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8"/>
      <c r="AK85" s="38"/>
      <c r="AL85" s="38"/>
      <c r="AM85" s="38"/>
      <c r="AN85" s="38"/>
      <c r="AO85" s="40"/>
      <c r="AP85" s="41"/>
    </row>
    <row r="86">
      <c r="A86" s="38"/>
      <c r="B86" s="38"/>
      <c r="C86" s="38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8"/>
      <c r="AK86" s="38"/>
      <c r="AL86" s="38"/>
      <c r="AM86" s="38"/>
      <c r="AN86" s="38"/>
      <c r="AO86" s="40"/>
      <c r="AP86" s="41"/>
    </row>
    <row r="87">
      <c r="A87" s="38"/>
      <c r="B87" s="38"/>
      <c r="C87" s="38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8"/>
      <c r="AK87" s="38"/>
      <c r="AL87" s="38"/>
      <c r="AM87" s="38"/>
      <c r="AN87" s="38"/>
      <c r="AO87" s="40"/>
      <c r="AP87" s="41"/>
    </row>
    <row r="88">
      <c r="A88" s="38"/>
      <c r="B88" s="38"/>
      <c r="C88" s="38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8"/>
      <c r="AK88" s="38"/>
      <c r="AL88" s="38"/>
      <c r="AM88" s="38"/>
      <c r="AN88" s="38"/>
      <c r="AO88" s="40"/>
      <c r="AP88" s="41"/>
    </row>
    <row r="89">
      <c r="A89" s="38"/>
      <c r="B89" s="38"/>
      <c r="C89" s="38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8"/>
      <c r="AK89" s="38"/>
      <c r="AL89" s="38"/>
      <c r="AM89" s="38"/>
      <c r="AN89" s="38"/>
      <c r="AO89" s="40"/>
      <c r="AP89" s="41"/>
    </row>
    <row r="90">
      <c r="A90" s="38"/>
      <c r="B90" s="38"/>
      <c r="C90" s="38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8"/>
      <c r="AK90" s="38"/>
      <c r="AL90" s="38"/>
      <c r="AM90" s="38"/>
      <c r="AN90" s="38"/>
      <c r="AO90" s="40"/>
      <c r="AP90" s="41"/>
    </row>
    <row r="91">
      <c r="A91" s="38"/>
      <c r="B91" s="38"/>
      <c r="C91" s="38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8"/>
      <c r="AK91" s="38"/>
      <c r="AL91" s="38"/>
      <c r="AM91" s="38"/>
      <c r="AN91" s="38"/>
      <c r="AO91" s="40"/>
      <c r="AP91" s="41"/>
    </row>
    <row r="92">
      <c r="A92" s="38"/>
      <c r="B92" s="38"/>
      <c r="C92" s="38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8"/>
      <c r="AK92" s="38"/>
      <c r="AL92" s="38"/>
      <c r="AM92" s="38"/>
      <c r="AN92" s="38"/>
      <c r="AO92" s="40"/>
      <c r="AP92" s="41"/>
    </row>
    <row r="93">
      <c r="A93" s="38"/>
      <c r="B93" s="38"/>
      <c r="C93" s="38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8"/>
      <c r="AK93" s="38"/>
      <c r="AL93" s="38"/>
      <c r="AM93" s="38"/>
      <c r="AN93" s="38"/>
      <c r="AO93" s="40"/>
      <c r="AP93" s="41"/>
    </row>
    <row r="94">
      <c r="A94" s="38"/>
      <c r="B94" s="38"/>
      <c r="C94" s="38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8"/>
      <c r="AK94" s="38"/>
      <c r="AL94" s="38"/>
      <c r="AM94" s="38"/>
      <c r="AN94" s="38"/>
      <c r="AO94" s="40"/>
      <c r="AP94" s="41"/>
    </row>
    <row r="95">
      <c r="A95" s="38"/>
      <c r="B95" s="38"/>
      <c r="C95" s="38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8"/>
      <c r="AK95" s="38"/>
      <c r="AL95" s="38"/>
      <c r="AM95" s="38"/>
      <c r="AN95" s="38"/>
      <c r="AO95" s="40"/>
      <c r="AP95" s="41"/>
    </row>
    <row r="96">
      <c r="A96" s="38"/>
      <c r="B96" s="38"/>
      <c r="C96" s="38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8"/>
      <c r="AK96" s="38"/>
      <c r="AL96" s="38"/>
      <c r="AM96" s="38"/>
      <c r="AN96" s="38"/>
      <c r="AO96" s="40"/>
      <c r="AP96" s="41"/>
    </row>
    <row r="97">
      <c r="A97" s="38"/>
      <c r="B97" s="38"/>
      <c r="C97" s="38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8"/>
      <c r="AK97" s="38"/>
      <c r="AL97" s="38"/>
      <c r="AM97" s="38"/>
      <c r="AN97" s="38"/>
      <c r="AO97" s="40"/>
      <c r="AP97" s="41"/>
    </row>
    <row r="98">
      <c r="A98" s="38"/>
      <c r="B98" s="38"/>
      <c r="C98" s="38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8"/>
      <c r="AK98" s="38"/>
      <c r="AL98" s="38"/>
      <c r="AM98" s="38"/>
      <c r="AN98" s="38"/>
      <c r="AO98" s="40"/>
      <c r="AP98" s="41"/>
    </row>
    <row r="99">
      <c r="A99" s="38"/>
      <c r="B99" s="38"/>
      <c r="C99" s="38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8"/>
      <c r="AK99" s="38"/>
      <c r="AL99" s="38"/>
      <c r="AM99" s="38"/>
      <c r="AN99" s="38"/>
      <c r="AO99" s="40"/>
      <c r="AP99" s="41"/>
    </row>
    <row r="100">
      <c r="A100" s="38"/>
      <c r="B100" s="38"/>
      <c r="C100" s="38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8"/>
      <c r="AK100" s="38"/>
      <c r="AL100" s="38"/>
      <c r="AM100" s="38"/>
      <c r="AN100" s="38"/>
      <c r="AO100" s="40"/>
      <c r="AP100" s="41"/>
    </row>
    <row r="101">
      <c r="A101" s="38"/>
      <c r="B101" s="38"/>
      <c r="C101" s="38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8"/>
      <c r="AK101" s="38"/>
      <c r="AL101" s="38"/>
      <c r="AM101" s="38"/>
      <c r="AN101" s="38"/>
      <c r="AO101" s="40"/>
      <c r="AP101" s="41"/>
    </row>
    <row r="102">
      <c r="A102" s="38"/>
      <c r="B102" s="38"/>
      <c r="C102" s="38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8"/>
      <c r="AK102" s="38"/>
      <c r="AL102" s="38"/>
      <c r="AM102" s="38"/>
      <c r="AN102" s="38"/>
      <c r="AO102" s="40"/>
      <c r="AP102" s="41"/>
    </row>
    <row r="103">
      <c r="A103" s="38"/>
      <c r="B103" s="38"/>
      <c r="C103" s="38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8"/>
      <c r="AK103" s="38"/>
      <c r="AL103" s="38"/>
      <c r="AM103" s="38"/>
      <c r="AN103" s="38"/>
      <c r="AO103" s="40"/>
      <c r="AP103" s="41"/>
    </row>
    <row r="104">
      <c r="A104" s="38"/>
      <c r="B104" s="38"/>
      <c r="C104" s="38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8"/>
      <c r="AK104" s="38"/>
      <c r="AL104" s="38"/>
      <c r="AM104" s="38"/>
      <c r="AN104" s="38"/>
      <c r="AO104" s="40"/>
      <c r="AP104" s="41"/>
    </row>
    <row r="105">
      <c r="A105" s="38"/>
      <c r="B105" s="38"/>
      <c r="C105" s="38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8"/>
      <c r="AK105" s="38"/>
      <c r="AL105" s="38"/>
      <c r="AM105" s="38"/>
      <c r="AN105" s="38"/>
      <c r="AO105" s="40"/>
      <c r="AP105" s="41"/>
    </row>
    <row r="106">
      <c r="A106" s="38"/>
      <c r="B106" s="38"/>
      <c r="C106" s="38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8"/>
      <c r="AK106" s="38"/>
      <c r="AL106" s="38"/>
      <c r="AM106" s="38"/>
      <c r="AN106" s="38"/>
      <c r="AO106" s="40"/>
      <c r="AP106" s="41"/>
    </row>
    <row r="107">
      <c r="A107" s="38"/>
      <c r="B107" s="38"/>
      <c r="C107" s="38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8"/>
      <c r="AK107" s="38"/>
      <c r="AL107" s="38"/>
      <c r="AM107" s="38"/>
      <c r="AN107" s="38"/>
      <c r="AO107" s="40"/>
      <c r="AP107" s="41"/>
    </row>
    <row r="108">
      <c r="A108" s="38"/>
      <c r="B108" s="38"/>
      <c r="C108" s="38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8"/>
      <c r="AK108" s="38"/>
      <c r="AL108" s="38"/>
      <c r="AM108" s="38"/>
      <c r="AN108" s="38"/>
      <c r="AO108" s="40"/>
      <c r="AP108" s="41"/>
    </row>
    <row r="109">
      <c r="A109" s="38"/>
      <c r="B109" s="38"/>
      <c r="C109" s="38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8"/>
      <c r="AK109" s="38"/>
      <c r="AL109" s="38"/>
      <c r="AM109" s="38"/>
      <c r="AN109" s="38"/>
      <c r="AO109" s="40"/>
      <c r="AP109" s="41"/>
    </row>
    <row r="110">
      <c r="A110" s="38"/>
      <c r="B110" s="38"/>
      <c r="C110" s="38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8"/>
      <c r="AK110" s="38"/>
      <c r="AL110" s="38"/>
      <c r="AM110" s="38"/>
      <c r="AN110" s="38"/>
      <c r="AO110" s="40"/>
      <c r="AP110" s="41"/>
    </row>
    <row r="111">
      <c r="A111" s="38"/>
      <c r="B111" s="38"/>
      <c r="C111" s="38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8"/>
      <c r="AK111" s="38"/>
      <c r="AL111" s="38"/>
      <c r="AM111" s="38"/>
      <c r="AN111" s="38"/>
      <c r="AO111" s="40"/>
      <c r="AP111" s="41"/>
    </row>
    <row r="112">
      <c r="A112" s="38"/>
      <c r="B112" s="38"/>
      <c r="C112" s="38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8"/>
      <c r="AK112" s="38"/>
      <c r="AL112" s="38"/>
      <c r="AM112" s="38"/>
      <c r="AN112" s="38"/>
      <c r="AO112" s="40"/>
      <c r="AP112" s="41"/>
    </row>
    <row r="113">
      <c r="A113" s="38"/>
      <c r="B113" s="38"/>
      <c r="C113" s="38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8"/>
      <c r="AK113" s="38"/>
      <c r="AL113" s="38"/>
      <c r="AM113" s="38"/>
      <c r="AN113" s="38"/>
      <c r="AO113" s="40"/>
      <c r="AP113" s="41"/>
    </row>
    <row r="114">
      <c r="A114" s="38"/>
      <c r="B114" s="38"/>
      <c r="C114" s="38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8"/>
      <c r="AK114" s="38"/>
      <c r="AL114" s="38"/>
      <c r="AM114" s="38"/>
      <c r="AN114" s="38"/>
      <c r="AO114" s="40"/>
      <c r="AP114" s="41"/>
    </row>
    <row r="115">
      <c r="A115" s="38"/>
      <c r="B115" s="38"/>
      <c r="C115" s="38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8"/>
      <c r="AK115" s="38"/>
      <c r="AL115" s="38"/>
      <c r="AM115" s="38"/>
      <c r="AN115" s="38"/>
      <c r="AO115" s="40"/>
      <c r="AP115" s="41"/>
    </row>
    <row r="116">
      <c r="A116" s="38"/>
      <c r="B116" s="38"/>
      <c r="C116" s="38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8"/>
      <c r="AK116" s="38"/>
      <c r="AL116" s="38"/>
      <c r="AM116" s="38"/>
      <c r="AN116" s="38"/>
      <c r="AO116" s="40"/>
      <c r="AP116" s="41"/>
    </row>
    <row r="117">
      <c r="A117" s="38"/>
      <c r="B117" s="38"/>
      <c r="C117" s="38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8"/>
      <c r="AK117" s="38"/>
      <c r="AL117" s="38"/>
      <c r="AM117" s="38"/>
      <c r="AN117" s="38"/>
      <c r="AO117" s="40"/>
      <c r="AP117" s="41"/>
    </row>
    <row r="118">
      <c r="A118" s="38"/>
      <c r="B118" s="38"/>
      <c r="C118" s="38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8"/>
      <c r="AK118" s="38"/>
      <c r="AL118" s="38"/>
      <c r="AM118" s="38"/>
      <c r="AN118" s="38"/>
      <c r="AO118" s="40"/>
      <c r="AP118" s="41"/>
    </row>
    <row r="119">
      <c r="A119" s="38"/>
      <c r="B119" s="38"/>
      <c r="C119" s="38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8"/>
      <c r="AK119" s="38"/>
      <c r="AL119" s="38"/>
      <c r="AM119" s="38"/>
      <c r="AN119" s="38"/>
      <c r="AO119" s="40"/>
      <c r="AP119" s="41"/>
    </row>
    <row r="120">
      <c r="A120" s="38"/>
      <c r="B120" s="38"/>
      <c r="C120" s="38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8"/>
      <c r="AK120" s="38"/>
      <c r="AL120" s="38"/>
      <c r="AM120" s="38"/>
      <c r="AN120" s="38"/>
      <c r="AO120" s="40"/>
      <c r="AP120" s="41"/>
    </row>
    <row r="121">
      <c r="A121" s="38"/>
      <c r="B121" s="38"/>
      <c r="C121" s="38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8"/>
      <c r="AK121" s="38"/>
      <c r="AL121" s="38"/>
      <c r="AM121" s="38"/>
      <c r="AN121" s="38"/>
      <c r="AO121" s="40"/>
      <c r="AP121" s="41"/>
    </row>
    <row r="122">
      <c r="A122" s="38"/>
      <c r="B122" s="38"/>
      <c r="C122" s="38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8"/>
      <c r="AK122" s="38"/>
      <c r="AL122" s="38"/>
      <c r="AM122" s="38"/>
      <c r="AN122" s="38"/>
      <c r="AO122" s="40"/>
      <c r="AP122" s="41"/>
    </row>
    <row r="123">
      <c r="A123" s="38"/>
      <c r="B123" s="38"/>
      <c r="C123" s="38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8"/>
      <c r="AK123" s="38"/>
      <c r="AL123" s="38"/>
      <c r="AM123" s="38"/>
      <c r="AN123" s="38"/>
      <c r="AO123" s="40"/>
      <c r="AP123" s="41"/>
    </row>
    <row r="124">
      <c r="A124" s="38"/>
      <c r="B124" s="38"/>
      <c r="C124" s="38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8"/>
      <c r="AK124" s="38"/>
      <c r="AL124" s="38"/>
      <c r="AM124" s="38"/>
      <c r="AN124" s="38"/>
      <c r="AO124" s="40"/>
      <c r="AP124" s="41"/>
    </row>
    <row r="125">
      <c r="A125" s="38"/>
      <c r="B125" s="38"/>
      <c r="C125" s="38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8"/>
      <c r="AK125" s="38"/>
      <c r="AL125" s="38"/>
      <c r="AM125" s="38"/>
      <c r="AN125" s="38"/>
      <c r="AO125" s="40"/>
      <c r="AP125" s="41"/>
    </row>
    <row r="126">
      <c r="A126" s="38"/>
      <c r="B126" s="38"/>
      <c r="C126" s="38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8"/>
      <c r="AK126" s="38"/>
      <c r="AL126" s="38"/>
      <c r="AM126" s="38"/>
      <c r="AN126" s="38"/>
      <c r="AO126" s="40"/>
      <c r="AP126" s="41"/>
    </row>
    <row r="127">
      <c r="A127" s="38"/>
      <c r="B127" s="38"/>
      <c r="C127" s="38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8"/>
      <c r="AK127" s="38"/>
      <c r="AL127" s="38"/>
      <c r="AM127" s="38"/>
      <c r="AN127" s="38"/>
      <c r="AO127" s="40"/>
      <c r="AP127" s="41"/>
    </row>
    <row r="128">
      <c r="A128" s="38"/>
      <c r="B128" s="38"/>
      <c r="C128" s="38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8"/>
      <c r="AK128" s="38"/>
      <c r="AL128" s="38"/>
      <c r="AM128" s="38"/>
      <c r="AN128" s="38"/>
      <c r="AO128" s="40"/>
      <c r="AP128" s="41"/>
    </row>
    <row r="129">
      <c r="A129" s="38"/>
      <c r="B129" s="38"/>
      <c r="C129" s="38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8"/>
      <c r="AK129" s="38"/>
      <c r="AL129" s="38"/>
      <c r="AM129" s="38"/>
      <c r="AN129" s="38"/>
      <c r="AO129" s="40"/>
      <c r="AP129" s="41"/>
    </row>
    <row r="130">
      <c r="A130" s="38"/>
      <c r="B130" s="38"/>
      <c r="C130" s="38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8"/>
      <c r="AK130" s="38"/>
      <c r="AL130" s="38"/>
      <c r="AM130" s="38"/>
      <c r="AN130" s="38"/>
      <c r="AO130" s="40"/>
      <c r="AP130" s="41"/>
    </row>
    <row r="131">
      <c r="A131" s="38"/>
      <c r="B131" s="38"/>
      <c r="C131" s="38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8"/>
      <c r="AK131" s="38"/>
      <c r="AL131" s="38"/>
      <c r="AM131" s="38"/>
      <c r="AN131" s="38"/>
      <c r="AO131" s="40"/>
      <c r="AP131" s="41"/>
    </row>
    <row r="132">
      <c r="A132" s="38"/>
      <c r="B132" s="38"/>
      <c r="C132" s="38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8"/>
      <c r="AK132" s="38"/>
      <c r="AL132" s="38"/>
      <c r="AM132" s="38"/>
      <c r="AN132" s="38"/>
      <c r="AO132" s="40"/>
      <c r="AP132" s="41"/>
    </row>
    <row r="133">
      <c r="A133" s="38"/>
      <c r="B133" s="38"/>
      <c r="C133" s="38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8"/>
      <c r="AK133" s="38"/>
      <c r="AL133" s="38"/>
      <c r="AM133" s="38"/>
      <c r="AN133" s="38"/>
      <c r="AO133" s="40"/>
      <c r="AP133" s="41"/>
    </row>
    <row r="134">
      <c r="A134" s="38"/>
      <c r="B134" s="38"/>
      <c r="C134" s="38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8"/>
      <c r="AK134" s="38"/>
      <c r="AL134" s="38"/>
      <c r="AM134" s="38"/>
      <c r="AN134" s="38"/>
      <c r="AO134" s="40"/>
      <c r="AP134" s="41"/>
    </row>
    <row r="135">
      <c r="A135" s="38"/>
      <c r="B135" s="38"/>
      <c r="C135" s="38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8"/>
      <c r="AK135" s="38"/>
      <c r="AL135" s="38"/>
      <c r="AM135" s="38"/>
      <c r="AN135" s="38"/>
      <c r="AO135" s="40"/>
      <c r="AP135" s="41"/>
    </row>
    <row r="136">
      <c r="A136" s="38"/>
      <c r="B136" s="38"/>
      <c r="C136" s="38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8"/>
      <c r="AK136" s="38"/>
      <c r="AL136" s="38"/>
      <c r="AM136" s="38"/>
      <c r="AN136" s="38"/>
      <c r="AO136" s="40"/>
      <c r="AP136" s="41"/>
    </row>
    <row r="137">
      <c r="A137" s="38"/>
      <c r="B137" s="38"/>
      <c r="C137" s="38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8"/>
      <c r="AK137" s="38"/>
      <c r="AL137" s="38"/>
      <c r="AM137" s="38"/>
      <c r="AN137" s="38"/>
      <c r="AO137" s="40"/>
      <c r="AP137" s="41"/>
    </row>
    <row r="138">
      <c r="A138" s="38"/>
      <c r="B138" s="38"/>
      <c r="C138" s="38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8"/>
      <c r="AK138" s="38"/>
      <c r="AL138" s="38"/>
      <c r="AM138" s="38"/>
      <c r="AN138" s="38"/>
      <c r="AO138" s="40"/>
      <c r="AP138" s="41"/>
    </row>
    <row r="139">
      <c r="A139" s="38"/>
      <c r="B139" s="38"/>
      <c r="C139" s="38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8"/>
      <c r="AK139" s="38"/>
      <c r="AL139" s="38"/>
      <c r="AM139" s="38"/>
      <c r="AN139" s="38"/>
      <c r="AO139" s="40"/>
      <c r="AP139" s="41"/>
    </row>
    <row r="140">
      <c r="A140" s="38"/>
      <c r="B140" s="38"/>
      <c r="C140" s="38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8"/>
      <c r="AK140" s="38"/>
      <c r="AL140" s="38"/>
      <c r="AM140" s="38"/>
      <c r="AN140" s="38"/>
      <c r="AO140" s="40"/>
      <c r="AP140" s="41"/>
    </row>
    <row r="141">
      <c r="A141" s="38"/>
      <c r="B141" s="38"/>
      <c r="C141" s="38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8"/>
      <c r="AK141" s="38"/>
      <c r="AL141" s="38"/>
      <c r="AM141" s="38"/>
      <c r="AN141" s="38"/>
      <c r="AO141" s="40"/>
      <c r="AP141" s="41"/>
    </row>
    <row r="142">
      <c r="A142" s="38"/>
      <c r="B142" s="38"/>
      <c r="C142" s="38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8"/>
      <c r="AK142" s="38"/>
      <c r="AL142" s="38"/>
      <c r="AM142" s="38"/>
      <c r="AN142" s="38"/>
      <c r="AO142" s="40"/>
      <c r="AP142" s="41"/>
    </row>
    <row r="143">
      <c r="A143" s="38"/>
      <c r="B143" s="38"/>
      <c r="C143" s="38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8"/>
      <c r="AK143" s="38"/>
      <c r="AL143" s="38"/>
      <c r="AM143" s="38"/>
      <c r="AN143" s="38"/>
      <c r="AO143" s="40"/>
      <c r="AP143" s="41"/>
    </row>
    <row r="144">
      <c r="A144" s="38"/>
      <c r="B144" s="38"/>
      <c r="C144" s="38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8"/>
      <c r="AK144" s="38"/>
      <c r="AL144" s="38"/>
      <c r="AM144" s="38"/>
      <c r="AN144" s="38"/>
      <c r="AO144" s="40"/>
      <c r="AP144" s="41"/>
    </row>
    <row r="145">
      <c r="A145" s="38"/>
      <c r="B145" s="38"/>
      <c r="C145" s="38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8"/>
      <c r="AK145" s="38"/>
      <c r="AL145" s="38"/>
      <c r="AM145" s="38"/>
      <c r="AN145" s="38"/>
      <c r="AO145" s="40"/>
      <c r="AP145" s="41"/>
    </row>
    <row r="146">
      <c r="A146" s="38"/>
      <c r="B146" s="38"/>
      <c r="C146" s="38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8"/>
      <c r="AK146" s="38"/>
      <c r="AL146" s="38"/>
      <c r="AM146" s="38"/>
      <c r="AN146" s="38"/>
      <c r="AO146" s="40"/>
      <c r="AP146" s="41"/>
    </row>
    <row r="147">
      <c r="A147" s="38"/>
      <c r="B147" s="38"/>
      <c r="C147" s="38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8"/>
      <c r="AK147" s="38"/>
      <c r="AL147" s="38"/>
      <c r="AM147" s="38"/>
      <c r="AN147" s="38"/>
      <c r="AO147" s="40"/>
      <c r="AP147" s="41"/>
    </row>
    <row r="148">
      <c r="A148" s="38"/>
      <c r="B148" s="38"/>
      <c r="C148" s="38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8"/>
      <c r="AK148" s="38"/>
      <c r="AL148" s="38"/>
      <c r="AM148" s="38"/>
      <c r="AN148" s="38"/>
      <c r="AO148" s="40"/>
      <c r="AP148" s="41"/>
    </row>
    <row r="149">
      <c r="A149" s="38"/>
      <c r="B149" s="38"/>
      <c r="C149" s="38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8"/>
      <c r="AK149" s="38"/>
      <c r="AL149" s="38"/>
      <c r="AM149" s="38"/>
      <c r="AN149" s="38"/>
      <c r="AO149" s="40"/>
      <c r="AP149" s="41"/>
    </row>
    <row r="150">
      <c r="A150" s="38"/>
      <c r="B150" s="38"/>
      <c r="C150" s="38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8"/>
      <c r="AK150" s="38"/>
      <c r="AL150" s="38"/>
      <c r="AM150" s="38"/>
      <c r="AN150" s="38"/>
      <c r="AO150" s="40"/>
      <c r="AP150" s="41"/>
    </row>
    <row r="151">
      <c r="A151" s="38"/>
      <c r="B151" s="38"/>
      <c r="C151" s="38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8"/>
      <c r="AK151" s="38"/>
      <c r="AL151" s="38"/>
      <c r="AM151" s="38"/>
      <c r="AN151" s="38"/>
      <c r="AO151" s="40"/>
      <c r="AP151" s="41"/>
    </row>
    <row r="152">
      <c r="A152" s="38"/>
      <c r="B152" s="38"/>
      <c r="C152" s="38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8"/>
      <c r="AK152" s="38"/>
      <c r="AL152" s="38"/>
      <c r="AM152" s="38"/>
      <c r="AN152" s="38"/>
      <c r="AO152" s="40"/>
      <c r="AP152" s="41"/>
    </row>
    <row r="153">
      <c r="A153" s="38"/>
      <c r="B153" s="38"/>
      <c r="C153" s="38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8"/>
      <c r="AK153" s="38"/>
      <c r="AL153" s="38"/>
      <c r="AM153" s="38"/>
      <c r="AN153" s="38"/>
      <c r="AO153" s="40"/>
      <c r="AP153" s="41"/>
    </row>
    <row r="154">
      <c r="A154" s="38"/>
      <c r="B154" s="38"/>
      <c r="C154" s="38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8"/>
      <c r="AK154" s="38"/>
      <c r="AL154" s="38"/>
      <c r="AM154" s="38"/>
      <c r="AN154" s="38"/>
      <c r="AO154" s="40"/>
      <c r="AP154" s="41"/>
    </row>
    <row r="155">
      <c r="A155" s="38"/>
      <c r="B155" s="38"/>
      <c r="C155" s="38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8"/>
      <c r="AK155" s="38"/>
      <c r="AL155" s="38"/>
      <c r="AM155" s="38"/>
      <c r="AN155" s="38"/>
      <c r="AO155" s="40"/>
      <c r="AP155" s="41"/>
    </row>
    <row r="156">
      <c r="A156" s="38"/>
      <c r="B156" s="38"/>
      <c r="C156" s="38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8"/>
      <c r="AK156" s="38"/>
      <c r="AL156" s="38"/>
      <c r="AM156" s="38"/>
      <c r="AN156" s="38"/>
      <c r="AO156" s="40"/>
      <c r="AP156" s="41"/>
    </row>
    <row r="157">
      <c r="A157" s="38"/>
      <c r="B157" s="38"/>
      <c r="C157" s="38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8"/>
      <c r="AK157" s="38"/>
      <c r="AL157" s="38"/>
      <c r="AM157" s="38"/>
      <c r="AN157" s="38"/>
      <c r="AO157" s="40"/>
      <c r="AP157" s="41"/>
    </row>
    <row r="158">
      <c r="A158" s="38"/>
      <c r="B158" s="38"/>
      <c r="C158" s="38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8"/>
      <c r="AK158" s="38"/>
      <c r="AL158" s="38"/>
      <c r="AM158" s="38"/>
      <c r="AN158" s="38"/>
      <c r="AO158" s="40"/>
      <c r="AP158" s="41"/>
    </row>
    <row r="159">
      <c r="A159" s="38"/>
      <c r="B159" s="38"/>
      <c r="C159" s="38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8"/>
      <c r="AK159" s="38"/>
      <c r="AL159" s="38"/>
      <c r="AM159" s="38"/>
      <c r="AN159" s="38"/>
      <c r="AO159" s="40"/>
      <c r="AP159" s="41"/>
    </row>
    <row r="160">
      <c r="A160" s="38"/>
      <c r="B160" s="38"/>
      <c r="C160" s="38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8"/>
      <c r="AK160" s="38"/>
      <c r="AL160" s="38"/>
      <c r="AM160" s="38"/>
      <c r="AN160" s="38"/>
      <c r="AO160" s="40"/>
      <c r="AP160" s="41"/>
    </row>
    <row r="161">
      <c r="A161" s="38"/>
      <c r="B161" s="38"/>
      <c r="C161" s="38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8"/>
      <c r="AK161" s="38"/>
      <c r="AL161" s="38"/>
      <c r="AM161" s="38"/>
      <c r="AN161" s="38"/>
      <c r="AO161" s="40"/>
      <c r="AP161" s="41"/>
    </row>
    <row r="162">
      <c r="A162" s="38"/>
      <c r="B162" s="38"/>
      <c r="C162" s="38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8"/>
      <c r="AK162" s="38"/>
      <c r="AL162" s="38"/>
      <c r="AM162" s="38"/>
      <c r="AN162" s="38"/>
      <c r="AO162" s="40"/>
      <c r="AP162" s="41"/>
    </row>
    <row r="163">
      <c r="A163" s="38"/>
      <c r="B163" s="38"/>
      <c r="C163" s="38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8"/>
      <c r="AK163" s="38"/>
      <c r="AL163" s="38"/>
      <c r="AM163" s="38"/>
      <c r="AN163" s="38"/>
      <c r="AO163" s="40"/>
      <c r="AP163" s="41"/>
    </row>
    <row r="164">
      <c r="A164" s="38"/>
      <c r="B164" s="38"/>
      <c r="C164" s="38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8"/>
      <c r="AK164" s="38"/>
      <c r="AL164" s="38"/>
      <c r="AM164" s="38"/>
      <c r="AN164" s="38"/>
      <c r="AO164" s="40"/>
      <c r="AP164" s="41"/>
    </row>
    <row r="165">
      <c r="A165" s="38"/>
      <c r="B165" s="38"/>
      <c r="C165" s="38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8"/>
      <c r="AK165" s="38"/>
      <c r="AL165" s="38"/>
      <c r="AM165" s="38"/>
      <c r="AN165" s="38"/>
      <c r="AO165" s="40"/>
      <c r="AP165" s="41"/>
    </row>
    <row r="166">
      <c r="A166" s="38"/>
      <c r="B166" s="38"/>
      <c r="C166" s="38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8"/>
      <c r="AK166" s="38"/>
      <c r="AL166" s="38"/>
      <c r="AM166" s="38"/>
      <c r="AN166" s="38"/>
      <c r="AO166" s="40"/>
      <c r="AP166" s="41"/>
    </row>
    <row r="167">
      <c r="A167" s="38"/>
      <c r="B167" s="38"/>
      <c r="C167" s="38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8"/>
      <c r="AK167" s="38"/>
      <c r="AL167" s="38"/>
      <c r="AM167" s="38"/>
      <c r="AN167" s="38"/>
      <c r="AO167" s="40"/>
      <c r="AP167" s="41"/>
    </row>
    <row r="168">
      <c r="A168" s="38"/>
      <c r="B168" s="38"/>
      <c r="C168" s="38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8"/>
      <c r="AK168" s="38"/>
      <c r="AL168" s="38"/>
      <c r="AM168" s="38"/>
      <c r="AN168" s="38"/>
      <c r="AO168" s="40"/>
      <c r="AP168" s="41"/>
    </row>
    <row r="169">
      <c r="A169" s="38"/>
      <c r="B169" s="38"/>
      <c r="C169" s="38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8"/>
      <c r="AK169" s="38"/>
      <c r="AL169" s="38"/>
      <c r="AM169" s="38"/>
      <c r="AN169" s="38"/>
      <c r="AO169" s="40"/>
      <c r="AP169" s="41"/>
    </row>
    <row r="170">
      <c r="A170" s="38"/>
      <c r="B170" s="38"/>
      <c r="C170" s="38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8"/>
      <c r="AK170" s="38"/>
      <c r="AL170" s="38"/>
      <c r="AM170" s="38"/>
      <c r="AN170" s="38"/>
      <c r="AO170" s="40"/>
      <c r="AP170" s="41"/>
    </row>
    <row r="171">
      <c r="A171" s="38"/>
      <c r="B171" s="38"/>
      <c r="C171" s="38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8"/>
      <c r="AK171" s="38"/>
      <c r="AL171" s="38"/>
      <c r="AM171" s="38"/>
      <c r="AN171" s="38"/>
      <c r="AO171" s="40"/>
      <c r="AP171" s="41"/>
    </row>
    <row r="172">
      <c r="A172" s="38"/>
      <c r="B172" s="38"/>
      <c r="C172" s="38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8"/>
      <c r="AK172" s="38"/>
      <c r="AL172" s="38"/>
      <c r="AM172" s="38"/>
      <c r="AN172" s="38"/>
      <c r="AO172" s="40"/>
      <c r="AP172" s="41"/>
    </row>
    <row r="173">
      <c r="A173" s="38"/>
      <c r="B173" s="38"/>
      <c r="C173" s="38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8"/>
      <c r="AK173" s="38"/>
      <c r="AL173" s="38"/>
      <c r="AM173" s="38"/>
      <c r="AN173" s="38"/>
      <c r="AO173" s="40"/>
      <c r="AP173" s="41"/>
    </row>
    <row r="174">
      <c r="A174" s="38"/>
      <c r="B174" s="38"/>
      <c r="C174" s="38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8"/>
      <c r="AK174" s="38"/>
      <c r="AL174" s="38"/>
      <c r="AM174" s="38"/>
      <c r="AN174" s="38"/>
      <c r="AO174" s="40"/>
      <c r="AP174" s="41"/>
    </row>
    <row r="175">
      <c r="A175" s="38"/>
      <c r="B175" s="38"/>
      <c r="C175" s="38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8"/>
      <c r="AK175" s="38"/>
      <c r="AL175" s="38"/>
      <c r="AM175" s="38"/>
      <c r="AN175" s="38"/>
      <c r="AO175" s="40"/>
      <c r="AP175" s="41"/>
    </row>
    <row r="176">
      <c r="A176" s="38"/>
      <c r="B176" s="38"/>
      <c r="C176" s="38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8"/>
      <c r="AK176" s="38"/>
      <c r="AL176" s="38"/>
      <c r="AM176" s="38"/>
      <c r="AN176" s="38"/>
      <c r="AO176" s="40"/>
      <c r="AP176" s="41"/>
    </row>
    <row r="177">
      <c r="A177" s="38"/>
      <c r="B177" s="38"/>
      <c r="C177" s="38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8"/>
      <c r="AK177" s="38"/>
      <c r="AL177" s="38"/>
      <c r="AM177" s="38"/>
      <c r="AN177" s="38"/>
      <c r="AO177" s="40"/>
      <c r="AP177" s="41"/>
    </row>
    <row r="178">
      <c r="A178" s="38"/>
      <c r="B178" s="38"/>
      <c r="C178" s="38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8"/>
      <c r="AK178" s="38"/>
      <c r="AL178" s="38"/>
      <c r="AM178" s="38"/>
      <c r="AN178" s="38"/>
      <c r="AO178" s="40"/>
      <c r="AP178" s="41"/>
    </row>
    <row r="179">
      <c r="A179" s="38"/>
      <c r="B179" s="38"/>
      <c r="C179" s="38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8"/>
      <c r="AK179" s="38"/>
      <c r="AL179" s="38"/>
      <c r="AM179" s="38"/>
      <c r="AN179" s="38"/>
      <c r="AO179" s="40"/>
      <c r="AP179" s="41"/>
    </row>
    <row r="180">
      <c r="A180" s="38"/>
      <c r="B180" s="38"/>
      <c r="C180" s="38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8"/>
      <c r="AK180" s="38"/>
      <c r="AL180" s="38"/>
      <c r="AM180" s="38"/>
      <c r="AN180" s="38"/>
      <c r="AO180" s="40"/>
      <c r="AP180" s="41"/>
    </row>
    <row r="181">
      <c r="A181" s="38"/>
      <c r="B181" s="38"/>
      <c r="C181" s="38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8"/>
      <c r="AK181" s="38"/>
      <c r="AL181" s="38"/>
      <c r="AM181" s="38"/>
      <c r="AN181" s="38"/>
      <c r="AO181" s="40"/>
      <c r="AP181" s="41"/>
    </row>
    <row r="182">
      <c r="A182" s="38"/>
      <c r="B182" s="38"/>
      <c r="C182" s="38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8"/>
      <c r="AK182" s="38"/>
      <c r="AL182" s="38"/>
      <c r="AM182" s="38"/>
      <c r="AN182" s="38"/>
      <c r="AO182" s="40"/>
      <c r="AP182" s="41"/>
    </row>
    <row r="183">
      <c r="A183" s="38"/>
      <c r="B183" s="38"/>
      <c r="C183" s="38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8"/>
      <c r="AK183" s="38"/>
      <c r="AL183" s="38"/>
      <c r="AM183" s="38"/>
      <c r="AN183" s="38"/>
      <c r="AO183" s="40"/>
      <c r="AP183" s="41"/>
    </row>
    <row r="184">
      <c r="A184" s="38"/>
      <c r="B184" s="38"/>
      <c r="C184" s="38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8"/>
      <c r="AK184" s="38"/>
      <c r="AL184" s="38"/>
      <c r="AM184" s="38"/>
      <c r="AN184" s="38"/>
      <c r="AO184" s="40"/>
      <c r="AP184" s="41"/>
    </row>
    <row r="185">
      <c r="A185" s="38"/>
      <c r="B185" s="38"/>
      <c r="C185" s="38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8"/>
      <c r="AK185" s="38"/>
      <c r="AL185" s="38"/>
      <c r="AM185" s="38"/>
      <c r="AN185" s="38"/>
      <c r="AO185" s="40"/>
      <c r="AP185" s="41"/>
    </row>
    <row r="186">
      <c r="A186" s="38"/>
      <c r="B186" s="38"/>
      <c r="C186" s="38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8"/>
      <c r="AK186" s="38"/>
      <c r="AL186" s="38"/>
      <c r="AM186" s="38"/>
      <c r="AN186" s="38"/>
      <c r="AO186" s="40"/>
      <c r="AP186" s="41"/>
    </row>
    <row r="187">
      <c r="A187" s="38"/>
      <c r="B187" s="38"/>
      <c r="C187" s="38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8"/>
      <c r="AK187" s="38"/>
      <c r="AL187" s="38"/>
      <c r="AM187" s="38"/>
      <c r="AN187" s="38"/>
      <c r="AO187" s="40"/>
      <c r="AP187" s="41"/>
    </row>
    <row r="188">
      <c r="A188" s="38"/>
      <c r="B188" s="38"/>
      <c r="C188" s="38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8"/>
      <c r="AK188" s="38"/>
      <c r="AL188" s="38"/>
      <c r="AM188" s="38"/>
      <c r="AN188" s="38"/>
      <c r="AO188" s="40"/>
      <c r="AP188" s="41"/>
    </row>
    <row r="189">
      <c r="A189" s="38"/>
      <c r="B189" s="38"/>
      <c r="C189" s="38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8"/>
      <c r="AK189" s="38"/>
      <c r="AL189" s="38"/>
      <c r="AM189" s="38"/>
      <c r="AN189" s="38"/>
      <c r="AO189" s="40"/>
      <c r="AP189" s="41"/>
    </row>
    <row r="190">
      <c r="A190" s="38"/>
      <c r="B190" s="38"/>
      <c r="C190" s="38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8"/>
      <c r="AK190" s="38"/>
      <c r="AL190" s="38"/>
      <c r="AM190" s="38"/>
      <c r="AN190" s="38"/>
      <c r="AO190" s="40"/>
      <c r="AP190" s="41"/>
    </row>
    <row r="191">
      <c r="A191" s="38"/>
      <c r="B191" s="38"/>
      <c r="C191" s="38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8"/>
      <c r="AK191" s="38"/>
      <c r="AL191" s="38"/>
      <c r="AM191" s="38"/>
      <c r="AN191" s="38"/>
      <c r="AO191" s="40"/>
      <c r="AP191" s="41"/>
    </row>
    <row r="192">
      <c r="A192" s="38"/>
      <c r="B192" s="38"/>
      <c r="C192" s="38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8"/>
      <c r="AK192" s="38"/>
      <c r="AL192" s="38"/>
      <c r="AM192" s="38"/>
      <c r="AN192" s="38"/>
      <c r="AO192" s="40"/>
      <c r="AP192" s="41"/>
    </row>
    <row r="193">
      <c r="A193" s="38"/>
      <c r="B193" s="38"/>
      <c r="C193" s="38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8"/>
      <c r="AK193" s="38"/>
      <c r="AL193" s="38"/>
      <c r="AM193" s="38"/>
      <c r="AN193" s="38"/>
      <c r="AO193" s="40"/>
      <c r="AP193" s="41"/>
    </row>
    <row r="194">
      <c r="A194" s="38"/>
      <c r="B194" s="38"/>
      <c r="C194" s="38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8"/>
      <c r="AK194" s="38"/>
      <c r="AL194" s="38"/>
      <c r="AM194" s="38"/>
      <c r="AN194" s="38"/>
      <c r="AO194" s="40"/>
      <c r="AP194" s="41"/>
    </row>
    <row r="195">
      <c r="A195" s="38"/>
      <c r="B195" s="38"/>
      <c r="C195" s="38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8"/>
      <c r="AK195" s="38"/>
      <c r="AL195" s="38"/>
      <c r="AM195" s="38"/>
      <c r="AN195" s="38"/>
      <c r="AO195" s="40"/>
      <c r="AP195" s="41"/>
    </row>
    <row r="196">
      <c r="A196" s="38"/>
      <c r="B196" s="38"/>
      <c r="C196" s="38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8"/>
      <c r="AK196" s="38"/>
      <c r="AL196" s="38"/>
      <c r="AM196" s="38"/>
      <c r="AN196" s="38"/>
      <c r="AO196" s="40"/>
      <c r="AP196" s="41"/>
    </row>
    <row r="197">
      <c r="A197" s="38"/>
      <c r="B197" s="38"/>
      <c r="C197" s="38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8"/>
      <c r="AK197" s="38"/>
      <c r="AL197" s="38"/>
      <c r="AM197" s="38"/>
      <c r="AN197" s="38"/>
      <c r="AO197" s="40"/>
      <c r="AP197" s="41"/>
    </row>
    <row r="198">
      <c r="A198" s="38"/>
      <c r="B198" s="38"/>
      <c r="C198" s="38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8"/>
      <c r="AK198" s="38"/>
      <c r="AL198" s="38"/>
      <c r="AM198" s="38"/>
      <c r="AN198" s="38"/>
      <c r="AO198" s="40"/>
      <c r="AP198" s="41"/>
    </row>
    <row r="199">
      <c r="A199" s="38"/>
      <c r="B199" s="38"/>
      <c r="C199" s="38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8"/>
      <c r="AK199" s="38"/>
      <c r="AL199" s="38"/>
      <c r="AM199" s="38"/>
      <c r="AN199" s="38"/>
      <c r="AO199" s="40"/>
      <c r="AP199" s="41"/>
    </row>
    <row r="200">
      <c r="A200" s="38"/>
      <c r="B200" s="38"/>
      <c r="C200" s="38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8"/>
      <c r="AK200" s="38"/>
      <c r="AL200" s="38"/>
      <c r="AM200" s="38"/>
      <c r="AN200" s="38"/>
      <c r="AO200" s="40"/>
      <c r="AP200" s="41"/>
    </row>
    <row r="201">
      <c r="A201" s="38"/>
      <c r="B201" s="38"/>
      <c r="C201" s="38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8"/>
      <c r="AK201" s="38"/>
      <c r="AL201" s="38"/>
      <c r="AM201" s="38"/>
      <c r="AN201" s="38"/>
      <c r="AO201" s="40"/>
      <c r="AP201" s="41"/>
    </row>
    <row r="202">
      <c r="A202" s="38"/>
      <c r="B202" s="38"/>
      <c r="C202" s="38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8"/>
      <c r="AK202" s="38"/>
      <c r="AL202" s="38"/>
      <c r="AM202" s="38"/>
      <c r="AN202" s="38"/>
      <c r="AO202" s="40"/>
      <c r="AP202" s="41"/>
    </row>
    <row r="203">
      <c r="A203" s="38"/>
      <c r="B203" s="38"/>
      <c r="C203" s="38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8"/>
      <c r="AK203" s="38"/>
      <c r="AL203" s="38"/>
      <c r="AM203" s="38"/>
      <c r="AN203" s="38"/>
      <c r="AO203" s="40"/>
      <c r="AP203" s="41"/>
    </row>
    <row r="204">
      <c r="A204" s="38"/>
      <c r="B204" s="38"/>
      <c r="C204" s="38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8"/>
      <c r="AK204" s="38"/>
      <c r="AL204" s="38"/>
      <c r="AM204" s="38"/>
      <c r="AN204" s="38"/>
      <c r="AO204" s="40"/>
      <c r="AP204" s="41"/>
    </row>
    <row r="205">
      <c r="A205" s="38"/>
      <c r="B205" s="38"/>
      <c r="C205" s="38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8"/>
      <c r="AK205" s="38"/>
      <c r="AL205" s="38"/>
      <c r="AM205" s="38"/>
      <c r="AN205" s="38"/>
      <c r="AO205" s="40"/>
      <c r="AP205" s="41"/>
    </row>
    <row r="206">
      <c r="A206" s="38"/>
      <c r="B206" s="38"/>
      <c r="C206" s="38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8"/>
      <c r="AK206" s="38"/>
      <c r="AL206" s="38"/>
      <c r="AM206" s="38"/>
      <c r="AN206" s="38"/>
      <c r="AO206" s="40"/>
      <c r="AP206" s="41"/>
    </row>
    <row r="207">
      <c r="A207" s="38"/>
      <c r="B207" s="38"/>
      <c r="C207" s="38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8"/>
      <c r="AK207" s="38"/>
      <c r="AL207" s="38"/>
      <c r="AM207" s="38"/>
      <c r="AN207" s="38"/>
      <c r="AO207" s="40"/>
      <c r="AP207" s="41"/>
    </row>
    <row r="208">
      <c r="A208" s="38"/>
      <c r="B208" s="38"/>
      <c r="C208" s="38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8"/>
      <c r="AK208" s="38"/>
      <c r="AL208" s="38"/>
      <c r="AM208" s="38"/>
      <c r="AN208" s="38"/>
      <c r="AO208" s="40"/>
      <c r="AP208" s="41"/>
    </row>
    <row r="209">
      <c r="A209" s="38"/>
      <c r="B209" s="38"/>
      <c r="C209" s="38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8"/>
      <c r="AK209" s="38"/>
      <c r="AL209" s="38"/>
      <c r="AM209" s="38"/>
      <c r="AN209" s="38"/>
      <c r="AO209" s="40"/>
      <c r="AP209" s="41"/>
    </row>
    <row r="210">
      <c r="A210" s="38"/>
      <c r="B210" s="38"/>
      <c r="C210" s="38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8"/>
      <c r="AK210" s="38"/>
      <c r="AL210" s="38"/>
      <c r="AM210" s="38"/>
      <c r="AN210" s="38"/>
      <c r="AO210" s="40"/>
      <c r="AP210" s="41"/>
    </row>
    <row r="211">
      <c r="A211" s="38"/>
      <c r="B211" s="38"/>
      <c r="C211" s="38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8"/>
      <c r="AK211" s="38"/>
      <c r="AL211" s="38"/>
      <c r="AM211" s="38"/>
      <c r="AN211" s="38"/>
      <c r="AO211" s="40"/>
      <c r="AP211" s="41"/>
    </row>
    <row r="212">
      <c r="A212" s="38"/>
      <c r="B212" s="38"/>
      <c r="C212" s="38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8"/>
      <c r="AK212" s="38"/>
      <c r="AL212" s="38"/>
      <c r="AM212" s="38"/>
      <c r="AN212" s="38"/>
      <c r="AO212" s="40"/>
      <c r="AP212" s="41"/>
    </row>
    <row r="213">
      <c r="A213" s="38"/>
      <c r="B213" s="38"/>
      <c r="C213" s="38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8"/>
      <c r="AK213" s="38"/>
      <c r="AL213" s="38"/>
      <c r="AM213" s="38"/>
      <c r="AN213" s="38"/>
      <c r="AO213" s="40"/>
      <c r="AP213" s="41"/>
    </row>
    <row r="214">
      <c r="A214" s="38"/>
      <c r="B214" s="38"/>
      <c r="C214" s="38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8"/>
      <c r="AK214" s="38"/>
      <c r="AL214" s="38"/>
      <c r="AM214" s="38"/>
      <c r="AN214" s="38"/>
      <c r="AO214" s="40"/>
      <c r="AP214" s="41"/>
    </row>
    <row r="215">
      <c r="A215" s="38"/>
      <c r="B215" s="38"/>
      <c r="C215" s="38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8"/>
      <c r="AK215" s="38"/>
      <c r="AL215" s="38"/>
      <c r="AM215" s="38"/>
      <c r="AN215" s="38"/>
      <c r="AO215" s="40"/>
      <c r="AP215" s="41"/>
    </row>
    <row r="216">
      <c r="A216" s="38"/>
      <c r="B216" s="38"/>
      <c r="C216" s="38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8"/>
      <c r="AK216" s="38"/>
      <c r="AL216" s="38"/>
      <c r="AM216" s="38"/>
      <c r="AN216" s="38"/>
      <c r="AO216" s="40"/>
      <c r="AP216" s="41"/>
    </row>
    <row r="217">
      <c r="A217" s="38"/>
      <c r="B217" s="38"/>
      <c r="C217" s="38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8"/>
      <c r="AK217" s="38"/>
      <c r="AL217" s="38"/>
      <c r="AM217" s="38"/>
      <c r="AN217" s="38"/>
      <c r="AO217" s="40"/>
      <c r="AP217" s="41"/>
    </row>
    <row r="218">
      <c r="A218" s="38"/>
      <c r="B218" s="38"/>
      <c r="C218" s="38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8"/>
      <c r="AK218" s="38"/>
      <c r="AL218" s="38"/>
      <c r="AM218" s="38"/>
      <c r="AN218" s="38"/>
      <c r="AO218" s="40"/>
      <c r="AP218" s="41"/>
    </row>
    <row r="219">
      <c r="A219" s="38"/>
      <c r="B219" s="38"/>
      <c r="C219" s="38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8"/>
      <c r="AK219" s="38"/>
      <c r="AL219" s="38"/>
      <c r="AM219" s="38"/>
      <c r="AN219" s="38"/>
      <c r="AO219" s="40"/>
      <c r="AP219" s="41"/>
    </row>
    <row r="220">
      <c r="A220" s="38"/>
      <c r="B220" s="38"/>
      <c r="C220" s="38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8"/>
      <c r="AK220" s="38"/>
      <c r="AL220" s="38"/>
      <c r="AM220" s="38"/>
      <c r="AN220" s="38"/>
      <c r="AO220" s="40"/>
      <c r="AP220" s="41"/>
    </row>
    <row r="221">
      <c r="A221" s="38"/>
      <c r="B221" s="38"/>
      <c r="C221" s="38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8"/>
      <c r="AK221" s="38"/>
      <c r="AL221" s="38"/>
      <c r="AM221" s="38"/>
      <c r="AN221" s="38"/>
      <c r="AO221" s="40"/>
      <c r="AP221" s="41"/>
    </row>
    <row r="222">
      <c r="A222" s="38"/>
      <c r="B222" s="38"/>
      <c r="C222" s="38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8"/>
      <c r="AK222" s="38"/>
      <c r="AL222" s="38"/>
      <c r="AM222" s="38"/>
      <c r="AN222" s="38"/>
      <c r="AO222" s="40"/>
      <c r="AP222" s="41"/>
    </row>
    <row r="223">
      <c r="A223" s="38"/>
      <c r="B223" s="38"/>
      <c r="C223" s="38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8"/>
      <c r="AK223" s="38"/>
      <c r="AL223" s="38"/>
      <c r="AM223" s="38"/>
      <c r="AN223" s="38"/>
      <c r="AO223" s="40"/>
      <c r="AP223" s="41"/>
    </row>
    <row r="224">
      <c r="A224" s="38"/>
      <c r="B224" s="38"/>
      <c r="C224" s="38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8"/>
      <c r="AK224" s="38"/>
      <c r="AL224" s="38"/>
      <c r="AM224" s="38"/>
      <c r="AN224" s="38"/>
      <c r="AO224" s="40"/>
      <c r="AP224" s="41"/>
    </row>
    <row r="225">
      <c r="A225" s="38"/>
      <c r="B225" s="38"/>
      <c r="C225" s="38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8"/>
      <c r="AK225" s="38"/>
      <c r="AL225" s="38"/>
      <c r="AM225" s="38"/>
      <c r="AN225" s="38"/>
      <c r="AO225" s="40"/>
      <c r="AP225" s="41"/>
    </row>
    <row r="226">
      <c r="A226" s="38"/>
      <c r="B226" s="38"/>
      <c r="C226" s="38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8"/>
      <c r="AK226" s="38"/>
      <c r="AL226" s="38"/>
      <c r="AM226" s="38"/>
      <c r="AN226" s="38"/>
      <c r="AO226" s="40"/>
      <c r="AP226" s="41"/>
    </row>
    <row r="227">
      <c r="A227" s="38"/>
      <c r="B227" s="38"/>
      <c r="C227" s="38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8"/>
      <c r="AK227" s="38"/>
      <c r="AL227" s="38"/>
      <c r="AM227" s="38"/>
      <c r="AN227" s="38"/>
      <c r="AO227" s="40"/>
      <c r="AP227" s="41"/>
    </row>
    <row r="228">
      <c r="A228" s="38"/>
      <c r="B228" s="38"/>
      <c r="C228" s="38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8"/>
      <c r="AK228" s="38"/>
      <c r="AL228" s="38"/>
      <c r="AM228" s="38"/>
      <c r="AN228" s="38"/>
      <c r="AO228" s="40"/>
      <c r="AP228" s="41"/>
    </row>
    <row r="229">
      <c r="A229" s="38"/>
      <c r="B229" s="38"/>
      <c r="C229" s="38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8"/>
      <c r="AK229" s="38"/>
      <c r="AL229" s="38"/>
      <c r="AM229" s="38"/>
      <c r="AN229" s="38"/>
      <c r="AO229" s="40"/>
      <c r="AP229" s="41"/>
    </row>
    <row r="230">
      <c r="A230" s="38"/>
      <c r="B230" s="38"/>
      <c r="C230" s="38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8"/>
      <c r="AK230" s="38"/>
      <c r="AL230" s="38"/>
      <c r="AM230" s="38"/>
      <c r="AN230" s="38"/>
      <c r="AO230" s="40"/>
      <c r="AP230" s="41"/>
    </row>
    <row r="231">
      <c r="A231" s="38"/>
      <c r="B231" s="38"/>
      <c r="C231" s="38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8"/>
      <c r="AK231" s="38"/>
      <c r="AL231" s="38"/>
      <c r="AM231" s="38"/>
      <c r="AN231" s="38"/>
      <c r="AO231" s="40"/>
      <c r="AP231" s="41"/>
    </row>
    <row r="232">
      <c r="A232" s="38"/>
      <c r="B232" s="38"/>
      <c r="C232" s="38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8"/>
      <c r="AK232" s="38"/>
      <c r="AL232" s="38"/>
      <c r="AM232" s="38"/>
      <c r="AN232" s="38"/>
      <c r="AO232" s="40"/>
      <c r="AP232" s="41"/>
    </row>
    <row r="233">
      <c r="A233" s="38"/>
      <c r="B233" s="38"/>
      <c r="C233" s="38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8"/>
      <c r="AK233" s="38"/>
      <c r="AL233" s="38"/>
      <c r="AM233" s="38"/>
      <c r="AN233" s="38"/>
      <c r="AO233" s="40"/>
      <c r="AP233" s="41"/>
    </row>
    <row r="234">
      <c r="A234" s="38"/>
      <c r="B234" s="38"/>
      <c r="C234" s="38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8"/>
      <c r="AK234" s="38"/>
      <c r="AL234" s="38"/>
      <c r="AM234" s="38"/>
      <c r="AN234" s="38"/>
      <c r="AO234" s="40"/>
      <c r="AP234" s="41"/>
    </row>
    <row r="235">
      <c r="A235" s="38"/>
      <c r="B235" s="38"/>
      <c r="C235" s="38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8"/>
      <c r="AK235" s="38"/>
      <c r="AL235" s="38"/>
      <c r="AM235" s="38"/>
      <c r="AN235" s="38"/>
      <c r="AO235" s="40"/>
      <c r="AP235" s="41"/>
    </row>
    <row r="236">
      <c r="A236" s="38"/>
      <c r="B236" s="38"/>
      <c r="C236" s="38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8"/>
      <c r="AK236" s="38"/>
      <c r="AL236" s="38"/>
      <c r="AM236" s="38"/>
      <c r="AN236" s="38"/>
      <c r="AO236" s="40"/>
      <c r="AP236" s="41"/>
    </row>
    <row r="237">
      <c r="A237" s="38"/>
      <c r="B237" s="38"/>
      <c r="C237" s="38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8"/>
      <c r="AK237" s="38"/>
      <c r="AL237" s="38"/>
      <c r="AM237" s="38"/>
      <c r="AN237" s="38"/>
      <c r="AO237" s="40"/>
      <c r="AP237" s="41"/>
    </row>
    <row r="238">
      <c r="A238" s="38"/>
      <c r="B238" s="38"/>
      <c r="C238" s="38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8"/>
      <c r="AK238" s="38"/>
      <c r="AL238" s="38"/>
      <c r="AM238" s="38"/>
      <c r="AN238" s="38"/>
      <c r="AO238" s="40"/>
      <c r="AP238" s="41"/>
    </row>
    <row r="239">
      <c r="A239" s="38"/>
      <c r="B239" s="38"/>
      <c r="C239" s="38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8"/>
      <c r="AK239" s="38"/>
      <c r="AL239" s="38"/>
      <c r="AM239" s="38"/>
      <c r="AN239" s="38"/>
      <c r="AO239" s="40"/>
      <c r="AP239" s="41"/>
    </row>
    <row r="240">
      <c r="A240" s="38"/>
      <c r="B240" s="38"/>
      <c r="C240" s="38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8"/>
      <c r="AK240" s="38"/>
      <c r="AL240" s="38"/>
      <c r="AM240" s="38"/>
      <c r="AN240" s="38"/>
      <c r="AO240" s="40"/>
      <c r="AP240" s="41"/>
    </row>
    <row r="241">
      <c r="A241" s="38"/>
      <c r="B241" s="38"/>
      <c r="C241" s="38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8"/>
      <c r="AK241" s="38"/>
      <c r="AL241" s="38"/>
      <c r="AM241" s="38"/>
      <c r="AN241" s="38"/>
      <c r="AO241" s="40"/>
      <c r="AP241" s="41"/>
    </row>
    <row r="242">
      <c r="A242" s="38"/>
      <c r="B242" s="38"/>
      <c r="C242" s="38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8"/>
      <c r="AK242" s="38"/>
      <c r="AL242" s="38"/>
      <c r="AM242" s="38"/>
      <c r="AN242" s="38"/>
      <c r="AO242" s="40"/>
      <c r="AP242" s="41"/>
    </row>
    <row r="243">
      <c r="A243" s="38"/>
      <c r="B243" s="38"/>
      <c r="C243" s="38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8"/>
      <c r="AK243" s="38"/>
      <c r="AL243" s="38"/>
      <c r="AM243" s="38"/>
      <c r="AN243" s="38"/>
      <c r="AO243" s="40"/>
      <c r="AP243" s="41"/>
    </row>
    <row r="244">
      <c r="A244" s="38"/>
      <c r="B244" s="38"/>
      <c r="C244" s="38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8"/>
      <c r="AK244" s="38"/>
      <c r="AL244" s="38"/>
      <c r="AM244" s="38"/>
      <c r="AN244" s="38"/>
      <c r="AO244" s="40"/>
      <c r="AP244" s="41"/>
    </row>
    <row r="245">
      <c r="A245" s="38"/>
      <c r="B245" s="38"/>
      <c r="C245" s="38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8"/>
      <c r="AK245" s="38"/>
      <c r="AL245" s="38"/>
      <c r="AM245" s="38"/>
      <c r="AN245" s="38"/>
      <c r="AO245" s="40"/>
      <c r="AP245" s="41"/>
    </row>
    <row r="246">
      <c r="A246" s="38"/>
      <c r="B246" s="38"/>
      <c r="C246" s="38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8"/>
      <c r="AK246" s="38"/>
      <c r="AL246" s="38"/>
      <c r="AM246" s="38"/>
      <c r="AN246" s="38"/>
      <c r="AO246" s="40"/>
      <c r="AP246" s="41"/>
    </row>
    <row r="247">
      <c r="A247" s="38"/>
      <c r="B247" s="38"/>
      <c r="C247" s="38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8"/>
      <c r="AK247" s="38"/>
      <c r="AL247" s="38"/>
      <c r="AM247" s="38"/>
      <c r="AN247" s="38"/>
      <c r="AO247" s="40"/>
      <c r="AP247" s="41"/>
    </row>
    <row r="248">
      <c r="A248" s="38"/>
      <c r="B248" s="38"/>
      <c r="C248" s="38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8"/>
      <c r="AK248" s="38"/>
      <c r="AL248" s="38"/>
      <c r="AM248" s="38"/>
      <c r="AN248" s="38"/>
      <c r="AO248" s="40"/>
      <c r="AP248" s="41"/>
    </row>
    <row r="249">
      <c r="A249" s="38"/>
      <c r="B249" s="38"/>
      <c r="C249" s="38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8"/>
      <c r="AK249" s="38"/>
      <c r="AL249" s="38"/>
      <c r="AM249" s="38"/>
      <c r="AN249" s="38"/>
      <c r="AO249" s="40"/>
      <c r="AP249" s="41"/>
    </row>
    <row r="250">
      <c r="A250" s="38"/>
      <c r="B250" s="38"/>
      <c r="C250" s="38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8"/>
      <c r="AK250" s="38"/>
      <c r="AL250" s="38"/>
      <c r="AM250" s="38"/>
      <c r="AN250" s="38"/>
      <c r="AO250" s="40"/>
      <c r="AP250" s="41"/>
    </row>
    <row r="251">
      <c r="A251" s="38"/>
      <c r="B251" s="38"/>
      <c r="C251" s="38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8"/>
      <c r="AK251" s="38"/>
      <c r="AL251" s="38"/>
      <c r="AM251" s="38"/>
      <c r="AN251" s="38"/>
      <c r="AO251" s="40"/>
      <c r="AP251" s="41"/>
    </row>
    <row r="252">
      <c r="A252" s="38"/>
      <c r="B252" s="38"/>
      <c r="C252" s="38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8"/>
      <c r="AK252" s="38"/>
      <c r="AL252" s="38"/>
      <c r="AM252" s="38"/>
      <c r="AN252" s="38"/>
      <c r="AO252" s="40"/>
      <c r="AP252" s="41"/>
    </row>
    <row r="253">
      <c r="A253" s="38"/>
      <c r="B253" s="38"/>
      <c r="C253" s="38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8"/>
      <c r="AK253" s="38"/>
      <c r="AL253" s="38"/>
      <c r="AM253" s="38"/>
      <c r="AN253" s="38"/>
      <c r="AO253" s="40"/>
      <c r="AP253" s="41"/>
    </row>
    <row r="254">
      <c r="A254" s="38"/>
      <c r="B254" s="38"/>
      <c r="C254" s="38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8"/>
      <c r="AK254" s="38"/>
      <c r="AL254" s="38"/>
      <c r="AM254" s="38"/>
      <c r="AN254" s="38"/>
      <c r="AO254" s="40"/>
      <c r="AP254" s="41"/>
    </row>
    <row r="255">
      <c r="A255" s="38"/>
      <c r="B255" s="38"/>
      <c r="C255" s="38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8"/>
      <c r="AK255" s="38"/>
      <c r="AL255" s="38"/>
      <c r="AM255" s="38"/>
      <c r="AN255" s="38"/>
      <c r="AO255" s="40"/>
      <c r="AP255" s="41"/>
    </row>
    <row r="256">
      <c r="A256" s="38"/>
      <c r="B256" s="38"/>
      <c r="C256" s="38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8"/>
      <c r="AK256" s="38"/>
      <c r="AL256" s="38"/>
      <c r="AM256" s="38"/>
      <c r="AN256" s="38"/>
      <c r="AO256" s="40"/>
      <c r="AP256" s="41"/>
    </row>
    <row r="257">
      <c r="A257" s="38"/>
      <c r="B257" s="38"/>
      <c r="C257" s="38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8"/>
      <c r="AK257" s="38"/>
      <c r="AL257" s="38"/>
      <c r="AM257" s="38"/>
      <c r="AN257" s="38"/>
      <c r="AO257" s="40"/>
      <c r="AP257" s="41"/>
    </row>
    <row r="258">
      <c r="A258" s="38"/>
      <c r="B258" s="38"/>
      <c r="C258" s="38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8"/>
      <c r="AK258" s="38"/>
      <c r="AL258" s="38"/>
      <c r="AM258" s="38"/>
      <c r="AN258" s="38"/>
      <c r="AO258" s="40"/>
      <c r="AP258" s="41"/>
    </row>
    <row r="259">
      <c r="A259" s="38"/>
      <c r="B259" s="38"/>
      <c r="C259" s="38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8"/>
      <c r="AK259" s="38"/>
      <c r="AL259" s="38"/>
      <c r="AM259" s="38"/>
      <c r="AN259" s="38"/>
      <c r="AO259" s="40"/>
      <c r="AP259" s="41"/>
    </row>
    <row r="260">
      <c r="A260" s="38"/>
      <c r="B260" s="38"/>
      <c r="C260" s="38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8"/>
      <c r="AK260" s="38"/>
      <c r="AL260" s="38"/>
      <c r="AM260" s="38"/>
      <c r="AN260" s="38"/>
      <c r="AO260" s="40"/>
      <c r="AP260" s="41"/>
    </row>
    <row r="261">
      <c r="A261" s="38"/>
      <c r="B261" s="38"/>
      <c r="C261" s="38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8"/>
      <c r="AK261" s="38"/>
      <c r="AL261" s="38"/>
      <c r="AM261" s="38"/>
      <c r="AN261" s="38"/>
      <c r="AO261" s="40"/>
      <c r="AP261" s="41"/>
    </row>
    <row r="262">
      <c r="A262" s="38"/>
      <c r="B262" s="38"/>
      <c r="C262" s="38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8"/>
      <c r="AK262" s="38"/>
      <c r="AL262" s="38"/>
      <c r="AM262" s="38"/>
      <c r="AN262" s="38"/>
      <c r="AO262" s="40"/>
      <c r="AP262" s="41"/>
    </row>
    <row r="263">
      <c r="A263" s="38"/>
      <c r="B263" s="38"/>
      <c r="C263" s="38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8"/>
      <c r="AK263" s="38"/>
      <c r="AL263" s="38"/>
      <c r="AM263" s="38"/>
      <c r="AN263" s="38"/>
      <c r="AO263" s="40"/>
      <c r="AP263" s="41"/>
    </row>
    <row r="264">
      <c r="A264" s="38"/>
      <c r="B264" s="38"/>
      <c r="C264" s="38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8"/>
      <c r="AK264" s="38"/>
      <c r="AL264" s="38"/>
      <c r="AM264" s="38"/>
      <c r="AN264" s="38"/>
      <c r="AO264" s="40"/>
      <c r="AP264" s="41"/>
    </row>
    <row r="265">
      <c r="A265" s="38"/>
      <c r="B265" s="38"/>
      <c r="C265" s="38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8"/>
      <c r="AK265" s="38"/>
      <c r="AL265" s="38"/>
      <c r="AM265" s="38"/>
      <c r="AN265" s="38"/>
      <c r="AO265" s="40"/>
      <c r="AP265" s="41"/>
    </row>
    <row r="266">
      <c r="A266" s="38"/>
      <c r="B266" s="38"/>
      <c r="C266" s="38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8"/>
      <c r="AK266" s="38"/>
      <c r="AL266" s="38"/>
      <c r="AM266" s="38"/>
      <c r="AN266" s="38"/>
      <c r="AO266" s="40"/>
      <c r="AP266" s="41"/>
    </row>
    <row r="267">
      <c r="A267" s="38"/>
      <c r="B267" s="38"/>
      <c r="C267" s="38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8"/>
      <c r="AK267" s="38"/>
      <c r="AL267" s="38"/>
      <c r="AM267" s="38"/>
      <c r="AN267" s="38"/>
      <c r="AO267" s="40"/>
      <c r="AP267" s="41"/>
    </row>
    <row r="268">
      <c r="A268" s="38"/>
      <c r="B268" s="38"/>
      <c r="C268" s="38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8"/>
      <c r="AK268" s="38"/>
      <c r="AL268" s="38"/>
      <c r="AM268" s="38"/>
      <c r="AN268" s="38"/>
      <c r="AO268" s="40"/>
      <c r="AP268" s="41"/>
    </row>
    <row r="269">
      <c r="A269" s="38"/>
      <c r="B269" s="38"/>
      <c r="C269" s="38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8"/>
      <c r="AK269" s="38"/>
      <c r="AL269" s="38"/>
      <c r="AM269" s="38"/>
      <c r="AN269" s="38"/>
      <c r="AO269" s="40"/>
      <c r="AP269" s="41"/>
    </row>
    <row r="270">
      <c r="A270" s="38"/>
      <c r="B270" s="38"/>
      <c r="C270" s="38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8"/>
      <c r="AK270" s="38"/>
      <c r="AL270" s="38"/>
      <c r="AM270" s="38"/>
      <c r="AN270" s="38"/>
      <c r="AO270" s="40"/>
      <c r="AP270" s="41"/>
    </row>
    <row r="271">
      <c r="A271" s="38"/>
      <c r="B271" s="38"/>
      <c r="C271" s="38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8"/>
      <c r="AK271" s="38"/>
      <c r="AL271" s="38"/>
      <c r="AM271" s="38"/>
      <c r="AN271" s="38"/>
      <c r="AO271" s="40"/>
      <c r="AP271" s="41"/>
    </row>
    <row r="272">
      <c r="A272" s="38"/>
      <c r="B272" s="38"/>
      <c r="C272" s="38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8"/>
      <c r="AK272" s="38"/>
      <c r="AL272" s="38"/>
      <c r="AM272" s="38"/>
      <c r="AN272" s="38"/>
      <c r="AO272" s="40"/>
      <c r="AP272" s="41"/>
    </row>
    <row r="273">
      <c r="A273" s="38"/>
      <c r="B273" s="38"/>
      <c r="C273" s="38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8"/>
      <c r="AK273" s="38"/>
      <c r="AL273" s="38"/>
      <c r="AM273" s="38"/>
      <c r="AN273" s="38"/>
      <c r="AO273" s="40"/>
      <c r="AP273" s="41"/>
    </row>
    <row r="274">
      <c r="A274" s="38"/>
      <c r="B274" s="38"/>
      <c r="C274" s="38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8"/>
      <c r="AK274" s="38"/>
      <c r="AL274" s="38"/>
      <c r="AM274" s="38"/>
      <c r="AN274" s="38"/>
      <c r="AO274" s="40"/>
      <c r="AP274" s="41"/>
    </row>
    <row r="275">
      <c r="A275" s="38"/>
      <c r="B275" s="38"/>
      <c r="C275" s="38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8"/>
      <c r="AK275" s="38"/>
      <c r="AL275" s="38"/>
      <c r="AM275" s="38"/>
      <c r="AN275" s="38"/>
      <c r="AO275" s="40"/>
      <c r="AP275" s="41"/>
    </row>
    <row r="276">
      <c r="A276" s="38"/>
      <c r="B276" s="38"/>
      <c r="C276" s="38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8"/>
      <c r="AK276" s="38"/>
      <c r="AL276" s="38"/>
      <c r="AM276" s="38"/>
      <c r="AN276" s="38"/>
      <c r="AO276" s="40"/>
      <c r="AP276" s="41"/>
    </row>
    <row r="277">
      <c r="A277" s="38"/>
      <c r="B277" s="38"/>
      <c r="C277" s="38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8"/>
      <c r="AK277" s="38"/>
      <c r="AL277" s="38"/>
      <c r="AM277" s="38"/>
      <c r="AN277" s="38"/>
      <c r="AO277" s="40"/>
      <c r="AP277" s="41"/>
    </row>
    <row r="278">
      <c r="A278" s="38"/>
      <c r="B278" s="38"/>
      <c r="C278" s="38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8"/>
      <c r="AK278" s="38"/>
      <c r="AL278" s="38"/>
      <c r="AM278" s="38"/>
      <c r="AN278" s="38"/>
      <c r="AO278" s="40"/>
      <c r="AP278" s="41"/>
    </row>
    <row r="279">
      <c r="A279" s="38"/>
      <c r="B279" s="38"/>
      <c r="C279" s="38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8"/>
      <c r="AK279" s="38"/>
      <c r="AL279" s="38"/>
      <c r="AM279" s="38"/>
      <c r="AN279" s="38"/>
      <c r="AO279" s="40"/>
      <c r="AP279" s="41"/>
    </row>
    <row r="280">
      <c r="A280" s="38"/>
      <c r="B280" s="38"/>
      <c r="C280" s="38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8"/>
      <c r="AK280" s="38"/>
      <c r="AL280" s="38"/>
      <c r="AM280" s="38"/>
      <c r="AN280" s="38"/>
      <c r="AO280" s="40"/>
      <c r="AP280" s="41"/>
    </row>
    <row r="281">
      <c r="A281" s="38"/>
      <c r="B281" s="38"/>
      <c r="C281" s="38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8"/>
      <c r="AK281" s="38"/>
      <c r="AL281" s="38"/>
      <c r="AM281" s="38"/>
      <c r="AN281" s="38"/>
      <c r="AO281" s="40"/>
      <c r="AP281" s="41"/>
    </row>
    <row r="282">
      <c r="A282" s="38"/>
      <c r="B282" s="38"/>
      <c r="C282" s="38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8"/>
      <c r="AK282" s="38"/>
      <c r="AL282" s="38"/>
      <c r="AM282" s="38"/>
      <c r="AN282" s="38"/>
      <c r="AO282" s="40"/>
      <c r="AP282" s="41"/>
    </row>
    <row r="283">
      <c r="A283" s="38"/>
      <c r="B283" s="38"/>
      <c r="C283" s="38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8"/>
      <c r="AK283" s="38"/>
      <c r="AL283" s="38"/>
      <c r="AM283" s="38"/>
      <c r="AN283" s="38"/>
      <c r="AO283" s="40"/>
      <c r="AP283" s="41"/>
    </row>
    <row r="284">
      <c r="A284" s="38"/>
      <c r="B284" s="38"/>
      <c r="C284" s="38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8"/>
      <c r="AK284" s="38"/>
      <c r="AL284" s="38"/>
      <c r="AM284" s="38"/>
      <c r="AN284" s="38"/>
      <c r="AO284" s="40"/>
      <c r="AP284" s="41"/>
    </row>
    <row r="285">
      <c r="A285" s="38"/>
      <c r="B285" s="38"/>
      <c r="C285" s="38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8"/>
      <c r="AK285" s="38"/>
      <c r="AL285" s="38"/>
      <c r="AM285" s="38"/>
      <c r="AN285" s="38"/>
      <c r="AO285" s="40"/>
      <c r="AP285" s="41"/>
    </row>
    <row r="286">
      <c r="A286" s="38"/>
      <c r="B286" s="38"/>
      <c r="C286" s="38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8"/>
      <c r="AK286" s="38"/>
      <c r="AL286" s="38"/>
      <c r="AM286" s="38"/>
      <c r="AN286" s="38"/>
      <c r="AO286" s="40"/>
      <c r="AP286" s="41"/>
    </row>
    <row r="287">
      <c r="A287" s="38"/>
      <c r="B287" s="38"/>
      <c r="C287" s="38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8"/>
      <c r="AK287" s="38"/>
      <c r="AL287" s="38"/>
      <c r="AM287" s="38"/>
      <c r="AN287" s="38"/>
      <c r="AO287" s="40"/>
      <c r="AP287" s="41"/>
    </row>
    <row r="288">
      <c r="A288" s="38"/>
      <c r="B288" s="38"/>
      <c r="C288" s="38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8"/>
      <c r="AK288" s="38"/>
      <c r="AL288" s="38"/>
      <c r="AM288" s="38"/>
      <c r="AN288" s="38"/>
      <c r="AO288" s="40"/>
      <c r="AP288" s="41"/>
    </row>
    <row r="289">
      <c r="A289" s="38"/>
      <c r="B289" s="38"/>
      <c r="C289" s="38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8"/>
      <c r="AK289" s="38"/>
      <c r="AL289" s="38"/>
      <c r="AM289" s="38"/>
      <c r="AN289" s="38"/>
      <c r="AO289" s="40"/>
      <c r="AP289" s="41"/>
    </row>
    <row r="290">
      <c r="A290" s="38"/>
      <c r="B290" s="38"/>
      <c r="C290" s="38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8"/>
      <c r="AK290" s="38"/>
      <c r="AL290" s="38"/>
      <c r="AM290" s="38"/>
      <c r="AN290" s="38"/>
      <c r="AO290" s="40"/>
      <c r="AP290" s="41"/>
    </row>
    <row r="291">
      <c r="A291" s="38"/>
      <c r="B291" s="38"/>
      <c r="C291" s="38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8"/>
      <c r="AK291" s="38"/>
      <c r="AL291" s="38"/>
      <c r="AM291" s="38"/>
      <c r="AN291" s="38"/>
      <c r="AO291" s="40"/>
      <c r="AP291" s="41"/>
    </row>
    <row r="292">
      <c r="A292" s="38"/>
      <c r="B292" s="38"/>
      <c r="C292" s="38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8"/>
      <c r="AK292" s="38"/>
      <c r="AL292" s="38"/>
      <c r="AM292" s="38"/>
      <c r="AN292" s="38"/>
      <c r="AO292" s="40"/>
      <c r="AP292" s="41"/>
    </row>
    <row r="293">
      <c r="A293" s="38"/>
      <c r="B293" s="38"/>
      <c r="C293" s="38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8"/>
      <c r="AK293" s="38"/>
      <c r="AL293" s="38"/>
      <c r="AM293" s="38"/>
      <c r="AN293" s="38"/>
      <c r="AO293" s="40"/>
      <c r="AP293" s="41"/>
    </row>
    <row r="294">
      <c r="A294" s="38"/>
      <c r="B294" s="38"/>
      <c r="C294" s="38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8"/>
      <c r="AK294" s="38"/>
      <c r="AL294" s="38"/>
      <c r="AM294" s="38"/>
      <c r="AN294" s="38"/>
      <c r="AO294" s="40"/>
      <c r="AP294" s="41"/>
    </row>
    <row r="295">
      <c r="A295" s="38"/>
      <c r="B295" s="38"/>
      <c r="C295" s="38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8"/>
      <c r="AK295" s="38"/>
      <c r="AL295" s="38"/>
      <c r="AM295" s="38"/>
      <c r="AN295" s="38"/>
      <c r="AO295" s="40"/>
      <c r="AP295" s="41"/>
    </row>
    <row r="296">
      <c r="A296" s="38"/>
      <c r="B296" s="38"/>
      <c r="C296" s="38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8"/>
      <c r="AK296" s="38"/>
      <c r="AL296" s="38"/>
      <c r="AM296" s="38"/>
      <c r="AN296" s="38"/>
      <c r="AO296" s="40"/>
      <c r="AP296" s="41"/>
    </row>
    <row r="297">
      <c r="A297" s="38"/>
      <c r="B297" s="38"/>
      <c r="C297" s="38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8"/>
      <c r="AK297" s="38"/>
      <c r="AL297" s="38"/>
      <c r="AM297" s="38"/>
      <c r="AN297" s="38"/>
      <c r="AO297" s="40"/>
      <c r="AP297" s="41"/>
    </row>
    <row r="298">
      <c r="A298" s="38"/>
      <c r="B298" s="38"/>
      <c r="C298" s="38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8"/>
      <c r="AK298" s="38"/>
      <c r="AL298" s="38"/>
      <c r="AM298" s="38"/>
      <c r="AN298" s="38"/>
      <c r="AO298" s="40"/>
      <c r="AP298" s="41"/>
    </row>
    <row r="299">
      <c r="A299" s="38"/>
      <c r="B299" s="38"/>
      <c r="C299" s="38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8"/>
      <c r="AK299" s="38"/>
      <c r="AL299" s="38"/>
      <c r="AM299" s="38"/>
      <c r="AN299" s="38"/>
      <c r="AO299" s="40"/>
      <c r="AP299" s="41"/>
    </row>
    <row r="300">
      <c r="A300" s="38"/>
      <c r="B300" s="38"/>
      <c r="C300" s="38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8"/>
      <c r="AK300" s="38"/>
      <c r="AL300" s="38"/>
      <c r="AM300" s="38"/>
      <c r="AN300" s="38"/>
      <c r="AO300" s="40"/>
      <c r="AP300" s="41"/>
    </row>
    <row r="301">
      <c r="A301" s="38"/>
      <c r="B301" s="38"/>
      <c r="C301" s="38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8"/>
      <c r="AK301" s="38"/>
      <c r="AL301" s="38"/>
      <c r="AM301" s="38"/>
      <c r="AN301" s="38"/>
      <c r="AO301" s="40"/>
      <c r="AP301" s="41"/>
    </row>
    <row r="302">
      <c r="A302" s="38"/>
      <c r="B302" s="38"/>
      <c r="C302" s="38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8"/>
      <c r="AK302" s="38"/>
      <c r="AL302" s="38"/>
      <c r="AM302" s="38"/>
      <c r="AN302" s="38"/>
      <c r="AO302" s="40"/>
      <c r="AP302" s="41"/>
    </row>
    <row r="303">
      <c r="A303" s="38"/>
      <c r="B303" s="38"/>
      <c r="C303" s="38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8"/>
      <c r="AK303" s="38"/>
      <c r="AL303" s="38"/>
      <c r="AM303" s="38"/>
      <c r="AN303" s="38"/>
      <c r="AO303" s="40"/>
      <c r="AP303" s="41"/>
    </row>
    <row r="304">
      <c r="A304" s="38"/>
      <c r="B304" s="38"/>
      <c r="C304" s="38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8"/>
      <c r="AK304" s="38"/>
      <c r="AL304" s="38"/>
      <c r="AM304" s="38"/>
      <c r="AN304" s="38"/>
      <c r="AO304" s="40"/>
      <c r="AP304" s="41"/>
    </row>
    <row r="305">
      <c r="A305" s="38"/>
      <c r="B305" s="38"/>
      <c r="C305" s="38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8"/>
      <c r="AK305" s="38"/>
      <c r="AL305" s="38"/>
      <c r="AM305" s="38"/>
      <c r="AN305" s="38"/>
      <c r="AO305" s="40"/>
      <c r="AP305" s="41"/>
    </row>
    <row r="306">
      <c r="A306" s="38"/>
      <c r="B306" s="38"/>
      <c r="C306" s="38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8"/>
      <c r="AK306" s="38"/>
      <c r="AL306" s="38"/>
      <c r="AM306" s="38"/>
      <c r="AN306" s="38"/>
      <c r="AO306" s="40"/>
      <c r="AP306" s="41"/>
    </row>
    <row r="307">
      <c r="A307" s="38"/>
      <c r="B307" s="38"/>
      <c r="C307" s="38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8"/>
      <c r="AK307" s="38"/>
      <c r="AL307" s="38"/>
      <c r="AM307" s="38"/>
      <c r="AN307" s="38"/>
      <c r="AO307" s="40"/>
      <c r="AP307" s="41"/>
    </row>
    <row r="308">
      <c r="A308" s="38"/>
      <c r="B308" s="38"/>
      <c r="C308" s="38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8"/>
      <c r="AK308" s="38"/>
      <c r="AL308" s="38"/>
      <c r="AM308" s="38"/>
      <c r="AN308" s="38"/>
      <c r="AO308" s="40"/>
      <c r="AP308" s="41"/>
    </row>
    <row r="309">
      <c r="A309" s="38"/>
      <c r="B309" s="38"/>
      <c r="C309" s="38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8"/>
      <c r="AK309" s="38"/>
      <c r="AL309" s="38"/>
      <c r="AM309" s="38"/>
      <c r="AN309" s="38"/>
      <c r="AO309" s="40"/>
      <c r="AP309" s="41"/>
    </row>
    <row r="310">
      <c r="A310" s="38"/>
      <c r="B310" s="38"/>
      <c r="C310" s="38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8"/>
      <c r="AK310" s="38"/>
      <c r="AL310" s="38"/>
      <c r="AM310" s="38"/>
      <c r="AN310" s="38"/>
      <c r="AO310" s="40"/>
      <c r="AP310" s="41"/>
    </row>
    <row r="311">
      <c r="A311" s="38"/>
      <c r="B311" s="38"/>
      <c r="C311" s="38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8"/>
      <c r="AK311" s="38"/>
      <c r="AL311" s="38"/>
      <c r="AM311" s="38"/>
      <c r="AN311" s="38"/>
      <c r="AO311" s="40"/>
      <c r="AP311" s="41"/>
    </row>
    <row r="312">
      <c r="A312" s="38"/>
      <c r="B312" s="38"/>
      <c r="C312" s="38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8"/>
      <c r="AK312" s="38"/>
      <c r="AL312" s="38"/>
      <c r="AM312" s="38"/>
      <c r="AN312" s="38"/>
      <c r="AO312" s="40"/>
      <c r="AP312" s="41"/>
    </row>
    <row r="313">
      <c r="A313" s="38"/>
      <c r="B313" s="38"/>
      <c r="C313" s="38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8"/>
      <c r="AK313" s="38"/>
      <c r="AL313" s="38"/>
      <c r="AM313" s="38"/>
      <c r="AN313" s="38"/>
      <c r="AO313" s="40"/>
      <c r="AP313" s="41"/>
    </row>
    <row r="314">
      <c r="A314" s="38"/>
      <c r="B314" s="38"/>
      <c r="C314" s="38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8"/>
      <c r="AK314" s="38"/>
      <c r="AL314" s="38"/>
      <c r="AM314" s="38"/>
      <c r="AN314" s="38"/>
      <c r="AO314" s="40"/>
      <c r="AP314" s="41"/>
    </row>
    <row r="315">
      <c r="A315" s="38"/>
      <c r="B315" s="38"/>
      <c r="C315" s="38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8"/>
      <c r="AK315" s="38"/>
      <c r="AL315" s="38"/>
      <c r="AM315" s="38"/>
      <c r="AN315" s="38"/>
      <c r="AO315" s="40"/>
      <c r="AP315" s="41"/>
    </row>
    <row r="316">
      <c r="A316" s="38"/>
      <c r="B316" s="38"/>
      <c r="C316" s="38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8"/>
      <c r="AK316" s="38"/>
      <c r="AL316" s="38"/>
      <c r="AM316" s="38"/>
      <c r="AN316" s="38"/>
      <c r="AO316" s="40"/>
      <c r="AP316" s="41"/>
    </row>
    <row r="317">
      <c r="A317" s="38"/>
      <c r="B317" s="38"/>
      <c r="C317" s="38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8"/>
      <c r="AK317" s="38"/>
      <c r="AL317" s="38"/>
      <c r="AM317" s="38"/>
      <c r="AN317" s="38"/>
      <c r="AO317" s="40"/>
      <c r="AP317" s="41"/>
    </row>
    <row r="318">
      <c r="A318" s="38"/>
      <c r="B318" s="38"/>
      <c r="C318" s="38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8"/>
      <c r="AK318" s="38"/>
      <c r="AL318" s="38"/>
      <c r="AM318" s="38"/>
      <c r="AN318" s="38"/>
      <c r="AO318" s="40"/>
      <c r="AP318" s="41"/>
    </row>
    <row r="319">
      <c r="A319" s="38"/>
      <c r="B319" s="38"/>
      <c r="C319" s="38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8"/>
      <c r="AK319" s="38"/>
      <c r="AL319" s="38"/>
      <c r="AM319" s="38"/>
      <c r="AN319" s="38"/>
      <c r="AO319" s="40"/>
      <c r="AP319" s="41"/>
    </row>
    <row r="320">
      <c r="A320" s="38"/>
      <c r="B320" s="38"/>
      <c r="C320" s="38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8"/>
      <c r="AK320" s="38"/>
      <c r="AL320" s="38"/>
      <c r="AM320" s="38"/>
      <c r="AN320" s="38"/>
      <c r="AO320" s="40"/>
      <c r="AP320" s="41"/>
    </row>
    <row r="321">
      <c r="A321" s="38"/>
      <c r="B321" s="38"/>
      <c r="C321" s="38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8"/>
      <c r="AK321" s="38"/>
      <c r="AL321" s="38"/>
      <c r="AM321" s="38"/>
      <c r="AN321" s="38"/>
      <c r="AO321" s="40"/>
      <c r="AP321" s="41"/>
    </row>
    <row r="322">
      <c r="A322" s="38"/>
      <c r="B322" s="38"/>
      <c r="C322" s="38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8"/>
      <c r="AK322" s="38"/>
      <c r="AL322" s="38"/>
      <c r="AM322" s="38"/>
      <c r="AN322" s="38"/>
      <c r="AO322" s="40"/>
      <c r="AP322" s="41"/>
    </row>
    <row r="323">
      <c r="A323" s="38"/>
      <c r="B323" s="38"/>
      <c r="C323" s="38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8"/>
      <c r="AK323" s="38"/>
      <c r="AL323" s="38"/>
      <c r="AM323" s="38"/>
      <c r="AN323" s="38"/>
      <c r="AO323" s="40"/>
      <c r="AP323" s="41"/>
    </row>
    <row r="324">
      <c r="A324" s="38"/>
      <c r="B324" s="38"/>
      <c r="C324" s="38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8"/>
      <c r="AK324" s="38"/>
      <c r="AL324" s="38"/>
      <c r="AM324" s="38"/>
      <c r="AN324" s="38"/>
      <c r="AO324" s="40"/>
      <c r="AP324" s="41"/>
    </row>
    <row r="325">
      <c r="A325" s="38"/>
      <c r="B325" s="38"/>
      <c r="C325" s="38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8"/>
      <c r="AK325" s="38"/>
      <c r="AL325" s="38"/>
      <c r="AM325" s="38"/>
      <c r="AN325" s="38"/>
      <c r="AO325" s="40"/>
      <c r="AP325" s="41"/>
    </row>
    <row r="326">
      <c r="A326" s="38"/>
      <c r="B326" s="38"/>
      <c r="C326" s="38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8"/>
      <c r="AK326" s="38"/>
      <c r="AL326" s="38"/>
      <c r="AM326" s="38"/>
      <c r="AN326" s="38"/>
      <c r="AO326" s="40"/>
      <c r="AP326" s="41"/>
    </row>
    <row r="327">
      <c r="A327" s="38"/>
      <c r="B327" s="38"/>
      <c r="C327" s="38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8"/>
      <c r="AK327" s="38"/>
      <c r="AL327" s="38"/>
      <c r="AM327" s="38"/>
      <c r="AN327" s="38"/>
      <c r="AO327" s="40"/>
      <c r="AP327" s="41"/>
    </row>
    <row r="328">
      <c r="A328" s="38"/>
      <c r="B328" s="38"/>
      <c r="C328" s="38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8"/>
      <c r="AK328" s="38"/>
      <c r="AL328" s="38"/>
      <c r="AM328" s="38"/>
      <c r="AN328" s="38"/>
      <c r="AO328" s="40"/>
      <c r="AP328" s="41"/>
    </row>
    <row r="329">
      <c r="A329" s="38"/>
      <c r="B329" s="38"/>
      <c r="C329" s="38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8"/>
      <c r="AK329" s="38"/>
      <c r="AL329" s="38"/>
      <c r="AM329" s="38"/>
      <c r="AN329" s="38"/>
      <c r="AO329" s="40"/>
      <c r="AP329" s="41"/>
    </row>
    <row r="330">
      <c r="A330" s="38"/>
      <c r="B330" s="38"/>
      <c r="C330" s="38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8"/>
      <c r="AK330" s="38"/>
      <c r="AL330" s="38"/>
      <c r="AM330" s="38"/>
      <c r="AN330" s="38"/>
      <c r="AO330" s="40"/>
      <c r="AP330" s="41"/>
    </row>
    <row r="331">
      <c r="A331" s="38"/>
      <c r="B331" s="38"/>
      <c r="C331" s="38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8"/>
      <c r="AK331" s="38"/>
      <c r="AL331" s="38"/>
      <c r="AM331" s="38"/>
      <c r="AN331" s="38"/>
      <c r="AO331" s="40"/>
      <c r="AP331" s="41"/>
    </row>
    <row r="332">
      <c r="A332" s="38"/>
      <c r="B332" s="38"/>
      <c r="C332" s="38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8"/>
      <c r="AK332" s="38"/>
      <c r="AL332" s="38"/>
      <c r="AM332" s="38"/>
      <c r="AN332" s="38"/>
      <c r="AO332" s="40"/>
      <c r="AP332" s="41"/>
    </row>
    <row r="333">
      <c r="A333" s="38"/>
      <c r="B333" s="38"/>
      <c r="C333" s="38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8"/>
      <c r="AK333" s="38"/>
      <c r="AL333" s="38"/>
      <c r="AM333" s="38"/>
      <c r="AN333" s="38"/>
      <c r="AO333" s="40"/>
      <c r="AP333" s="41"/>
    </row>
    <row r="334">
      <c r="A334" s="38"/>
      <c r="B334" s="38"/>
      <c r="C334" s="38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8"/>
      <c r="AK334" s="38"/>
      <c r="AL334" s="38"/>
      <c r="AM334" s="38"/>
      <c r="AN334" s="38"/>
      <c r="AO334" s="40"/>
      <c r="AP334" s="41"/>
    </row>
    <row r="335">
      <c r="A335" s="38"/>
      <c r="B335" s="38"/>
      <c r="C335" s="38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8"/>
      <c r="AK335" s="38"/>
      <c r="AL335" s="38"/>
      <c r="AM335" s="38"/>
      <c r="AN335" s="38"/>
      <c r="AO335" s="40"/>
      <c r="AP335" s="41"/>
    </row>
    <row r="336">
      <c r="A336" s="38"/>
      <c r="B336" s="38"/>
      <c r="C336" s="38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8"/>
      <c r="AK336" s="38"/>
      <c r="AL336" s="38"/>
      <c r="AM336" s="38"/>
      <c r="AN336" s="38"/>
      <c r="AO336" s="40"/>
      <c r="AP336" s="41"/>
    </row>
    <row r="337">
      <c r="A337" s="38"/>
      <c r="B337" s="38"/>
      <c r="C337" s="38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8"/>
      <c r="AK337" s="38"/>
      <c r="AL337" s="38"/>
      <c r="AM337" s="38"/>
      <c r="AN337" s="38"/>
      <c r="AO337" s="40"/>
      <c r="AP337" s="41"/>
    </row>
    <row r="338">
      <c r="A338" s="38"/>
      <c r="B338" s="38"/>
      <c r="C338" s="38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8"/>
      <c r="AK338" s="38"/>
      <c r="AL338" s="38"/>
      <c r="AM338" s="38"/>
      <c r="AN338" s="38"/>
      <c r="AO338" s="40"/>
      <c r="AP338" s="41"/>
    </row>
    <row r="339">
      <c r="A339" s="38"/>
      <c r="B339" s="38"/>
      <c r="C339" s="38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8"/>
      <c r="AK339" s="38"/>
      <c r="AL339" s="38"/>
      <c r="AM339" s="38"/>
      <c r="AN339" s="38"/>
      <c r="AO339" s="40"/>
      <c r="AP339" s="41"/>
    </row>
    <row r="340">
      <c r="A340" s="38"/>
      <c r="B340" s="38"/>
      <c r="C340" s="38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8"/>
      <c r="AK340" s="38"/>
      <c r="AL340" s="38"/>
      <c r="AM340" s="38"/>
      <c r="AN340" s="38"/>
      <c r="AO340" s="40"/>
      <c r="AP340" s="41"/>
    </row>
    <row r="341">
      <c r="A341" s="38"/>
      <c r="B341" s="38"/>
      <c r="C341" s="38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8"/>
      <c r="AK341" s="38"/>
      <c r="AL341" s="38"/>
      <c r="AM341" s="38"/>
      <c r="AN341" s="38"/>
      <c r="AO341" s="40"/>
      <c r="AP341" s="41"/>
    </row>
    <row r="342">
      <c r="A342" s="38"/>
      <c r="B342" s="38"/>
      <c r="C342" s="38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8"/>
      <c r="AK342" s="38"/>
      <c r="AL342" s="38"/>
      <c r="AM342" s="38"/>
      <c r="AN342" s="38"/>
      <c r="AO342" s="40"/>
      <c r="AP342" s="41"/>
    </row>
    <row r="343">
      <c r="A343" s="38"/>
      <c r="B343" s="38"/>
      <c r="C343" s="38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8"/>
      <c r="AK343" s="38"/>
      <c r="AL343" s="38"/>
      <c r="AM343" s="38"/>
      <c r="AN343" s="38"/>
      <c r="AO343" s="40"/>
      <c r="AP343" s="41"/>
    </row>
    <row r="344">
      <c r="A344" s="38"/>
      <c r="B344" s="38"/>
      <c r="C344" s="38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8"/>
      <c r="AK344" s="38"/>
      <c r="AL344" s="38"/>
      <c r="AM344" s="38"/>
      <c r="AN344" s="38"/>
      <c r="AO344" s="40"/>
      <c r="AP344" s="41"/>
    </row>
    <row r="345">
      <c r="A345" s="38"/>
      <c r="B345" s="38"/>
      <c r="C345" s="38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8"/>
      <c r="AK345" s="38"/>
      <c r="AL345" s="38"/>
      <c r="AM345" s="38"/>
      <c r="AN345" s="38"/>
      <c r="AO345" s="40"/>
      <c r="AP345" s="41"/>
    </row>
    <row r="346">
      <c r="A346" s="38"/>
      <c r="B346" s="38"/>
      <c r="C346" s="38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8"/>
      <c r="AK346" s="38"/>
      <c r="AL346" s="38"/>
      <c r="AM346" s="38"/>
      <c r="AN346" s="38"/>
      <c r="AO346" s="40"/>
      <c r="AP346" s="41"/>
    </row>
    <row r="347">
      <c r="A347" s="38"/>
      <c r="B347" s="38"/>
      <c r="C347" s="38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8"/>
      <c r="AK347" s="38"/>
      <c r="AL347" s="38"/>
      <c r="AM347" s="38"/>
      <c r="AN347" s="38"/>
      <c r="AO347" s="40"/>
      <c r="AP347" s="41"/>
    </row>
    <row r="348">
      <c r="A348" s="38"/>
      <c r="B348" s="38"/>
      <c r="C348" s="38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8"/>
      <c r="AK348" s="38"/>
      <c r="AL348" s="38"/>
      <c r="AM348" s="38"/>
      <c r="AN348" s="38"/>
      <c r="AO348" s="40"/>
      <c r="AP348" s="41"/>
    </row>
    <row r="349">
      <c r="A349" s="38"/>
      <c r="B349" s="38"/>
      <c r="C349" s="38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8"/>
      <c r="AK349" s="38"/>
      <c r="AL349" s="38"/>
      <c r="AM349" s="38"/>
      <c r="AN349" s="38"/>
      <c r="AO349" s="40"/>
      <c r="AP349" s="41"/>
    </row>
    <row r="350">
      <c r="A350" s="38"/>
      <c r="B350" s="38"/>
      <c r="C350" s="38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8"/>
      <c r="AK350" s="38"/>
      <c r="AL350" s="38"/>
      <c r="AM350" s="38"/>
      <c r="AN350" s="38"/>
      <c r="AO350" s="40"/>
      <c r="AP350" s="41"/>
    </row>
    <row r="351">
      <c r="A351" s="38"/>
      <c r="B351" s="38"/>
      <c r="C351" s="38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8"/>
      <c r="AK351" s="38"/>
      <c r="AL351" s="38"/>
      <c r="AM351" s="38"/>
      <c r="AN351" s="38"/>
      <c r="AO351" s="40"/>
      <c r="AP351" s="41"/>
    </row>
    <row r="352">
      <c r="A352" s="38"/>
      <c r="B352" s="38"/>
      <c r="C352" s="38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8"/>
      <c r="AK352" s="38"/>
      <c r="AL352" s="38"/>
      <c r="AM352" s="38"/>
      <c r="AN352" s="38"/>
      <c r="AO352" s="40"/>
      <c r="AP352" s="41"/>
    </row>
    <row r="353">
      <c r="A353" s="38"/>
      <c r="B353" s="38"/>
      <c r="C353" s="38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8"/>
      <c r="AK353" s="38"/>
      <c r="AL353" s="38"/>
      <c r="AM353" s="38"/>
      <c r="AN353" s="38"/>
      <c r="AO353" s="40"/>
      <c r="AP353" s="41"/>
    </row>
    <row r="354">
      <c r="A354" s="38"/>
      <c r="B354" s="38"/>
      <c r="C354" s="38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8"/>
      <c r="AK354" s="38"/>
      <c r="AL354" s="38"/>
      <c r="AM354" s="38"/>
      <c r="AN354" s="38"/>
      <c r="AO354" s="40"/>
      <c r="AP354" s="41"/>
    </row>
    <row r="355">
      <c r="A355" s="38"/>
      <c r="B355" s="38"/>
      <c r="C355" s="38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8"/>
      <c r="AK355" s="38"/>
      <c r="AL355" s="38"/>
      <c r="AM355" s="38"/>
      <c r="AN355" s="38"/>
      <c r="AO355" s="40"/>
      <c r="AP355" s="41"/>
    </row>
    <row r="356">
      <c r="A356" s="38"/>
      <c r="B356" s="38"/>
      <c r="C356" s="38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8"/>
      <c r="AK356" s="38"/>
      <c r="AL356" s="38"/>
      <c r="AM356" s="38"/>
      <c r="AN356" s="38"/>
      <c r="AO356" s="40"/>
      <c r="AP356" s="41"/>
    </row>
    <row r="357">
      <c r="A357" s="38"/>
      <c r="B357" s="38"/>
      <c r="C357" s="38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8"/>
      <c r="AK357" s="38"/>
      <c r="AL357" s="38"/>
      <c r="AM357" s="38"/>
      <c r="AN357" s="38"/>
      <c r="AO357" s="40"/>
      <c r="AP357" s="41"/>
    </row>
    <row r="358">
      <c r="A358" s="38"/>
      <c r="B358" s="38"/>
      <c r="C358" s="38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8"/>
      <c r="AK358" s="38"/>
      <c r="AL358" s="38"/>
      <c r="AM358" s="38"/>
      <c r="AN358" s="38"/>
      <c r="AO358" s="40"/>
      <c r="AP358" s="41"/>
    </row>
    <row r="359">
      <c r="A359" s="38"/>
      <c r="B359" s="38"/>
      <c r="C359" s="38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8"/>
      <c r="AK359" s="38"/>
      <c r="AL359" s="38"/>
      <c r="AM359" s="38"/>
      <c r="AN359" s="38"/>
      <c r="AO359" s="40"/>
      <c r="AP359" s="41"/>
    </row>
    <row r="360">
      <c r="A360" s="38"/>
      <c r="B360" s="38"/>
      <c r="C360" s="38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8"/>
      <c r="AK360" s="38"/>
      <c r="AL360" s="38"/>
      <c r="AM360" s="38"/>
      <c r="AN360" s="38"/>
      <c r="AO360" s="40"/>
      <c r="AP360" s="41"/>
    </row>
    <row r="361">
      <c r="A361" s="38"/>
      <c r="B361" s="38"/>
      <c r="C361" s="38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8"/>
      <c r="AK361" s="38"/>
      <c r="AL361" s="38"/>
      <c r="AM361" s="38"/>
      <c r="AN361" s="38"/>
      <c r="AO361" s="40"/>
      <c r="AP361" s="41"/>
    </row>
    <row r="362">
      <c r="A362" s="38"/>
      <c r="B362" s="38"/>
      <c r="C362" s="38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8"/>
      <c r="AK362" s="38"/>
      <c r="AL362" s="38"/>
      <c r="AM362" s="38"/>
      <c r="AN362" s="38"/>
      <c r="AO362" s="40"/>
      <c r="AP362" s="41"/>
    </row>
    <row r="363">
      <c r="A363" s="38"/>
      <c r="B363" s="38"/>
      <c r="C363" s="38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8"/>
      <c r="AK363" s="38"/>
      <c r="AL363" s="38"/>
      <c r="AM363" s="38"/>
      <c r="AN363" s="38"/>
      <c r="AO363" s="40"/>
      <c r="AP363" s="41"/>
    </row>
    <row r="364">
      <c r="A364" s="38"/>
      <c r="B364" s="38"/>
      <c r="C364" s="38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8"/>
      <c r="AK364" s="38"/>
      <c r="AL364" s="38"/>
      <c r="AM364" s="38"/>
      <c r="AN364" s="38"/>
      <c r="AO364" s="40"/>
      <c r="AP364" s="41"/>
    </row>
    <row r="365">
      <c r="A365" s="38"/>
      <c r="B365" s="38"/>
      <c r="C365" s="38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8"/>
      <c r="AK365" s="38"/>
      <c r="AL365" s="38"/>
      <c r="AM365" s="38"/>
      <c r="AN365" s="38"/>
      <c r="AO365" s="40"/>
      <c r="AP365" s="41"/>
    </row>
    <row r="366">
      <c r="A366" s="38"/>
      <c r="B366" s="38"/>
      <c r="C366" s="38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8"/>
      <c r="AK366" s="38"/>
      <c r="AL366" s="38"/>
      <c r="AM366" s="38"/>
      <c r="AN366" s="38"/>
      <c r="AO366" s="40"/>
      <c r="AP366" s="41"/>
    </row>
    <row r="367">
      <c r="A367" s="38"/>
      <c r="B367" s="38"/>
      <c r="C367" s="38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8"/>
      <c r="AK367" s="38"/>
      <c r="AL367" s="38"/>
      <c r="AM367" s="38"/>
      <c r="AN367" s="38"/>
      <c r="AO367" s="40"/>
      <c r="AP367" s="41"/>
    </row>
    <row r="368">
      <c r="A368" s="38"/>
      <c r="B368" s="38"/>
      <c r="C368" s="38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8"/>
      <c r="AK368" s="38"/>
      <c r="AL368" s="38"/>
      <c r="AM368" s="38"/>
      <c r="AN368" s="38"/>
      <c r="AO368" s="40"/>
      <c r="AP368" s="41"/>
    </row>
    <row r="369">
      <c r="A369" s="38"/>
      <c r="B369" s="38"/>
      <c r="C369" s="38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8"/>
      <c r="AK369" s="38"/>
      <c r="AL369" s="38"/>
      <c r="AM369" s="38"/>
      <c r="AN369" s="38"/>
      <c r="AO369" s="40"/>
      <c r="AP369" s="41"/>
    </row>
    <row r="370">
      <c r="A370" s="38"/>
      <c r="B370" s="38"/>
      <c r="C370" s="38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8"/>
      <c r="AK370" s="38"/>
      <c r="AL370" s="38"/>
      <c r="AM370" s="38"/>
      <c r="AN370" s="38"/>
      <c r="AO370" s="40"/>
      <c r="AP370" s="41"/>
    </row>
    <row r="371">
      <c r="A371" s="38"/>
      <c r="B371" s="38"/>
      <c r="C371" s="38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8"/>
      <c r="AK371" s="38"/>
      <c r="AL371" s="38"/>
      <c r="AM371" s="38"/>
      <c r="AN371" s="38"/>
      <c r="AO371" s="40"/>
      <c r="AP371" s="41"/>
    </row>
    <row r="372">
      <c r="A372" s="38"/>
      <c r="B372" s="38"/>
      <c r="C372" s="38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8"/>
      <c r="AK372" s="38"/>
      <c r="AL372" s="38"/>
      <c r="AM372" s="38"/>
      <c r="AN372" s="38"/>
      <c r="AO372" s="40"/>
      <c r="AP372" s="41"/>
    </row>
    <row r="373">
      <c r="A373" s="38"/>
      <c r="B373" s="38"/>
      <c r="C373" s="38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8"/>
      <c r="AK373" s="38"/>
      <c r="AL373" s="38"/>
      <c r="AM373" s="38"/>
      <c r="AN373" s="38"/>
      <c r="AO373" s="40"/>
      <c r="AP373" s="41"/>
    </row>
    <row r="374">
      <c r="A374" s="38"/>
      <c r="B374" s="38"/>
      <c r="C374" s="38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8"/>
      <c r="AK374" s="38"/>
      <c r="AL374" s="38"/>
      <c r="AM374" s="38"/>
      <c r="AN374" s="38"/>
      <c r="AO374" s="40"/>
      <c r="AP374" s="41"/>
    </row>
    <row r="375">
      <c r="A375" s="38"/>
      <c r="B375" s="38"/>
      <c r="C375" s="38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8"/>
      <c r="AK375" s="38"/>
      <c r="AL375" s="38"/>
      <c r="AM375" s="38"/>
      <c r="AN375" s="38"/>
      <c r="AO375" s="40"/>
      <c r="AP375" s="41"/>
    </row>
    <row r="376">
      <c r="A376" s="38"/>
      <c r="B376" s="38"/>
      <c r="C376" s="38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8"/>
      <c r="AK376" s="38"/>
      <c r="AL376" s="38"/>
      <c r="AM376" s="38"/>
      <c r="AN376" s="38"/>
      <c r="AO376" s="40"/>
      <c r="AP376" s="41"/>
    </row>
    <row r="377">
      <c r="A377" s="38"/>
      <c r="B377" s="38"/>
      <c r="C377" s="38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8"/>
      <c r="AK377" s="38"/>
      <c r="AL377" s="38"/>
      <c r="AM377" s="38"/>
      <c r="AN377" s="38"/>
      <c r="AO377" s="40"/>
      <c r="AP377" s="41"/>
    </row>
    <row r="378">
      <c r="A378" s="38"/>
      <c r="B378" s="38"/>
      <c r="C378" s="38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8"/>
      <c r="AK378" s="38"/>
      <c r="AL378" s="38"/>
      <c r="AM378" s="38"/>
      <c r="AN378" s="38"/>
      <c r="AO378" s="40"/>
      <c r="AP378" s="41"/>
    </row>
    <row r="379">
      <c r="A379" s="38"/>
      <c r="B379" s="38"/>
      <c r="C379" s="38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8"/>
      <c r="AK379" s="38"/>
      <c r="AL379" s="38"/>
      <c r="AM379" s="38"/>
      <c r="AN379" s="38"/>
      <c r="AO379" s="40"/>
      <c r="AP379" s="41"/>
    </row>
    <row r="380">
      <c r="A380" s="38"/>
      <c r="B380" s="38"/>
      <c r="C380" s="38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8"/>
      <c r="AK380" s="38"/>
      <c r="AL380" s="38"/>
      <c r="AM380" s="38"/>
      <c r="AN380" s="38"/>
      <c r="AO380" s="40"/>
      <c r="AP380" s="41"/>
    </row>
    <row r="381">
      <c r="A381" s="38"/>
      <c r="B381" s="38"/>
      <c r="C381" s="38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8"/>
      <c r="AK381" s="38"/>
      <c r="AL381" s="38"/>
      <c r="AM381" s="38"/>
      <c r="AN381" s="38"/>
      <c r="AO381" s="40"/>
      <c r="AP381" s="41"/>
    </row>
    <row r="382">
      <c r="A382" s="38"/>
      <c r="B382" s="38"/>
      <c r="C382" s="38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8"/>
      <c r="AK382" s="38"/>
      <c r="AL382" s="38"/>
      <c r="AM382" s="38"/>
      <c r="AN382" s="38"/>
      <c r="AO382" s="40"/>
      <c r="AP382" s="41"/>
    </row>
    <row r="383">
      <c r="A383" s="38"/>
      <c r="B383" s="38"/>
      <c r="C383" s="38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8"/>
      <c r="AK383" s="38"/>
      <c r="AL383" s="38"/>
      <c r="AM383" s="38"/>
      <c r="AN383" s="38"/>
      <c r="AO383" s="40"/>
      <c r="AP383" s="41"/>
    </row>
    <row r="384">
      <c r="A384" s="38"/>
      <c r="B384" s="38"/>
      <c r="C384" s="38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8"/>
      <c r="AK384" s="38"/>
      <c r="AL384" s="38"/>
      <c r="AM384" s="38"/>
      <c r="AN384" s="38"/>
      <c r="AO384" s="40"/>
      <c r="AP384" s="41"/>
    </row>
    <row r="385">
      <c r="A385" s="38"/>
      <c r="B385" s="38"/>
      <c r="C385" s="38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8"/>
      <c r="AK385" s="38"/>
      <c r="AL385" s="38"/>
      <c r="AM385" s="38"/>
      <c r="AN385" s="38"/>
      <c r="AO385" s="40"/>
      <c r="AP385" s="41"/>
    </row>
    <row r="386">
      <c r="A386" s="38"/>
      <c r="B386" s="38"/>
      <c r="C386" s="38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8"/>
      <c r="AK386" s="38"/>
      <c r="AL386" s="38"/>
      <c r="AM386" s="38"/>
      <c r="AN386" s="38"/>
      <c r="AO386" s="40"/>
      <c r="AP386" s="41"/>
    </row>
    <row r="387">
      <c r="A387" s="38"/>
      <c r="B387" s="38"/>
      <c r="C387" s="38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8"/>
      <c r="AK387" s="38"/>
      <c r="AL387" s="38"/>
      <c r="AM387" s="38"/>
      <c r="AN387" s="38"/>
      <c r="AO387" s="40"/>
      <c r="AP387" s="41"/>
    </row>
    <row r="388">
      <c r="A388" s="38"/>
      <c r="B388" s="38"/>
      <c r="C388" s="38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8"/>
      <c r="AK388" s="38"/>
      <c r="AL388" s="38"/>
      <c r="AM388" s="38"/>
      <c r="AN388" s="38"/>
      <c r="AO388" s="40"/>
      <c r="AP388" s="41"/>
    </row>
    <row r="389">
      <c r="A389" s="38"/>
      <c r="B389" s="38"/>
      <c r="C389" s="38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8"/>
      <c r="AK389" s="38"/>
      <c r="AL389" s="38"/>
      <c r="AM389" s="38"/>
      <c r="AN389" s="38"/>
      <c r="AO389" s="40"/>
      <c r="AP389" s="41"/>
    </row>
    <row r="390">
      <c r="A390" s="38"/>
      <c r="B390" s="38"/>
      <c r="C390" s="38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8"/>
      <c r="AK390" s="38"/>
      <c r="AL390" s="38"/>
      <c r="AM390" s="38"/>
      <c r="AN390" s="38"/>
      <c r="AO390" s="40"/>
      <c r="AP390" s="41"/>
    </row>
    <row r="391">
      <c r="A391" s="38"/>
      <c r="B391" s="38"/>
      <c r="C391" s="38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8"/>
      <c r="AK391" s="38"/>
      <c r="AL391" s="38"/>
      <c r="AM391" s="38"/>
      <c r="AN391" s="38"/>
      <c r="AO391" s="40"/>
      <c r="AP391" s="41"/>
    </row>
    <row r="392">
      <c r="A392" s="38"/>
      <c r="B392" s="38"/>
      <c r="C392" s="38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8"/>
      <c r="AK392" s="38"/>
      <c r="AL392" s="38"/>
      <c r="AM392" s="38"/>
      <c r="AN392" s="38"/>
      <c r="AO392" s="40"/>
      <c r="AP392" s="41"/>
    </row>
    <row r="393">
      <c r="A393" s="38"/>
      <c r="B393" s="38"/>
      <c r="C393" s="38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8"/>
      <c r="AK393" s="38"/>
      <c r="AL393" s="38"/>
      <c r="AM393" s="38"/>
      <c r="AN393" s="38"/>
      <c r="AO393" s="40"/>
      <c r="AP393" s="41"/>
    </row>
    <row r="394">
      <c r="A394" s="38"/>
      <c r="B394" s="38"/>
      <c r="C394" s="38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8"/>
      <c r="AK394" s="38"/>
      <c r="AL394" s="38"/>
      <c r="AM394" s="38"/>
      <c r="AN394" s="38"/>
      <c r="AO394" s="40"/>
      <c r="AP394" s="41"/>
    </row>
    <row r="395">
      <c r="A395" s="38"/>
      <c r="B395" s="38"/>
      <c r="C395" s="38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8"/>
      <c r="AK395" s="38"/>
      <c r="AL395" s="38"/>
      <c r="AM395" s="38"/>
      <c r="AN395" s="38"/>
      <c r="AO395" s="40"/>
      <c r="AP395" s="41"/>
    </row>
    <row r="396">
      <c r="A396" s="38"/>
      <c r="B396" s="38"/>
      <c r="C396" s="38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8"/>
      <c r="AK396" s="38"/>
      <c r="AL396" s="38"/>
      <c r="AM396" s="38"/>
      <c r="AN396" s="38"/>
      <c r="AO396" s="40"/>
      <c r="AP396" s="41"/>
    </row>
    <row r="397">
      <c r="A397" s="38"/>
      <c r="B397" s="38"/>
      <c r="C397" s="38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8"/>
      <c r="AK397" s="38"/>
      <c r="AL397" s="38"/>
      <c r="AM397" s="38"/>
      <c r="AN397" s="38"/>
      <c r="AO397" s="40"/>
      <c r="AP397" s="41"/>
    </row>
    <row r="398">
      <c r="A398" s="38"/>
      <c r="B398" s="38"/>
      <c r="C398" s="38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8"/>
      <c r="AK398" s="38"/>
      <c r="AL398" s="38"/>
      <c r="AM398" s="38"/>
      <c r="AN398" s="38"/>
      <c r="AO398" s="40"/>
      <c r="AP398" s="41"/>
    </row>
    <row r="399">
      <c r="A399" s="38"/>
      <c r="B399" s="38"/>
      <c r="C399" s="38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8"/>
      <c r="AK399" s="38"/>
      <c r="AL399" s="38"/>
      <c r="AM399" s="38"/>
      <c r="AN399" s="38"/>
      <c r="AO399" s="40"/>
      <c r="AP399" s="41"/>
    </row>
    <row r="400">
      <c r="A400" s="38"/>
      <c r="B400" s="38"/>
      <c r="C400" s="38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8"/>
      <c r="AK400" s="38"/>
      <c r="AL400" s="38"/>
      <c r="AM400" s="38"/>
      <c r="AN400" s="38"/>
      <c r="AO400" s="40"/>
      <c r="AP400" s="41"/>
    </row>
    <row r="401">
      <c r="A401" s="38"/>
      <c r="B401" s="38"/>
      <c r="C401" s="38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8"/>
      <c r="AK401" s="38"/>
      <c r="AL401" s="38"/>
      <c r="AM401" s="38"/>
      <c r="AN401" s="38"/>
      <c r="AO401" s="40"/>
      <c r="AP401" s="41"/>
    </row>
    <row r="402">
      <c r="A402" s="38"/>
      <c r="B402" s="38"/>
      <c r="C402" s="38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8"/>
      <c r="AK402" s="38"/>
      <c r="AL402" s="38"/>
      <c r="AM402" s="38"/>
      <c r="AN402" s="38"/>
      <c r="AO402" s="40"/>
      <c r="AP402" s="41"/>
    </row>
    <row r="403">
      <c r="A403" s="38"/>
      <c r="B403" s="38"/>
      <c r="C403" s="38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8"/>
      <c r="AK403" s="38"/>
      <c r="AL403" s="38"/>
      <c r="AM403" s="38"/>
      <c r="AN403" s="38"/>
      <c r="AO403" s="40"/>
      <c r="AP403" s="41"/>
    </row>
    <row r="404">
      <c r="A404" s="38"/>
      <c r="B404" s="38"/>
      <c r="C404" s="38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8"/>
      <c r="AK404" s="38"/>
      <c r="AL404" s="38"/>
      <c r="AM404" s="38"/>
      <c r="AN404" s="38"/>
      <c r="AO404" s="40"/>
      <c r="AP404" s="41"/>
    </row>
    <row r="405">
      <c r="A405" s="38"/>
      <c r="B405" s="38"/>
      <c r="C405" s="38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8"/>
      <c r="AK405" s="38"/>
      <c r="AL405" s="38"/>
      <c r="AM405" s="38"/>
      <c r="AN405" s="38"/>
      <c r="AO405" s="40"/>
      <c r="AP405" s="41"/>
    </row>
    <row r="406">
      <c r="A406" s="38"/>
      <c r="B406" s="38"/>
      <c r="C406" s="38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8"/>
      <c r="AK406" s="38"/>
      <c r="AL406" s="38"/>
      <c r="AM406" s="38"/>
      <c r="AN406" s="38"/>
      <c r="AO406" s="40"/>
      <c r="AP406" s="41"/>
    </row>
    <row r="407">
      <c r="A407" s="38"/>
      <c r="B407" s="38"/>
      <c r="C407" s="38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8"/>
      <c r="AK407" s="38"/>
      <c r="AL407" s="38"/>
      <c r="AM407" s="38"/>
      <c r="AN407" s="38"/>
      <c r="AO407" s="40"/>
      <c r="AP407" s="41"/>
    </row>
    <row r="408">
      <c r="A408" s="38"/>
      <c r="B408" s="38"/>
      <c r="C408" s="38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8"/>
      <c r="AK408" s="38"/>
      <c r="AL408" s="38"/>
      <c r="AM408" s="38"/>
      <c r="AN408" s="38"/>
      <c r="AO408" s="40"/>
      <c r="AP408" s="41"/>
    </row>
    <row r="409">
      <c r="A409" s="38"/>
      <c r="B409" s="38"/>
      <c r="C409" s="38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8"/>
      <c r="AK409" s="38"/>
      <c r="AL409" s="38"/>
      <c r="AM409" s="38"/>
      <c r="AN409" s="38"/>
      <c r="AO409" s="40"/>
      <c r="AP409" s="41"/>
    </row>
    <row r="410">
      <c r="A410" s="38"/>
      <c r="B410" s="38"/>
      <c r="C410" s="38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8"/>
      <c r="AK410" s="38"/>
      <c r="AL410" s="38"/>
      <c r="AM410" s="38"/>
      <c r="AN410" s="38"/>
      <c r="AO410" s="40"/>
      <c r="AP410" s="41"/>
    </row>
    <row r="411">
      <c r="A411" s="38"/>
      <c r="B411" s="38"/>
      <c r="C411" s="38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8"/>
      <c r="AK411" s="38"/>
      <c r="AL411" s="38"/>
      <c r="AM411" s="38"/>
      <c r="AN411" s="38"/>
      <c r="AO411" s="40"/>
      <c r="AP411" s="41"/>
    </row>
    <row r="412">
      <c r="A412" s="38"/>
      <c r="B412" s="38"/>
      <c r="C412" s="38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8"/>
      <c r="AK412" s="38"/>
      <c r="AL412" s="38"/>
      <c r="AM412" s="38"/>
      <c r="AN412" s="38"/>
      <c r="AO412" s="40"/>
      <c r="AP412" s="41"/>
    </row>
    <row r="413">
      <c r="A413" s="38"/>
      <c r="B413" s="38"/>
      <c r="C413" s="38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8"/>
      <c r="AK413" s="38"/>
      <c r="AL413" s="38"/>
      <c r="AM413" s="38"/>
      <c r="AN413" s="38"/>
      <c r="AO413" s="40"/>
      <c r="AP413" s="41"/>
    </row>
    <row r="414">
      <c r="A414" s="38"/>
      <c r="B414" s="38"/>
      <c r="C414" s="38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8"/>
      <c r="AK414" s="38"/>
      <c r="AL414" s="38"/>
      <c r="AM414" s="38"/>
      <c r="AN414" s="38"/>
      <c r="AO414" s="40"/>
      <c r="AP414" s="41"/>
    </row>
    <row r="415">
      <c r="A415" s="38"/>
      <c r="B415" s="38"/>
      <c r="C415" s="38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8"/>
      <c r="AK415" s="38"/>
      <c r="AL415" s="38"/>
      <c r="AM415" s="38"/>
      <c r="AN415" s="38"/>
      <c r="AO415" s="40"/>
      <c r="AP415" s="41"/>
    </row>
    <row r="416">
      <c r="A416" s="38"/>
      <c r="B416" s="38"/>
      <c r="C416" s="38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8"/>
      <c r="AK416" s="38"/>
      <c r="AL416" s="38"/>
      <c r="AM416" s="38"/>
      <c r="AN416" s="38"/>
      <c r="AO416" s="40"/>
      <c r="AP416" s="41"/>
    </row>
    <row r="417">
      <c r="A417" s="38"/>
      <c r="B417" s="38"/>
      <c r="C417" s="38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8"/>
      <c r="AK417" s="38"/>
      <c r="AL417" s="38"/>
      <c r="AM417" s="38"/>
      <c r="AN417" s="38"/>
      <c r="AO417" s="40"/>
      <c r="AP417" s="41"/>
    </row>
    <row r="418">
      <c r="A418" s="38"/>
      <c r="B418" s="38"/>
      <c r="C418" s="38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8"/>
      <c r="AK418" s="38"/>
      <c r="AL418" s="38"/>
      <c r="AM418" s="38"/>
      <c r="AN418" s="38"/>
      <c r="AO418" s="40"/>
      <c r="AP418" s="41"/>
    </row>
    <row r="419">
      <c r="A419" s="38"/>
      <c r="B419" s="38"/>
      <c r="C419" s="38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8"/>
      <c r="AK419" s="38"/>
      <c r="AL419" s="38"/>
      <c r="AM419" s="38"/>
      <c r="AN419" s="38"/>
      <c r="AO419" s="40"/>
      <c r="AP419" s="41"/>
    </row>
    <row r="420">
      <c r="A420" s="38"/>
      <c r="B420" s="38"/>
      <c r="C420" s="38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8"/>
      <c r="AK420" s="38"/>
      <c r="AL420" s="38"/>
      <c r="AM420" s="38"/>
      <c r="AN420" s="38"/>
      <c r="AO420" s="40"/>
      <c r="AP420" s="41"/>
    </row>
    <row r="421">
      <c r="A421" s="38"/>
      <c r="B421" s="38"/>
      <c r="C421" s="38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8"/>
      <c r="AK421" s="38"/>
      <c r="AL421" s="38"/>
      <c r="AM421" s="38"/>
      <c r="AN421" s="38"/>
      <c r="AO421" s="40"/>
      <c r="AP421" s="41"/>
    </row>
    <row r="422">
      <c r="A422" s="38"/>
      <c r="B422" s="38"/>
      <c r="C422" s="38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8"/>
      <c r="AK422" s="38"/>
      <c r="AL422" s="38"/>
      <c r="AM422" s="38"/>
      <c r="AN422" s="38"/>
      <c r="AO422" s="40"/>
      <c r="AP422" s="41"/>
    </row>
    <row r="423">
      <c r="A423" s="38"/>
      <c r="B423" s="38"/>
      <c r="C423" s="38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8"/>
      <c r="AK423" s="38"/>
      <c r="AL423" s="38"/>
      <c r="AM423" s="38"/>
      <c r="AN423" s="38"/>
      <c r="AO423" s="40"/>
      <c r="AP423" s="41"/>
    </row>
    <row r="424">
      <c r="A424" s="38"/>
      <c r="B424" s="38"/>
      <c r="C424" s="38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8"/>
      <c r="AK424" s="38"/>
      <c r="AL424" s="38"/>
      <c r="AM424" s="38"/>
      <c r="AN424" s="38"/>
      <c r="AO424" s="40"/>
      <c r="AP424" s="41"/>
    </row>
    <row r="425">
      <c r="A425" s="38"/>
      <c r="B425" s="38"/>
      <c r="C425" s="38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8"/>
      <c r="AK425" s="38"/>
      <c r="AL425" s="38"/>
      <c r="AM425" s="38"/>
      <c r="AN425" s="38"/>
      <c r="AO425" s="40"/>
      <c r="AP425" s="41"/>
    </row>
    <row r="426">
      <c r="A426" s="38"/>
      <c r="B426" s="38"/>
      <c r="C426" s="38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8"/>
      <c r="AK426" s="38"/>
      <c r="AL426" s="38"/>
      <c r="AM426" s="38"/>
      <c r="AN426" s="38"/>
      <c r="AO426" s="40"/>
      <c r="AP426" s="41"/>
    </row>
    <row r="427">
      <c r="A427" s="38"/>
      <c r="B427" s="38"/>
      <c r="C427" s="38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8"/>
      <c r="AK427" s="38"/>
      <c r="AL427" s="38"/>
      <c r="AM427" s="38"/>
      <c r="AN427" s="38"/>
      <c r="AO427" s="40"/>
      <c r="AP427" s="41"/>
    </row>
    <row r="428">
      <c r="A428" s="38"/>
      <c r="B428" s="38"/>
      <c r="C428" s="38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8"/>
      <c r="AK428" s="38"/>
      <c r="AL428" s="38"/>
      <c r="AM428" s="38"/>
      <c r="AN428" s="38"/>
      <c r="AO428" s="40"/>
      <c r="AP428" s="41"/>
    </row>
    <row r="429">
      <c r="A429" s="38"/>
      <c r="B429" s="38"/>
      <c r="C429" s="38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8"/>
      <c r="AK429" s="38"/>
      <c r="AL429" s="38"/>
      <c r="AM429" s="38"/>
      <c r="AN429" s="38"/>
      <c r="AO429" s="40"/>
      <c r="AP429" s="41"/>
    </row>
    <row r="430">
      <c r="A430" s="38"/>
      <c r="B430" s="38"/>
      <c r="C430" s="38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8"/>
      <c r="AK430" s="38"/>
      <c r="AL430" s="38"/>
      <c r="AM430" s="38"/>
      <c r="AN430" s="38"/>
      <c r="AO430" s="40"/>
      <c r="AP430" s="41"/>
    </row>
    <row r="431">
      <c r="A431" s="38"/>
      <c r="B431" s="38"/>
      <c r="C431" s="38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8"/>
      <c r="AK431" s="38"/>
      <c r="AL431" s="38"/>
      <c r="AM431" s="38"/>
      <c r="AN431" s="38"/>
      <c r="AO431" s="40"/>
      <c r="AP431" s="41"/>
    </row>
    <row r="432">
      <c r="A432" s="38"/>
      <c r="B432" s="38"/>
      <c r="C432" s="38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8"/>
      <c r="AK432" s="38"/>
      <c r="AL432" s="38"/>
      <c r="AM432" s="38"/>
      <c r="AN432" s="38"/>
      <c r="AO432" s="40"/>
      <c r="AP432" s="41"/>
    </row>
    <row r="433">
      <c r="A433" s="38"/>
      <c r="B433" s="38"/>
      <c r="C433" s="38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8"/>
      <c r="AK433" s="38"/>
      <c r="AL433" s="38"/>
      <c r="AM433" s="38"/>
      <c r="AN433" s="38"/>
      <c r="AO433" s="40"/>
      <c r="AP433" s="41"/>
    </row>
    <row r="434">
      <c r="A434" s="38"/>
      <c r="B434" s="38"/>
      <c r="C434" s="38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8"/>
      <c r="AK434" s="38"/>
      <c r="AL434" s="38"/>
      <c r="AM434" s="38"/>
      <c r="AN434" s="38"/>
      <c r="AO434" s="40"/>
      <c r="AP434" s="41"/>
    </row>
    <row r="435">
      <c r="A435" s="38"/>
      <c r="B435" s="38"/>
      <c r="C435" s="38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8"/>
      <c r="AK435" s="38"/>
      <c r="AL435" s="38"/>
      <c r="AM435" s="38"/>
      <c r="AN435" s="38"/>
      <c r="AO435" s="40"/>
      <c r="AP435" s="41"/>
    </row>
    <row r="436">
      <c r="A436" s="38"/>
      <c r="B436" s="38"/>
      <c r="C436" s="38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8"/>
      <c r="AK436" s="38"/>
      <c r="AL436" s="38"/>
      <c r="AM436" s="38"/>
      <c r="AN436" s="38"/>
      <c r="AO436" s="40"/>
      <c r="AP436" s="41"/>
    </row>
    <row r="437">
      <c r="A437" s="38"/>
      <c r="B437" s="38"/>
      <c r="C437" s="38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8"/>
      <c r="AK437" s="38"/>
      <c r="AL437" s="38"/>
      <c r="AM437" s="38"/>
      <c r="AN437" s="38"/>
      <c r="AO437" s="40"/>
      <c r="AP437" s="41"/>
    </row>
    <row r="438">
      <c r="A438" s="38"/>
      <c r="B438" s="38"/>
      <c r="C438" s="38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8"/>
      <c r="AK438" s="38"/>
      <c r="AL438" s="38"/>
      <c r="AM438" s="38"/>
      <c r="AN438" s="38"/>
      <c r="AO438" s="40"/>
      <c r="AP438" s="41"/>
    </row>
    <row r="439">
      <c r="A439" s="38"/>
      <c r="B439" s="38"/>
      <c r="C439" s="38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8"/>
      <c r="AK439" s="38"/>
      <c r="AL439" s="38"/>
      <c r="AM439" s="38"/>
      <c r="AN439" s="38"/>
      <c r="AO439" s="40"/>
      <c r="AP439" s="41"/>
    </row>
    <row r="440">
      <c r="A440" s="38"/>
      <c r="B440" s="38"/>
      <c r="C440" s="38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8"/>
      <c r="AK440" s="38"/>
      <c r="AL440" s="38"/>
      <c r="AM440" s="38"/>
      <c r="AN440" s="38"/>
      <c r="AO440" s="40"/>
      <c r="AP440" s="41"/>
    </row>
    <row r="441">
      <c r="A441" s="38"/>
      <c r="B441" s="38"/>
      <c r="C441" s="38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8"/>
      <c r="AK441" s="38"/>
      <c r="AL441" s="38"/>
      <c r="AM441" s="38"/>
      <c r="AN441" s="38"/>
      <c r="AO441" s="40"/>
      <c r="AP441" s="41"/>
    </row>
    <row r="442">
      <c r="A442" s="38"/>
      <c r="B442" s="38"/>
      <c r="C442" s="38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8"/>
      <c r="AK442" s="38"/>
      <c r="AL442" s="38"/>
      <c r="AM442" s="38"/>
      <c r="AN442" s="38"/>
      <c r="AO442" s="40"/>
      <c r="AP442" s="41"/>
    </row>
    <row r="443">
      <c r="A443" s="38"/>
      <c r="B443" s="38"/>
      <c r="C443" s="38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8"/>
      <c r="AK443" s="38"/>
      <c r="AL443" s="38"/>
      <c r="AM443" s="38"/>
      <c r="AN443" s="38"/>
      <c r="AO443" s="40"/>
      <c r="AP443" s="41"/>
    </row>
    <row r="444">
      <c r="A444" s="38"/>
      <c r="B444" s="38"/>
      <c r="C444" s="38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8"/>
      <c r="AK444" s="38"/>
      <c r="AL444" s="38"/>
      <c r="AM444" s="38"/>
      <c r="AN444" s="38"/>
      <c r="AO444" s="40"/>
      <c r="AP444" s="41"/>
    </row>
    <row r="445">
      <c r="A445" s="38"/>
      <c r="B445" s="38"/>
      <c r="C445" s="38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8"/>
      <c r="AK445" s="38"/>
      <c r="AL445" s="38"/>
      <c r="AM445" s="38"/>
      <c r="AN445" s="38"/>
      <c r="AO445" s="40"/>
      <c r="AP445" s="41"/>
    </row>
    <row r="446">
      <c r="A446" s="38"/>
      <c r="B446" s="38"/>
      <c r="C446" s="38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8"/>
      <c r="AK446" s="38"/>
      <c r="AL446" s="38"/>
      <c r="AM446" s="38"/>
      <c r="AN446" s="38"/>
      <c r="AO446" s="40"/>
      <c r="AP446" s="41"/>
    </row>
    <row r="447">
      <c r="A447" s="38"/>
      <c r="B447" s="38"/>
      <c r="C447" s="38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8"/>
      <c r="AK447" s="38"/>
      <c r="AL447" s="38"/>
      <c r="AM447" s="38"/>
      <c r="AN447" s="38"/>
      <c r="AO447" s="40"/>
      <c r="AP447" s="41"/>
    </row>
    <row r="448">
      <c r="A448" s="38"/>
      <c r="B448" s="38"/>
      <c r="C448" s="38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8"/>
      <c r="AK448" s="38"/>
      <c r="AL448" s="38"/>
      <c r="AM448" s="38"/>
      <c r="AN448" s="38"/>
      <c r="AO448" s="40"/>
      <c r="AP448" s="41"/>
    </row>
    <row r="449">
      <c r="A449" s="38"/>
      <c r="B449" s="38"/>
      <c r="C449" s="38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8"/>
      <c r="AK449" s="38"/>
      <c r="AL449" s="38"/>
      <c r="AM449" s="38"/>
      <c r="AN449" s="38"/>
      <c r="AO449" s="40"/>
      <c r="AP449" s="41"/>
    </row>
    <row r="450">
      <c r="A450" s="38"/>
      <c r="B450" s="38"/>
      <c r="C450" s="38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8"/>
      <c r="AK450" s="38"/>
      <c r="AL450" s="38"/>
      <c r="AM450" s="38"/>
      <c r="AN450" s="38"/>
      <c r="AO450" s="40"/>
      <c r="AP450" s="41"/>
    </row>
    <row r="451">
      <c r="A451" s="38"/>
      <c r="B451" s="38"/>
      <c r="C451" s="38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8"/>
      <c r="AK451" s="38"/>
      <c r="AL451" s="38"/>
      <c r="AM451" s="38"/>
      <c r="AN451" s="38"/>
      <c r="AO451" s="40"/>
      <c r="AP451" s="41"/>
    </row>
    <row r="452">
      <c r="A452" s="38"/>
      <c r="B452" s="38"/>
      <c r="C452" s="38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8"/>
      <c r="AK452" s="38"/>
      <c r="AL452" s="38"/>
      <c r="AM452" s="38"/>
      <c r="AN452" s="38"/>
      <c r="AO452" s="40"/>
      <c r="AP452" s="41"/>
    </row>
    <row r="453">
      <c r="A453" s="38"/>
      <c r="B453" s="38"/>
      <c r="C453" s="38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8"/>
      <c r="AK453" s="38"/>
      <c r="AL453" s="38"/>
      <c r="AM453" s="38"/>
      <c r="AN453" s="38"/>
      <c r="AO453" s="40"/>
      <c r="AP453" s="41"/>
    </row>
    <row r="454">
      <c r="A454" s="38"/>
      <c r="B454" s="38"/>
      <c r="C454" s="38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8"/>
      <c r="AK454" s="38"/>
      <c r="AL454" s="38"/>
      <c r="AM454" s="38"/>
      <c r="AN454" s="38"/>
      <c r="AO454" s="40"/>
      <c r="AP454" s="41"/>
    </row>
    <row r="455">
      <c r="A455" s="38"/>
      <c r="B455" s="38"/>
      <c r="C455" s="38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8"/>
      <c r="AK455" s="38"/>
      <c r="AL455" s="38"/>
      <c r="AM455" s="38"/>
      <c r="AN455" s="38"/>
      <c r="AO455" s="40"/>
      <c r="AP455" s="41"/>
    </row>
    <row r="456">
      <c r="A456" s="38"/>
      <c r="B456" s="38"/>
      <c r="C456" s="38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8"/>
      <c r="AK456" s="38"/>
      <c r="AL456" s="38"/>
      <c r="AM456" s="38"/>
      <c r="AN456" s="38"/>
      <c r="AO456" s="40"/>
      <c r="AP456" s="41"/>
    </row>
    <row r="457">
      <c r="A457" s="38"/>
      <c r="B457" s="38"/>
      <c r="C457" s="38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8"/>
      <c r="AK457" s="38"/>
      <c r="AL457" s="38"/>
      <c r="AM457" s="38"/>
      <c r="AN457" s="38"/>
      <c r="AO457" s="40"/>
      <c r="AP457" s="41"/>
    </row>
    <row r="458">
      <c r="A458" s="38"/>
      <c r="B458" s="38"/>
      <c r="C458" s="38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8"/>
      <c r="AK458" s="38"/>
      <c r="AL458" s="38"/>
      <c r="AM458" s="38"/>
      <c r="AN458" s="38"/>
      <c r="AO458" s="40"/>
      <c r="AP458" s="41"/>
    </row>
    <row r="459">
      <c r="A459" s="38"/>
      <c r="B459" s="38"/>
      <c r="C459" s="38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8"/>
      <c r="AK459" s="38"/>
      <c r="AL459" s="38"/>
      <c r="AM459" s="38"/>
      <c r="AN459" s="38"/>
      <c r="AO459" s="40"/>
      <c r="AP459" s="41"/>
    </row>
    <row r="460">
      <c r="A460" s="38"/>
      <c r="B460" s="38"/>
      <c r="C460" s="38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8"/>
      <c r="AK460" s="38"/>
      <c r="AL460" s="38"/>
      <c r="AM460" s="38"/>
      <c r="AN460" s="38"/>
      <c r="AO460" s="40"/>
      <c r="AP460" s="41"/>
    </row>
    <row r="461">
      <c r="A461" s="38"/>
      <c r="B461" s="38"/>
      <c r="C461" s="38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8"/>
      <c r="AK461" s="38"/>
      <c r="AL461" s="38"/>
      <c r="AM461" s="38"/>
      <c r="AN461" s="38"/>
      <c r="AO461" s="40"/>
      <c r="AP461" s="41"/>
    </row>
    <row r="462">
      <c r="A462" s="38"/>
      <c r="B462" s="38"/>
      <c r="C462" s="38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8"/>
      <c r="AK462" s="38"/>
      <c r="AL462" s="38"/>
      <c r="AM462" s="38"/>
      <c r="AN462" s="38"/>
      <c r="AO462" s="40"/>
      <c r="AP462" s="41"/>
    </row>
    <row r="463">
      <c r="A463" s="38"/>
      <c r="B463" s="38"/>
      <c r="C463" s="38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8"/>
      <c r="AK463" s="38"/>
      <c r="AL463" s="38"/>
      <c r="AM463" s="38"/>
      <c r="AN463" s="38"/>
      <c r="AO463" s="40"/>
      <c r="AP463" s="41"/>
    </row>
    <row r="464">
      <c r="A464" s="38"/>
      <c r="B464" s="38"/>
      <c r="C464" s="38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8"/>
      <c r="AK464" s="38"/>
      <c r="AL464" s="38"/>
      <c r="AM464" s="38"/>
      <c r="AN464" s="38"/>
      <c r="AO464" s="40"/>
      <c r="AP464" s="41"/>
    </row>
    <row r="465">
      <c r="A465" s="38"/>
      <c r="B465" s="38"/>
      <c r="C465" s="38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8"/>
      <c r="AK465" s="38"/>
      <c r="AL465" s="38"/>
      <c r="AM465" s="38"/>
      <c r="AN465" s="38"/>
      <c r="AO465" s="40"/>
      <c r="AP465" s="41"/>
    </row>
    <row r="466">
      <c r="A466" s="38"/>
      <c r="B466" s="38"/>
      <c r="C466" s="38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8"/>
      <c r="AK466" s="38"/>
      <c r="AL466" s="38"/>
      <c r="AM466" s="38"/>
      <c r="AN466" s="38"/>
      <c r="AO466" s="40"/>
      <c r="AP466" s="41"/>
    </row>
    <row r="467">
      <c r="A467" s="38"/>
      <c r="B467" s="38"/>
      <c r="C467" s="38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8"/>
      <c r="AK467" s="38"/>
      <c r="AL467" s="38"/>
      <c r="AM467" s="38"/>
      <c r="AN467" s="38"/>
      <c r="AO467" s="40"/>
      <c r="AP467" s="41"/>
    </row>
    <row r="468">
      <c r="A468" s="38"/>
      <c r="B468" s="38"/>
      <c r="C468" s="38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8"/>
      <c r="AK468" s="38"/>
      <c r="AL468" s="38"/>
      <c r="AM468" s="38"/>
      <c r="AN468" s="38"/>
      <c r="AO468" s="40"/>
      <c r="AP468" s="41"/>
    </row>
    <row r="469">
      <c r="A469" s="38"/>
      <c r="B469" s="38"/>
      <c r="C469" s="38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8"/>
      <c r="AK469" s="38"/>
      <c r="AL469" s="38"/>
      <c r="AM469" s="38"/>
      <c r="AN469" s="38"/>
      <c r="AO469" s="40"/>
      <c r="AP469" s="41"/>
    </row>
    <row r="470">
      <c r="A470" s="38"/>
      <c r="B470" s="38"/>
      <c r="C470" s="38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8"/>
      <c r="AK470" s="38"/>
      <c r="AL470" s="38"/>
      <c r="AM470" s="38"/>
      <c r="AN470" s="38"/>
      <c r="AO470" s="40"/>
      <c r="AP470" s="41"/>
    </row>
    <row r="471">
      <c r="A471" s="38"/>
      <c r="B471" s="38"/>
      <c r="C471" s="38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8"/>
      <c r="AK471" s="38"/>
      <c r="AL471" s="38"/>
      <c r="AM471" s="38"/>
      <c r="AN471" s="38"/>
      <c r="AO471" s="40"/>
      <c r="AP471" s="41"/>
    </row>
    <row r="472">
      <c r="A472" s="38"/>
      <c r="B472" s="38"/>
      <c r="C472" s="38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8"/>
      <c r="AK472" s="38"/>
      <c r="AL472" s="38"/>
      <c r="AM472" s="38"/>
      <c r="AN472" s="38"/>
      <c r="AO472" s="40"/>
      <c r="AP472" s="41"/>
    </row>
    <row r="473">
      <c r="A473" s="38"/>
      <c r="B473" s="38"/>
      <c r="C473" s="38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8"/>
      <c r="AK473" s="38"/>
      <c r="AL473" s="38"/>
      <c r="AM473" s="38"/>
      <c r="AN473" s="38"/>
      <c r="AO473" s="40"/>
      <c r="AP473" s="41"/>
    </row>
    <row r="474">
      <c r="A474" s="38"/>
      <c r="B474" s="38"/>
      <c r="C474" s="38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8"/>
      <c r="AK474" s="38"/>
      <c r="AL474" s="38"/>
      <c r="AM474" s="38"/>
      <c r="AN474" s="38"/>
      <c r="AO474" s="40"/>
      <c r="AP474" s="41"/>
    </row>
    <row r="475">
      <c r="A475" s="38"/>
      <c r="B475" s="38"/>
      <c r="C475" s="38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8"/>
      <c r="AK475" s="38"/>
      <c r="AL475" s="38"/>
      <c r="AM475" s="38"/>
      <c r="AN475" s="38"/>
      <c r="AO475" s="40"/>
      <c r="AP475" s="41"/>
    </row>
    <row r="476">
      <c r="A476" s="38"/>
      <c r="B476" s="38"/>
      <c r="C476" s="38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8"/>
      <c r="AK476" s="38"/>
      <c r="AL476" s="38"/>
      <c r="AM476" s="38"/>
      <c r="AN476" s="38"/>
      <c r="AO476" s="40"/>
      <c r="AP476" s="41"/>
    </row>
    <row r="477">
      <c r="A477" s="38"/>
      <c r="B477" s="38"/>
      <c r="C477" s="38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8"/>
      <c r="AK477" s="38"/>
      <c r="AL477" s="38"/>
      <c r="AM477" s="38"/>
      <c r="AN477" s="38"/>
      <c r="AO477" s="40"/>
      <c r="AP477" s="41"/>
    </row>
    <row r="478">
      <c r="A478" s="38"/>
      <c r="B478" s="38"/>
      <c r="C478" s="38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8"/>
      <c r="AK478" s="38"/>
      <c r="AL478" s="38"/>
      <c r="AM478" s="38"/>
      <c r="AN478" s="38"/>
      <c r="AO478" s="40"/>
      <c r="AP478" s="41"/>
    </row>
    <row r="479">
      <c r="A479" s="38"/>
      <c r="B479" s="38"/>
      <c r="C479" s="38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8"/>
      <c r="AK479" s="38"/>
      <c r="AL479" s="38"/>
      <c r="AM479" s="38"/>
      <c r="AN479" s="38"/>
      <c r="AO479" s="40"/>
      <c r="AP479" s="41"/>
    </row>
    <row r="480">
      <c r="A480" s="38"/>
      <c r="B480" s="38"/>
      <c r="C480" s="38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8"/>
      <c r="AK480" s="38"/>
      <c r="AL480" s="38"/>
      <c r="AM480" s="38"/>
      <c r="AN480" s="38"/>
      <c r="AO480" s="40"/>
      <c r="AP480" s="41"/>
    </row>
    <row r="481">
      <c r="A481" s="38"/>
      <c r="B481" s="38"/>
      <c r="C481" s="38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8"/>
      <c r="AK481" s="38"/>
      <c r="AL481" s="38"/>
      <c r="AM481" s="38"/>
      <c r="AN481" s="38"/>
      <c r="AO481" s="40"/>
      <c r="AP481" s="41"/>
    </row>
    <row r="482">
      <c r="A482" s="38"/>
      <c r="B482" s="38"/>
      <c r="C482" s="38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8"/>
      <c r="AK482" s="38"/>
      <c r="AL482" s="38"/>
      <c r="AM482" s="38"/>
      <c r="AN482" s="38"/>
      <c r="AO482" s="40"/>
      <c r="AP482" s="41"/>
    </row>
    <row r="483">
      <c r="A483" s="38"/>
      <c r="B483" s="38"/>
      <c r="C483" s="38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8"/>
      <c r="AK483" s="38"/>
      <c r="AL483" s="38"/>
      <c r="AM483" s="38"/>
      <c r="AN483" s="38"/>
      <c r="AO483" s="40"/>
      <c r="AP483" s="41"/>
    </row>
    <row r="484">
      <c r="A484" s="38"/>
      <c r="B484" s="38"/>
      <c r="C484" s="38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8"/>
      <c r="AK484" s="38"/>
      <c r="AL484" s="38"/>
      <c r="AM484" s="38"/>
      <c r="AN484" s="38"/>
      <c r="AO484" s="40"/>
      <c r="AP484" s="41"/>
    </row>
    <row r="485">
      <c r="A485" s="38"/>
      <c r="B485" s="38"/>
      <c r="C485" s="38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8"/>
      <c r="AK485" s="38"/>
      <c r="AL485" s="38"/>
      <c r="AM485" s="38"/>
      <c r="AN485" s="38"/>
      <c r="AO485" s="40"/>
      <c r="AP485" s="41"/>
    </row>
    <row r="486">
      <c r="A486" s="38"/>
      <c r="B486" s="38"/>
      <c r="C486" s="38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8"/>
      <c r="AK486" s="38"/>
      <c r="AL486" s="38"/>
      <c r="AM486" s="38"/>
      <c r="AN486" s="38"/>
      <c r="AO486" s="40"/>
      <c r="AP486" s="41"/>
    </row>
    <row r="487">
      <c r="A487" s="38"/>
      <c r="B487" s="38"/>
      <c r="C487" s="38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8"/>
      <c r="AK487" s="38"/>
      <c r="AL487" s="38"/>
      <c r="AM487" s="38"/>
      <c r="AN487" s="38"/>
      <c r="AO487" s="40"/>
      <c r="AP487" s="41"/>
    </row>
    <row r="488">
      <c r="A488" s="38"/>
      <c r="B488" s="38"/>
      <c r="C488" s="38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8"/>
      <c r="AK488" s="38"/>
      <c r="AL488" s="38"/>
      <c r="AM488" s="38"/>
      <c r="AN488" s="38"/>
      <c r="AO488" s="40"/>
      <c r="AP488" s="41"/>
    </row>
    <row r="489">
      <c r="A489" s="38"/>
      <c r="B489" s="38"/>
      <c r="C489" s="38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8"/>
      <c r="AK489" s="38"/>
      <c r="AL489" s="38"/>
      <c r="AM489" s="38"/>
      <c r="AN489" s="38"/>
      <c r="AO489" s="40"/>
      <c r="AP489" s="41"/>
    </row>
    <row r="490">
      <c r="A490" s="38"/>
      <c r="B490" s="38"/>
      <c r="C490" s="38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8"/>
      <c r="AK490" s="38"/>
      <c r="AL490" s="38"/>
      <c r="AM490" s="38"/>
      <c r="AN490" s="38"/>
      <c r="AO490" s="40"/>
      <c r="AP490" s="41"/>
    </row>
    <row r="491">
      <c r="A491" s="38"/>
      <c r="B491" s="38"/>
      <c r="C491" s="38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8"/>
      <c r="AK491" s="38"/>
      <c r="AL491" s="38"/>
      <c r="AM491" s="38"/>
      <c r="AN491" s="38"/>
      <c r="AO491" s="40"/>
      <c r="AP491" s="41"/>
    </row>
    <row r="492">
      <c r="A492" s="38"/>
      <c r="B492" s="38"/>
      <c r="C492" s="38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8"/>
      <c r="AK492" s="38"/>
      <c r="AL492" s="38"/>
      <c r="AM492" s="38"/>
      <c r="AN492" s="38"/>
      <c r="AO492" s="40"/>
      <c r="AP492" s="41"/>
    </row>
    <row r="493">
      <c r="A493" s="38"/>
      <c r="B493" s="38"/>
      <c r="C493" s="38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8"/>
      <c r="AK493" s="38"/>
      <c r="AL493" s="38"/>
      <c r="AM493" s="38"/>
      <c r="AN493" s="38"/>
      <c r="AO493" s="40"/>
      <c r="AP493" s="41"/>
    </row>
    <row r="494">
      <c r="A494" s="38"/>
      <c r="B494" s="38"/>
      <c r="C494" s="38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8"/>
      <c r="AK494" s="38"/>
      <c r="AL494" s="38"/>
      <c r="AM494" s="38"/>
      <c r="AN494" s="38"/>
      <c r="AO494" s="40"/>
      <c r="AP494" s="41"/>
    </row>
    <row r="495">
      <c r="A495" s="38"/>
      <c r="B495" s="38"/>
      <c r="C495" s="38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8"/>
      <c r="AK495" s="38"/>
      <c r="AL495" s="38"/>
      <c r="AM495" s="38"/>
      <c r="AN495" s="38"/>
      <c r="AO495" s="40"/>
      <c r="AP495" s="41"/>
    </row>
    <row r="496">
      <c r="A496" s="38"/>
      <c r="B496" s="38"/>
      <c r="C496" s="38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8"/>
      <c r="AK496" s="38"/>
      <c r="AL496" s="38"/>
      <c r="AM496" s="38"/>
      <c r="AN496" s="38"/>
      <c r="AO496" s="40"/>
      <c r="AP496" s="41"/>
    </row>
    <row r="497">
      <c r="A497" s="38"/>
      <c r="B497" s="38"/>
      <c r="C497" s="38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8"/>
      <c r="AK497" s="38"/>
      <c r="AL497" s="38"/>
      <c r="AM497" s="38"/>
      <c r="AN497" s="38"/>
      <c r="AO497" s="40"/>
      <c r="AP497" s="41"/>
    </row>
    <row r="498">
      <c r="A498" s="38"/>
      <c r="B498" s="38"/>
      <c r="C498" s="38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8"/>
      <c r="AK498" s="38"/>
      <c r="AL498" s="38"/>
      <c r="AM498" s="38"/>
      <c r="AN498" s="38"/>
      <c r="AO498" s="40"/>
      <c r="AP498" s="41"/>
    </row>
    <row r="499">
      <c r="A499" s="38"/>
      <c r="B499" s="38"/>
      <c r="C499" s="38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8"/>
      <c r="AK499" s="38"/>
      <c r="AL499" s="38"/>
      <c r="AM499" s="38"/>
      <c r="AN499" s="38"/>
      <c r="AO499" s="40"/>
      <c r="AP499" s="41"/>
    </row>
    <row r="500">
      <c r="A500" s="38"/>
      <c r="B500" s="38"/>
      <c r="C500" s="38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8"/>
      <c r="AK500" s="38"/>
      <c r="AL500" s="38"/>
      <c r="AM500" s="38"/>
      <c r="AN500" s="38"/>
      <c r="AO500" s="40"/>
      <c r="AP500" s="41"/>
    </row>
    <row r="501">
      <c r="A501" s="38"/>
      <c r="B501" s="38"/>
      <c r="C501" s="38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8"/>
      <c r="AK501" s="38"/>
      <c r="AL501" s="38"/>
      <c r="AM501" s="38"/>
      <c r="AN501" s="38"/>
      <c r="AO501" s="40"/>
      <c r="AP501" s="41"/>
    </row>
    <row r="502">
      <c r="A502" s="38"/>
      <c r="B502" s="38"/>
      <c r="C502" s="38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8"/>
      <c r="AK502" s="38"/>
      <c r="AL502" s="38"/>
      <c r="AM502" s="38"/>
      <c r="AN502" s="38"/>
      <c r="AO502" s="40"/>
      <c r="AP502" s="41"/>
    </row>
    <row r="503">
      <c r="A503" s="38"/>
      <c r="B503" s="38"/>
      <c r="C503" s="38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8"/>
      <c r="AK503" s="38"/>
      <c r="AL503" s="38"/>
      <c r="AM503" s="38"/>
      <c r="AN503" s="38"/>
      <c r="AO503" s="40"/>
      <c r="AP503" s="41"/>
    </row>
    <row r="504">
      <c r="A504" s="38"/>
      <c r="B504" s="38"/>
      <c r="C504" s="38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8"/>
      <c r="AK504" s="38"/>
      <c r="AL504" s="38"/>
      <c r="AM504" s="38"/>
      <c r="AN504" s="38"/>
      <c r="AO504" s="40"/>
      <c r="AP504" s="41"/>
    </row>
    <row r="505">
      <c r="A505" s="38"/>
      <c r="B505" s="38"/>
      <c r="C505" s="38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8"/>
      <c r="AK505" s="38"/>
      <c r="AL505" s="38"/>
      <c r="AM505" s="38"/>
      <c r="AN505" s="38"/>
      <c r="AO505" s="40"/>
      <c r="AP505" s="41"/>
    </row>
    <row r="506">
      <c r="A506" s="38"/>
      <c r="B506" s="38"/>
      <c r="C506" s="38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8"/>
      <c r="AK506" s="38"/>
      <c r="AL506" s="38"/>
      <c r="AM506" s="38"/>
      <c r="AN506" s="38"/>
      <c r="AO506" s="40"/>
      <c r="AP506" s="41"/>
    </row>
    <row r="507">
      <c r="A507" s="38"/>
      <c r="B507" s="38"/>
      <c r="C507" s="38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8"/>
      <c r="AK507" s="38"/>
      <c r="AL507" s="38"/>
      <c r="AM507" s="38"/>
      <c r="AN507" s="38"/>
      <c r="AO507" s="40"/>
      <c r="AP507" s="41"/>
    </row>
    <row r="508">
      <c r="A508" s="38"/>
      <c r="B508" s="38"/>
      <c r="C508" s="38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8"/>
      <c r="AK508" s="38"/>
      <c r="AL508" s="38"/>
      <c r="AM508" s="38"/>
      <c r="AN508" s="38"/>
      <c r="AO508" s="40"/>
      <c r="AP508" s="41"/>
    </row>
    <row r="509">
      <c r="A509" s="38"/>
      <c r="B509" s="38"/>
      <c r="C509" s="38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8"/>
      <c r="AK509" s="38"/>
      <c r="AL509" s="38"/>
      <c r="AM509" s="38"/>
      <c r="AN509" s="38"/>
      <c r="AO509" s="40"/>
      <c r="AP509" s="41"/>
    </row>
    <row r="510">
      <c r="A510" s="38"/>
      <c r="B510" s="38"/>
      <c r="C510" s="38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8"/>
      <c r="AK510" s="38"/>
      <c r="AL510" s="38"/>
      <c r="AM510" s="38"/>
      <c r="AN510" s="38"/>
      <c r="AO510" s="40"/>
      <c r="AP510" s="41"/>
    </row>
    <row r="511">
      <c r="A511" s="38"/>
      <c r="B511" s="38"/>
      <c r="C511" s="38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8"/>
      <c r="AK511" s="38"/>
      <c r="AL511" s="38"/>
      <c r="AM511" s="38"/>
      <c r="AN511" s="38"/>
      <c r="AO511" s="40"/>
      <c r="AP511" s="41"/>
    </row>
    <row r="512">
      <c r="A512" s="38"/>
      <c r="B512" s="38"/>
      <c r="C512" s="38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8"/>
      <c r="AK512" s="38"/>
      <c r="AL512" s="38"/>
      <c r="AM512" s="38"/>
      <c r="AN512" s="38"/>
      <c r="AO512" s="40"/>
      <c r="AP512" s="41"/>
    </row>
    <row r="513">
      <c r="A513" s="38"/>
      <c r="B513" s="38"/>
      <c r="C513" s="38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8"/>
      <c r="AK513" s="38"/>
      <c r="AL513" s="38"/>
      <c r="AM513" s="38"/>
      <c r="AN513" s="38"/>
      <c r="AO513" s="40"/>
      <c r="AP513" s="41"/>
    </row>
    <row r="514">
      <c r="A514" s="38"/>
      <c r="B514" s="38"/>
      <c r="C514" s="38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8"/>
      <c r="AK514" s="38"/>
      <c r="AL514" s="38"/>
      <c r="AM514" s="38"/>
      <c r="AN514" s="38"/>
      <c r="AO514" s="40"/>
      <c r="AP514" s="41"/>
    </row>
    <row r="515">
      <c r="A515" s="38"/>
      <c r="B515" s="38"/>
      <c r="C515" s="38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8"/>
      <c r="AK515" s="38"/>
      <c r="AL515" s="38"/>
      <c r="AM515" s="38"/>
      <c r="AN515" s="38"/>
      <c r="AO515" s="40"/>
      <c r="AP515" s="41"/>
    </row>
    <row r="516">
      <c r="A516" s="38"/>
      <c r="B516" s="38"/>
      <c r="C516" s="38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8"/>
      <c r="AK516" s="38"/>
      <c r="AL516" s="38"/>
      <c r="AM516" s="38"/>
      <c r="AN516" s="38"/>
      <c r="AO516" s="40"/>
      <c r="AP516" s="41"/>
    </row>
    <row r="517">
      <c r="A517" s="38"/>
      <c r="B517" s="38"/>
      <c r="C517" s="38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8"/>
      <c r="AK517" s="38"/>
      <c r="AL517" s="38"/>
      <c r="AM517" s="38"/>
      <c r="AN517" s="38"/>
      <c r="AO517" s="40"/>
      <c r="AP517" s="41"/>
    </row>
    <row r="518">
      <c r="A518" s="38"/>
      <c r="B518" s="38"/>
      <c r="C518" s="38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8"/>
      <c r="AK518" s="38"/>
      <c r="AL518" s="38"/>
      <c r="AM518" s="38"/>
      <c r="AN518" s="38"/>
      <c r="AO518" s="40"/>
      <c r="AP518" s="41"/>
    </row>
    <row r="519">
      <c r="A519" s="38"/>
      <c r="B519" s="38"/>
      <c r="C519" s="38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8"/>
      <c r="AK519" s="38"/>
      <c r="AL519" s="38"/>
      <c r="AM519" s="38"/>
      <c r="AN519" s="38"/>
      <c r="AO519" s="40"/>
      <c r="AP519" s="41"/>
    </row>
    <row r="520">
      <c r="A520" s="38"/>
      <c r="B520" s="38"/>
      <c r="C520" s="38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8"/>
      <c r="AK520" s="38"/>
      <c r="AL520" s="38"/>
      <c r="AM520" s="38"/>
      <c r="AN520" s="38"/>
      <c r="AO520" s="40"/>
      <c r="AP520" s="41"/>
    </row>
    <row r="521">
      <c r="A521" s="38"/>
      <c r="B521" s="38"/>
      <c r="C521" s="38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8"/>
      <c r="AK521" s="38"/>
      <c r="AL521" s="38"/>
      <c r="AM521" s="38"/>
      <c r="AN521" s="38"/>
      <c r="AO521" s="40"/>
      <c r="AP521" s="41"/>
    </row>
    <row r="522">
      <c r="A522" s="38"/>
      <c r="B522" s="38"/>
      <c r="C522" s="38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8"/>
      <c r="AK522" s="38"/>
      <c r="AL522" s="38"/>
      <c r="AM522" s="38"/>
      <c r="AN522" s="38"/>
      <c r="AO522" s="40"/>
      <c r="AP522" s="41"/>
    </row>
    <row r="523">
      <c r="A523" s="38"/>
      <c r="B523" s="38"/>
      <c r="C523" s="38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8"/>
      <c r="AK523" s="38"/>
      <c r="AL523" s="38"/>
      <c r="AM523" s="38"/>
      <c r="AN523" s="38"/>
      <c r="AO523" s="40"/>
      <c r="AP523" s="41"/>
    </row>
    <row r="524">
      <c r="A524" s="38"/>
      <c r="B524" s="38"/>
      <c r="C524" s="38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8"/>
      <c r="AK524" s="38"/>
      <c r="AL524" s="38"/>
      <c r="AM524" s="38"/>
      <c r="AN524" s="38"/>
      <c r="AO524" s="40"/>
      <c r="AP524" s="41"/>
    </row>
    <row r="525">
      <c r="A525" s="38"/>
      <c r="B525" s="38"/>
      <c r="C525" s="38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8"/>
      <c r="AK525" s="38"/>
      <c r="AL525" s="38"/>
      <c r="AM525" s="38"/>
      <c r="AN525" s="38"/>
      <c r="AO525" s="40"/>
      <c r="AP525" s="41"/>
    </row>
    <row r="526">
      <c r="A526" s="38"/>
      <c r="B526" s="38"/>
      <c r="C526" s="38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8"/>
      <c r="AK526" s="38"/>
      <c r="AL526" s="38"/>
      <c r="AM526" s="38"/>
      <c r="AN526" s="38"/>
      <c r="AO526" s="40"/>
      <c r="AP526" s="41"/>
    </row>
    <row r="527">
      <c r="A527" s="38"/>
      <c r="B527" s="38"/>
      <c r="C527" s="38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8"/>
      <c r="AK527" s="38"/>
      <c r="AL527" s="38"/>
      <c r="AM527" s="38"/>
      <c r="AN527" s="38"/>
      <c r="AO527" s="40"/>
      <c r="AP527" s="41"/>
    </row>
    <row r="528">
      <c r="A528" s="38"/>
      <c r="B528" s="38"/>
      <c r="C528" s="38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8"/>
      <c r="AK528" s="38"/>
      <c r="AL528" s="38"/>
      <c r="AM528" s="38"/>
      <c r="AN528" s="38"/>
      <c r="AO528" s="40"/>
      <c r="AP528" s="41"/>
    </row>
    <row r="529">
      <c r="A529" s="38"/>
      <c r="B529" s="38"/>
      <c r="C529" s="38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8"/>
      <c r="AK529" s="38"/>
      <c r="AL529" s="38"/>
      <c r="AM529" s="38"/>
      <c r="AN529" s="38"/>
      <c r="AO529" s="40"/>
      <c r="AP529" s="41"/>
    </row>
    <row r="530">
      <c r="A530" s="38"/>
      <c r="B530" s="38"/>
      <c r="C530" s="38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8"/>
      <c r="AK530" s="38"/>
      <c r="AL530" s="38"/>
      <c r="AM530" s="38"/>
      <c r="AN530" s="38"/>
      <c r="AO530" s="40"/>
      <c r="AP530" s="41"/>
    </row>
    <row r="531">
      <c r="A531" s="38"/>
      <c r="B531" s="38"/>
      <c r="C531" s="38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8"/>
      <c r="AK531" s="38"/>
      <c r="AL531" s="38"/>
      <c r="AM531" s="38"/>
      <c r="AN531" s="38"/>
      <c r="AO531" s="40"/>
      <c r="AP531" s="41"/>
    </row>
    <row r="532">
      <c r="A532" s="38"/>
      <c r="B532" s="38"/>
      <c r="C532" s="38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8"/>
      <c r="AK532" s="38"/>
      <c r="AL532" s="38"/>
      <c r="AM532" s="38"/>
      <c r="AN532" s="38"/>
      <c r="AO532" s="40"/>
      <c r="AP532" s="41"/>
    </row>
    <row r="533">
      <c r="A533" s="38"/>
      <c r="B533" s="38"/>
      <c r="C533" s="38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8"/>
      <c r="AK533" s="38"/>
      <c r="AL533" s="38"/>
      <c r="AM533" s="38"/>
      <c r="AN533" s="38"/>
      <c r="AO533" s="40"/>
      <c r="AP533" s="41"/>
    </row>
    <row r="534">
      <c r="A534" s="38"/>
      <c r="B534" s="38"/>
      <c r="C534" s="38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8"/>
      <c r="AK534" s="38"/>
      <c r="AL534" s="38"/>
      <c r="AM534" s="38"/>
      <c r="AN534" s="38"/>
      <c r="AO534" s="40"/>
      <c r="AP534" s="41"/>
    </row>
    <row r="535">
      <c r="A535" s="38"/>
      <c r="B535" s="38"/>
      <c r="C535" s="38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8"/>
      <c r="AK535" s="38"/>
      <c r="AL535" s="38"/>
      <c r="AM535" s="38"/>
      <c r="AN535" s="38"/>
      <c r="AO535" s="40"/>
      <c r="AP535" s="41"/>
    </row>
    <row r="536">
      <c r="A536" s="38"/>
      <c r="B536" s="38"/>
      <c r="C536" s="38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8"/>
      <c r="AK536" s="38"/>
      <c r="AL536" s="38"/>
      <c r="AM536" s="38"/>
      <c r="AN536" s="38"/>
      <c r="AO536" s="40"/>
      <c r="AP536" s="41"/>
    </row>
    <row r="537">
      <c r="A537" s="38"/>
      <c r="B537" s="38"/>
      <c r="C537" s="38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8"/>
      <c r="AK537" s="38"/>
      <c r="AL537" s="38"/>
      <c r="AM537" s="38"/>
      <c r="AN537" s="38"/>
      <c r="AO537" s="40"/>
      <c r="AP537" s="41"/>
    </row>
    <row r="538">
      <c r="A538" s="38"/>
      <c r="B538" s="38"/>
      <c r="C538" s="38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8"/>
      <c r="AK538" s="38"/>
      <c r="AL538" s="38"/>
      <c r="AM538" s="38"/>
      <c r="AN538" s="38"/>
      <c r="AO538" s="40"/>
      <c r="AP538" s="41"/>
    </row>
    <row r="539">
      <c r="A539" s="38"/>
      <c r="B539" s="38"/>
      <c r="C539" s="38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8"/>
      <c r="AK539" s="38"/>
      <c r="AL539" s="38"/>
      <c r="AM539" s="38"/>
      <c r="AN539" s="38"/>
      <c r="AO539" s="40"/>
      <c r="AP539" s="41"/>
    </row>
    <row r="540">
      <c r="A540" s="38"/>
      <c r="B540" s="38"/>
      <c r="C540" s="38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8"/>
      <c r="AK540" s="38"/>
      <c r="AL540" s="38"/>
      <c r="AM540" s="38"/>
      <c r="AN540" s="38"/>
      <c r="AO540" s="40"/>
      <c r="AP540" s="41"/>
    </row>
    <row r="541">
      <c r="A541" s="38"/>
      <c r="B541" s="38"/>
      <c r="C541" s="38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8"/>
      <c r="AK541" s="38"/>
      <c r="AL541" s="38"/>
      <c r="AM541" s="38"/>
      <c r="AN541" s="38"/>
      <c r="AO541" s="40"/>
      <c r="AP541" s="41"/>
    </row>
    <row r="542">
      <c r="A542" s="38"/>
      <c r="B542" s="38"/>
      <c r="C542" s="38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8"/>
      <c r="AK542" s="38"/>
      <c r="AL542" s="38"/>
      <c r="AM542" s="38"/>
      <c r="AN542" s="38"/>
      <c r="AO542" s="40"/>
      <c r="AP542" s="41"/>
    </row>
    <row r="543">
      <c r="A543" s="38"/>
      <c r="B543" s="38"/>
      <c r="C543" s="38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8"/>
      <c r="AK543" s="38"/>
      <c r="AL543" s="38"/>
      <c r="AM543" s="38"/>
      <c r="AN543" s="38"/>
      <c r="AO543" s="40"/>
      <c r="AP543" s="41"/>
    </row>
    <row r="544">
      <c r="A544" s="38"/>
      <c r="B544" s="38"/>
      <c r="C544" s="38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8"/>
      <c r="AK544" s="38"/>
      <c r="AL544" s="38"/>
      <c r="AM544" s="38"/>
      <c r="AN544" s="38"/>
      <c r="AO544" s="40"/>
      <c r="AP544" s="41"/>
    </row>
    <row r="545">
      <c r="A545" s="38"/>
      <c r="B545" s="38"/>
      <c r="C545" s="38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8"/>
      <c r="AK545" s="38"/>
      <c r="AL545" s="38"/>
      <c r="AM545" s="38"/>
      <c r="AN545" s="38"/>
      <c r="AO545" s="40"/>
      <c r="AP545" s="41"/>
    </row>
    <row r="546">
      <c r="A546" s="38"/>
      <c r="B546" s="38"/>
      <c r="C546" s="38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8"/>
      <c r="AK546" s="38"/>
      <c r="AL546" s="38"/>
      <c r="AM546" s="38"/>
      <c r="AN546" s="38"/>
      <c r="AO546" s="40"/>
      <c r="AP546" s="41"/>
    </row>
    <row r="547">
      <c r="A547" s="38"/>
      <c r="B547" s="38"/>
      <c r="C547" s="38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8"/>
      <c r="AK547" s="38"/>
      <c r="AL547" s="38"/>
      <c r="AM547" s="38"/>
      <c r="AN547" s="38"/>
      <c r="AO547" s="40"/>
      <c r="AP547" s="41"/>
    </row>
    <row r="548">
      <c r="A548" s="38"/>
      <c r="B548" s="38"/>
      <c r="C548" s="38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8"/>
      <c r="AK548" s="38"/>
      <c r="AL548" s="38"/>
      <c r="AM548" s="38"/>
      <c r="AN548" s="38"/>
      <c r="AO548" s="40"/>
      <c r="AP548" s="41"/>
    </row>
    <row r="549">
      <c r="A549" s="38"/>
      <c r="B549" s="38"/>
      <c r="C549" s="38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8"/>
      <c r="AK549" s="38"/>
      <c r="AL549" s="38"/>
      <c r="AM549" s="38"/>
      <c r="AN549" s="38"/>
      <c r="AO549" s="40"/>
      <c r="AP549" s="41"/>
    </row>
    <row r="550">
      <c r="A550" s="38"/>
      <c r="B550" s="38"/>
      <c r="C550" s="38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8"/>
      <c r="AK550" s="38"/>
      <c r="AL550" s="38"/>
      <c r="AM550" s="38"/>
      <c r="AN550" s="38"/>
      <c r="AO550" s="40"/>
      <c r="AP550" s="41"/>
    </row>
    <row r="551">
      <c r="A551" s="38"/>
      <c r="B551" s="38"/>
      <c r="C551" s="38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8"/>
      <c r="AK551" s="38"/>
      <c r="AL551" s="38"/>
      <c r="AM551" s="38"/>
      <c r="AN551" s="38"/>
      <c r="AO551" s="40"/>
      <c r="AP551" s="41"/>
    </row>
    <row r="552">
      <c r="A552" s="38"/>
      <c r="B552" s="38"/>
      <c r="C552" s="38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8"/>
      <c r="AK552" s="38"/>
      <c r="AL552" s="38"/>
      <c r="AM552" s="38"/>
      <c r="AN552" s="38"/>
      <c r="AO552" s="40"/>
      <c r="AP552" s="41"/>
    </row>
    <row r="553">
      <c r="A553" s="38"/>
      <c r="B553" s="38"/>
      <c r="C553" s="38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8"/>
      <c r="AK553" s="38"/>
      <c r="AL553" s="38"/>
      <c r="AM553" s="38"/>
      <c r="AN553" s="38"/>
      <c r="AO553" s="40"/>
      <c r="AP553" s="41"/>
    </row>
    <row r="554">
      <c r="A554" s="38"/>
      <c r="B554" s="38"/>
      <c r="C554" s="38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8"/>
      <c r="AK554" s="38"/>
      <c r="AL554" s="38"/>
      <c r="AM554" s="38"/>
      <c r="AN554" s="38"/>
      <c r="AO554" s="40"/>
      <c r="AP554" s="41"/>
    </row>
    <row r="555">
      <c r="A555" s="38"/>
      <c r="B555" s="38"/>
      <c r="C555" s="38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8"/>
      <c r="AK555" s="38"/>
      <c r="AL555" s="38"/>
      <c r="AM555" s="38"/>
      <c r="AN555" s="38"/>
      <c r="AO555" s="40"/>
      <c r="AP555" s="41"/>
    </row>
    <row r="556">
      <c r="A556" s="38"/>
      <c r="B556" s="38"/>
      <c r="C556" s="38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8"/>
      <c r="AK556" s="38"/>
      <c r="AL556" s="38"/>
      <c r="AM556" s="38"/>
      <c r="AN556" s="38"/>
      <c r="AO556" s="40"/>
      <c r="AP556" s="41"/>
    </row>
    <row r="557">
      <c r="A557" s="38"/>
      <c r="B557" s="38"/>
      <c r="C557" s="38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8"/>
      <c r="AK557" s="38"/>
      <c r="AL557" s="38"/>
      <c r="AM557" s="38"/>
      <c r="AN557" s="38"/>
      <c r="AO557" s="40"/>
      <c r="AP557" s="41"/>
    </row>
    <row r="558">
      <c r="A558" s="38"/>
      <c r="B558" s="38"/>
      <c r="C558" s="38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8"/>
      <c r="AK558" s="38"/>
      <c r="AL558" s="38"/>
      <c r="AM558" s="38"/>
      <c r="AN558" s="38"/>
      <c r="AO558" s="40"/>
      <c r="AP558" s="41"/>
    </row>
    <row r="559">
      <c r="A559" s="38"/>
      <c r="B559" s="38"/>
      <c r="C559" s="38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8"/>
      <c r="AK559" s="38"/>
      <c r="AL559" s="38"/>
      <c r="AM559" s="38"/>
      <c r="AN559" s="38"/>
      <c r="AO559" s="40"/>
      <c r="AP559" s="41"/>
    </row>
    <row r="560">
      <c r="A560" s="38"/>
      <c r="B560" s="38"/>
      <c r="C560" s="38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8"/>
      <c r="AK560" s="38"/>
      <c r="AL560" s="38"/>
      <c r="AM560" s="38"/>
      <c r="AN560" s="38"/>
      <c r="AO560" s="40"/>
      <c r="AP560" s="41"/>
    </row>
    <row r="561">
      <c r="A561" s="38"/>
      <c r="B561" s="38"/>
      <c r="C561" s="38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8"/>
      <c r="AK561" s="38"/>
      <c r="AL561" s="38"/>
      <c r="AM561" s="38"/>
      <c r="AN561" s="38"/>
      <c r="AO561" s="40"/>
      <c r="AP561" s="41"/>
    </row>
    <row r="562">
      <c r="A562" s="38"/>
      <c r="B562" s="38"/>
      <c r="C562" s="38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8"/>
      <c r="AK562" s="38"/>
      <c r="AL562" s="38"/>
      <c r="AM562" s="38"/>
      <c r="AN562" s="38"/>
      <c r="AO562" s="40"/>
      <c r="AP562" s="41"/>
    </row>
    <row r="563">
      <c r="A563" s="38"/>
      <c r="B563" s="38"/>
      <c r="C563" s="38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8"/>
      <c r="AK563" s="38"/>
      <c r="AL563" s="38"/>
      <c r="AM563" s="38"/>
      <c r="AN563" s="38"/>
      <c r="AO563" s="40"/>
      <c r="AP563" s="41"/>
    </row>
    <row r="564">
      <c r="A564" s="38"/>
      <c r="B564" s="38"/>
      <c r="C564" s="38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8"/>
      <c r="AK564" s="38"/>
      <c r="AL564" s="38"/>
      <c r="AM564" s="38"/>
      <c r="AN564" s="38"/>
      <c r="AO564" s="40"/>
      <c r="AP564" s="41"/>
    </row>
    <row r="565">
      <c r="A565" s="38"/>
      <c r="B565" s="38"/>
      <c r="C565" s="38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8"/>
      <c r="AK565" s="38"/>
      <c r="AL565" s="38"/>
      <c r="AM565" s="38"/>
      <c r="AN565" s="38"/>
      <c r="AO565" s="40"/>
      <c r="AP565" s="41"/>
    </row>
    <row r="566">
      <c r="A566" s="38"/>
      <c r="B566" s="38"/>
      <c r="C566" s="38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8"/>
      <c r="AK566" s="38"/>
      <c r="AL566" s="38"/>
      <c r="AM566" s="38"/>
      <c r="AN566" s="38"/>
      <c r="AO566" s="40"/>
      <c r="AP566" s="41"/>
    </row>
    <row r="567">
      <c r="A567" s="38"/>
      <c r="B567" s="38"/>
      <c r="C567" s="38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8"/>
      <c r="AK567" s="38"/>
      <c r="AL567" s="38"/>
      <c r="AM567" s="38"/>
      <c r="AN567" s="38"/>
      <c r="AO567" s="40"/>
      <c r="AP567" s="41"/>
    </row>
    <row r="568">
      <c r="A568" s="38"/>
      <c r="B568" s="38"/>
      <c r="C568" s="38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8"/>
      <c r="AK568" s="38"/>
      <c r="AL568" s="38"/>
      <c r="AM568" s="38"/>
      <c r="AN568" s="38"/>
      <c r="AO568" s="40"/>
      <c r="AP568" s="41"/>
    </row>
    <row r="569">
      <c r="A569" s="38"/>
      <c r="B569" s="38"/>
      <c r="C569" s="38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8"/>
      <c r="AK569" s="38"/>
      <c r="AL569" s="38"/>
      <c r="AM569" s="38"/>
      <c r="AN569" s="38"/>
      <c r="AO569" s="40"/>
      <c r="AP569" s="41"/>
    </row>
    <row r="570">
      <c r="A570" s="38"/>
      <c r="B570" s="38"/>
      <c r="C570" s="38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8"/>
      <c r="AK570" s="38"/>
      <c r="AL570" s="38"/>
      <c r="AM570" s="38"/>
      <c r="AN570" s="38"/>
      <c r="AO570" s="40"/>
      <c r="AP570" s="41"/>
    </row>
    <row r="571">
      <c r="A571" s="38"/>
      <c r="B571" s="38"/>
      <c r="C571" s="38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8"/>
      <c r="AK571" s="38"/>
      <c r="AL571" s="38"/>
      <c r="AM571" s="38"/>
      <c r="AN571" s="38"/>
      <c r="AO571" s="40"/>
      <c r="AP571" s="41"/>
    </row>
    <row r="572">
      <c r="A572" s="38"/>
      <c r="B572" s="38"/>
      <c r="C572" s="38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8"/>
      <c r="AK572" s="38"/>
      <c r="AL572" s="38"/>
      <c r="AM572" s="38"/>
      <c r="AN572" s="38"/>
      <c r="AO572" s="40"/>
      <c r="AP572" s="41"/>
    </row>
    <row r="573">
      <c r="A573" s="38"/>
      <c r="B573" s="38"/>
      <c r="C573" s="38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8"/>
      <c r="AK573" s="38"/>
      <c r="AL573" s="38"/>
      <c r="AM573" s="38"/>
      <c r="AN573" s="38"/>
      <c r="AO573" s="40"/>
      <c r="AP573" s="41"/>
    </row>
    <row r="574">
      <c r="A574" s="38"/>
      <c r="B574" s="38"/>
      <c r="C574" s="38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8"/>
      <c r="AK574" s="38"/>
      <c r="AL574" s="38"/>
      <c r="AM574" s="38"/>
      <c r="AN574" s="38"/>
      <c r="AO574" s="40"/>
      <c r="AP574" s="41"/>
    </row>
    <row r="575">
      <c r="A575" s="38"/>
      <c r="B575" s="38"/>
      <c r="C575" s="38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8"/>
      <c r="AK575" s="38"/>
      <c r="AL575" s="38"/>
      <c r="AM575" s="38"/>
      <c r="AN575" s="38"/>
      <c r="AO575" s="40"/>
      <c r="AP575" s="41"/>
    </row>
    <row r="576">
      <c r="A576" s="38"/>
      <c r="B576" s="38"/>
      <c r="C576" s="38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8"/>
      <c r="AK576" s="38"/>
      <c r="AL576" s="38"/>
      <c r="AM576" s="38"/>
      <c r="AN576" s="38"/>
      <c r="AO576" s="40"/>
      <c r="AP576" s="41"/>
    </row>
    <row r="577">
      <c r="A577" s="38"/>
      <c r="B577" s="38"/>
      <c r="C577" s="38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8"/>
      <c r="AK577" s="38"/>
      <c r="AL577" s="38"/>
      <c r="AM577" s="38"/>
      <c r="AN577" s="38"/>
      <c r="AO577" s="40"/>
      <c r="AP577" s="41"/>
    </row>
    <row r="578">
      <c r="A578" s="38"/>
      <c r="B578" s="38"/>
      <c r="C578" s="38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8"/>
      <c r="AK578" s="38"/>
      <c r="AL578" s="38"/>
      <c r="AM578" s="38"/>
      <c r="AN578" s="38"/>
      <c r="AO578" s="40"/>
      <c r="AP578" s="41"/>
    </row>
    <row r="579">
      <c r="A579" s="38"/>
      <c r="B579" s="38"/>
      <c r="C579" s="38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8"/>
      <c r="AK579" s="38"/>
      <c r="AL579" s="38"/>
      <c r="AM579" s="38"/>
      <c r="AN579" s="38"/>
      <c r="AO579" s="40"/>
      <c r="AP579" s="41"/>
    </row>
    <row r="580">
      <c r="A580" s="38"/>
      <c r="B580" s="38"/>
      <c r="C580" s="38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8"/>
      <c r="AK580" s="38"/>
      <c r="AL580" s="38"/>
      <c r="AM580" s="38"/>
      <c r="AN580" s="38"/>
      <c r="AO580" s="40"/>
      <c r="AP580" s="41"/>
    </row>
    <row r="581">
      <c r="A581" s="38"/>
      <c r="B581" s="38"/>
      <c r="C581" s="38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8"/>
      <c r="AK581" s="38"/>
      <c r="AL581" s="38"/>
      <c r="AM581" s="38"/>
      <c r="AN581" s="38"/>
      <c r="AO581" s="40"/>
      <c r="AP581" s="41"/>
    </row>
    <row r="582">
      <c r="A582" s="38"/>
      <c r="B582" s="38"/>
      <c r="C582" s="38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8"/>
      <c r="AK582" s="38"/>
      <c r="AL582" s="38"/>
      <c r="AM582" s="38"/>
      <c r="AN582" s="38"/>
      <c r="AO582" s="40"/>
      <c r="AP582" s="41"/>
    </row>
    <row r="583">
      <c r="A583" s="38"/>
      <c r="B583" s="38"/>
      <c r="C583" s="38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8"/>
      <c r="AK583" s="38"/>
      <c r="AL583" s="38"/>
      <c r="AM583" s="38"/>
      <c r="AN583" s="38"/>
      <c r="AO583" s="40"/>
      <c r="AP583" s="41"/>
    </row>
    <row r="584">
      <c r="A584" s="38"/>
      <c r="B584" s="38"/>
      <c r="C584" s="38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8"/>
      <c r="AK584" s="38"/>
      <c r="AL584" s="38"/>
      <c r="AM584" s="38"/>
      <c r="AN584" s="38"/>
      <c r="AO584" s="40"/>
      <c r="AP584" s="41"/>
    </row>
    <row r="585">
      <c r="A585" s="38"/>
      <c r="B585" s="38"/>
      <c r="C585" s="38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8"/>
      <c r="AK585" s="38"/>
      <c r="AL585" s="38"/>
      <c r="AM585" s="38"/>
      <c r="AN585" s="38"/>
      <c r="AO585" s="40"/>
      <c r="AP585" s="41"/>
    </row>
    <row r="586">
      <c r="A586" s="38"/>
      <c r="B586" s="38"/>
      <c r="C586" s="38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8"/>
      <c r="AK586" s="38"/>
      <c r="AL586" s="38"/>
      <c r="AM586" s="38"/>
      <c r="AN586" s="38"/>
      <c r="AO586" s="40"/>
      <c r="AP586" s="41"/>
    </row>
    <row r="587">
      <c r="A587" s="38"/>
      <c r="B587" s="38"/>
      <c r="C587" s="38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8"/>
      <c r="AK587" s="38"/>
      <c r="AL587" s="38"/>
      <c r="AM587" s="38"/>
      <c r="AN587" s="38"/>
      <c r="AO587" s="40"/>
      <c r="AP587" s="41"/>
    </row>
    <row r="588">
      <c r="A588" s="38"/>
      <c r="B588" s="38"/>
      <c r="C588" s="38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8"/>
      <c r="AK588" s="38"/>
      <c r="AL588" s="38"/>
      <c r="AM588" s="38"/>
      <c r="AN588" s="38"/>
      <c r="AO588" s="40"/>
      <c r="AP588" s="41"/>
    </row>
    <row r="589">
      <c r="A589" s="38"/>
      <c r="B589" s="38"/>
      <c r="C589" s="38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8"/>
      <c r="AK589" s="38"/>
      <c r="AL589" s="38"/>
      <c r="AM589" s="38"/>
      <c r="AN589" s="38"/>
      <c r="AO589" s="40"/>
      <c r="AP589" s="41"/>
    </row>
    <row r="590">
      <c r="A590" s="38"/>
      <c r="B590" s="38"/>
      <c r="C590" s="38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8"/>
      <c r="AK590" s="38"/>
      <c r="AL590" s="38"/>
      <c r="AM590" s="38"/>
      <c r="AN590" s="38"/>
      <c r="AO590" s="40"/>
      <c r="AP590" s="41"/>
    </row>
    <row r="591">
      <c r="A591" s="38"/>
      <c r="B591" s="38"/>
      <c r="C591" s="38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8"/>
      <c r="AK591" s="38"/>
      <c r="AL591" s="38"/>
      <c r="AM591" s="38"/>
      <c r="AN591" s="38"/>
      <c r="AO591" s="40"/>
      <c r="AP591" s="41"/>
    </row>
    <row r="592">
      <c r="A592" s="38"/>
      <c r="B592" s="38"/>
      <c r="C592" s="38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8"/>
      <c r="AK592" s="38"/>
      <c r="AL592" s="38"/>
      <c r="AM592" s="38"/>
      <c r="AN592" s="38"/>
      <c r="AO592" s="40"/>
      <c r="AP592" s="41"/>
    </row>
    <row r="593">
      <c r="A593" s="38"/>
      <c r="B593" s="38"/>
      <c r="C593" s="38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8"/>
      <c r="AK593" s="38"/>
      <c r="AL593" s="38"/>
      <c r="AM593" s="38"/>
      <c r="AN593" s="38"/>
      <c r="AO593" s="40"/>
      <c r="AP593" s="41"/>
    </row>
    <row r="594">
      <c r="A594" s="38"/>
      <c r="B594" s="38"/>
      <c r="C594" s="38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8"/>
      <c r="AK594" s="38"/>
      <c r="AL594" s="38"/>
      <c r="AM594" s="38"/>
      <c r="AN594" s="38"/>
      <c r="AO594" s="40"/>
      <c r="AP594" s="41"/>
    </row>
    <row r="595">
      <c r="A595" s="38"/>
      <c r="B595" s="38"/>
      <c r="C595" s="38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8"/>
      <c r="AK595" s="38"/>
      <c r="AL595" s="38"/>
      <c r="AM595" s="38"/>
      <c r="AN595" s="38"/>
      <c r="AO595" s="40"/>
      <c r="AP595" s="41"/>
    </row>
    <row r="596">
      <c r="A596" s="38"/>
      <c r="B596" s="38"/>
      <c r="C596" s="38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8"/>
      <c r="AK596" s="38"/>
      <c r="AL596" s="38"/>
      <c r="AM596" s="38"/>
      <c r="AN596" s="38"/>
      <c r="AO596" s="40"/>
      <c r="AP596" s="41"/>
    </row>
    <row r="597">
      <c r="A597" s="38"/>
      <c r="B597" s="38"/>
      <c r="C597" s="38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8"/>
      <c r="AK597" s="38"/>
      <c r="AL597" s="38"/>
      <c r="AM597" s="38"/>
      <c r="AN597" s="38"/>
      <c r="AO597" s="40"/>
      <c r="AP597" s="41"/>
    </row>
    <row r="598">
      <c r="A598" s="38"/>
      <c r="B598" s="38"/>
      <c r="C598" s="38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8"/>
      <c r="AK598" s="38"/>
      <c r="AL598" s="38"/>
      <c r="AM598" s="38"/>
      <c r="AN598" s="38"/>
      <c r="AO598" s="40"/>
      <c r="AP598" s="41"/>
    </row>
    <row r="599">
      <c r="A599" s="38"/>
      <c r="B599" s="38"/>
      <c r="C599" s="38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8"/>
      <c r="AK599" s="38"/>
      <c r="AL599" s="38"/>
      <c r="AM599" s="38"/>
      <c r="AN599" s="38"/>
      <c r="AO599" s="40"/>
      <c r="AP599" s="41"/>
    </row>
    <row r="600">
      <c r="A600" s="38"/>
      <c r="B600" s="38"/>
      <c r="C600" s="38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8"/>
      <c r="AK600" s="38"/>
      <c r="AL600" s="38"/>
      <c r="AM600" s="38"/>
      <c r="AN600" s="38"/>
      <c r="AO600" s="40"/>
      <c r="AP600" s="41"/>
    </row>
    <row r="601">
      <c r="A601" s="38"/>
      <c r="B601" s="38"/>
      <c r="C601" s="38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8"/>
      <c r="AK601" s="38"/>
      <c r="AL601" s="38"/>
      <c r="AM601" s="38"/>
      <c r="AN601" s="38"/>
      <c r="AO601" s="40"/>
      <c r="AP601" s="41"/>
    </row>
    <row r="602">
      <c r="A602" s="38"/>
      <c r="B602" s="38"/>
      <c r="C602" s="38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8"/>
      <c r="AK602" s="38"/>
      <c r="AL602" s="38"/>
      <c r="AM602" s="38"/>
      <c r="AN602" s="38"/>
      <c r="AO602" s="40"/>
      <c r="AP602" s="41"/>
    </row>
    <row r="603">
      <c r="A603" s="38"/>
      <c r="B603" s="38"/>
      <c r="C603" s="38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8"/>
      <c r="AK603" s="38"/>
      <c r="AL603" s="38"/>
      <c r="AM603" s="38"/>
      <c r="AN603" s="38"/>
      <c r="AO603" s="40"/>
      <c r="AP603" s="41"/>
    </row>
    <row r="604">
      <c r="A604" s="38"/>
      <c r="B604" s="38"/>
      <c r="C604" s="38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8"/>
      <c r="AK604" s="38"/>
      <c r="AL604" s="38"/>
      <c r="AM604" s="38"/>
      <c r="AN604" s="38"/>
      <c r="AO604" s="40"/>
      <c r="AP604" s="41"/>
    </row>
    <row r="605">
      <c r="A605" s="38"/>
      <c r="B605" s="38"/>
      <c r="C605" s="38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8"/>
      <c r="AK605" s="38"/>
      <c r="AL605" s="38"/>
      <c r="AM605" s="38"/>
      <c r="AN605" s="38"/>
      <c r="AO605" s="40"/>
      <c r="AP605" s="41"/>
    </row>
    <row r="606">
      <c r="A606" s="38"/>
      <c r="B606" s="38"/>
      <c r="C606" s="38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8"/>
      <c r="AK606" s="38"/>
      <c r="AL606" s="38"/>
      <c r="AM606" s="38"/>
      <c r="AN606" s="38"/>
      <c r="AO606" s="40"/>
      <c r="AP606" s="41"/>
    </row>
    <row r="607">
      <c r="A607" s="38"/>
      <c r="B607" s="38"/>
      <c r="C607" s="38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8"/>
      <c r="AK607" s="38"/>
      <c r="AL607" s="38"/>
      <c r="AM607" s="38"/>
      <c r="AN607" s="38"/>
      <c r="AO607" s="40"/>
      <c r="AP607" s="41"/>
    </row>
    <row r="608">
      <c r="A608" s="38"/>
      <c r="B608" s="38"/>
      <c r="C608" s="38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8"/>
      <c r="AK608" s="38"/>
      <c r="AL608" s="38"/>
      <c r="AM608" s="38"/>
      <c r="AN608" s="38"/>
      <c r="AO608" s="40"/>
      <c r="AP608" s="41"/>
    </row>
    <row r="609">
      <c r="A609" s="38"/>
      <c r="B609" s="38"/>
      <c r="C609" s="38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8"/>
      <c r="AK609" s="38"/>
      <c r="AL609" s="38"/>
      <c r="AM609" s="38"/>
      <c r="AN609" s="38"/>
      <c r="AO609" s="40"/>
      <c r="AP609" s="41"/>
    </row>
    <row r="610">
      <c r="A610" s="38"/>
      <c r="B610" s="38"/>
      <c r="C610" s="38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8"/>
      <c r="AK610" s="38"/>
      <c r="AL610" s="38"/>
      <c r="AM610" s="38"/>
      <c r="AN610" s="38"/>
      <c r="AO610" s="40"/>
      <c r="AP610" s="41"/>
    </row>
    <row r="611">
      <c r="A611" s="38"/>
      <c r="B611" s="38"/>
      <c r="C611" s="38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8"/>
      <c r="AK611" s="38"/>
      <c r="AL611" s="38"/>
      <c r="AM611" s="38"/>
      <c r="AN611" s="38"/>
      <c r="AO611" s="40"/>
      <c r="AP611" s="41"/>
    </row>
    <row r="612">
      <c r="A612" s="38"/>
      <c r="B612" s="38"/>
      <c r="C612" s="38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8"/>
      <c r="AK612" s="38"/>
      <c r="AL612" s="38"/>
      <c r="AM612" s="38"/>
      <c r="AN612" s="38"/>
      <c r="AO612" s="40"/>
      <c r="AP612" s="41"/>
    </row>
    <row r="613">
      <c r="A613" s="38"/>
      <c r="B613" s="38"/>
      <c r="C613" s="38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8"/>
      <c r="AK613" s="38"/>
      <c r="AL613" s="38"/>
      <c r="AM613" s="38"/>
      <c r="AN613" s="38"/>
      <c r="AO613" s="40"/>
      <c r="AP613" s="41"/>
    </row>
    <row r="614">
      <c r="A614" s="38"/>
      <c r="B614" s="38"/>
      <c r="C614" s="38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8"/>
      <c r="AK614" s="38"/>
      <c r="AL614" s="38"/>
      <c r="AM614" s="38"/>
      <c r="AN614" s="38"/>
      <c r="AO614" s="40"/>
      <c r="AP614" s="41"/>
    </row>
    <row r="615">
      <c r="A615" s="38"/>
      <c r="B615" s="38"/>
      <c r="C615" s="38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8"/>
      <c r="AK615" s="38"/>
      <c r="AL615" s="38"/>
      <c r="AM615" s="38"/>
      <c r="AN615" s="38"/>
      <c r="AO615" s="40"/>
      <c r="AP615" s="41"/>
    </row>
    <row r="616">
      <c r="A616" s="38"/>
      <c r="B616" s="38"/>
      <c r="C616" s="38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8"/>
      <c r="AK616" s="38"/>
      <c r="AL616" s="38"/>
      <c r="AM616" s="38"/>
      <c r="AN616" s="38"/>
      <c r="AO616" s="40"/>
      <c r="AP616" s="41"/>
    </row>
    <row r="617">
      <c r="A617" s="38"/>
      <c r="B617" s="38"/>
      <c r="C617" s="38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8"/>
      <c r="AK617" s="38"/>
      <c r="AL617" s="38"/>
      <c r="AM617" s="38"/>
      <c r="AN617" s="38"/>
      <c r="AO617" s="40"/>
      <c r="AP617" s="41"/>
    </row>
    <row r="618">
      <c r="A618" s="38"/>
      <c r="B618" s="38"/>
      <c r="C618" s="38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8"/>
      <c r="AK618" s="38"/>
      <c r="AL618" s="38"/>
      <c r="AM618" s="38"/>
      <c r="AN618" s="38"/>
      <c r="AO618" s="40"/>
      <c r="AP618" s="41"/>
    </row>
    <row r="619">
      <c r="A619" s="38"/>
      <c r="B619" s="38"/>
      <c r="C619" s="38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8"/>
      <c r="AK619" s="38"/>
      <c r="AL619" s="38"/>
      <c r="AM619" s="38"/>
      <c r="AN619" s="38"/>
      <c r="AO619" s="40"/>
      <c r="AP619" s="41"/>
    </row>
    <row r="620">
      <c r="A620" s="38"/>
      <c r="B620" s="38"/>
      <c r="C620" s="38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8"/>
      <c r="AK620" s="38"/>
      <c r="AL620" s="38"/>
      <c r="AM620" s="38"/>
      <c r="AN620" s="38"/>
      <c r="AO620" s="40"/>
      <c r="AP620" s="41"/>
    </row>
    <row r="621">
      <c r="A621" s="38"/>
      <c r="B621" s="38"/>
      <c r="C621" s="38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8"/>
      <c r="AK621" s="38"/>
      <c r="AL621" s="38"/>
      <c r="AM621" s="38"/>
      <c r="AN621" s="38"/>
      <c r="AO621" s="40"/>
      <c r="AP621" s="41"/>
    </row>
    <row r="622">
      <c r="A622" s="38"/>
      <c r="B622" s="38"/>
      <c r="C622" s="38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8"/>
      <c r="AK622" s="38"/>
      <c r="AL622" s="38"/>
      <c r="AM622" s="38"/>
      <c r="AN622" s="38"/>
      <c r="AO622" s="40"/>
      <c r="AP622" s="41"/>
    </row>
    <row r="623">
      <c r="A623" s="38"/>
      <c r="B623" s="38"/>
      <c r="C623" s="38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8"/>
      <c r="AK623" s="38"/>
      <c r="AL623" s="38"/>
      <c r="AM623" s="38"/>
      <c r="AN623" s="38"/>
      <c r="AO623" s="40"/>
      <c r="AP623" s="41"/>
    </row>
    <row r="624">
      <c r="A624" s="38"/>
      <c r="B624" s="38"/>
      <c r="C624" s="38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8"/>
      <c r="AK624" s="38"/>
      <c r="AL624" s="38"/>
      <c r="AM624" s="38"/>
      <c r="AN624" s="38"/>
      <c r="AO624" s="40"/>
      <c r="AP624" s="41"/>
    </row>
    <row r="625">
      <c r="A625" s="38"/>
      <c r="B625" s="38"/>
      <c r="C625" s="38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8"/>
      <c r="AK625" s="38"/>
      <c r="AL625" s="38"/>
      <c r="AM625" s="38"/>
      <c r="AN625" s="38"/>
      <c r="AO625" s="40"/>
      <c r="AP625" s="41"/>
    </row>
    <row r="626">
      <c r="A626" s="38"/>
      <c r="B626" s="38"/>
      <c r="C626" s="38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8"/>
      <c r="AK626" s="38"/>
      <c r="AL626" s="38"/>
      <c r="AM626" s="38"/>
      <c r="AN626" s="38"/>
      <c r="AO626" s="40"/>
      <c r="AP626" s="41"/>
    </row>
    <row r="627">
      <c r="A627" s="38"/>
      <c r="B627" s="38"/>
      <c r="C627" s="38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8"/>
      <c r="AK627" s="38"/>
      <c r="AL627" s="38"/>
      <c r="AM627" s="38"/>
      <c r="AN627" s="38"/>
      <c r="AO627" s="40"/>
      <c r="AP627" s="41"/>
    </row>
    <row r="628">
      <c r="A628" s="38"/>
      <c r="B628" s="38"/>
      <c r="C628" s="38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8"/>
      <c r="AK628" s="38"/>
      <c r="AL628" s="38"/>
      <c r="AM628" s="38"/>
      <c r="AN628" s="38"/>
      <c r="AO628" s="40"/>
      <c r="AP628" s="41"/>
    </row>
    <row r="629">
      <c r="A629" s="38"/>
      <c r="B629" s="38"/>
      <c r="C629" s="38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8"/>
      <c r="AK629" s="38"/>
      <c r="AL629" s="38"/>
      <c r="AM629" s="38"/>
      <c r="AN629" s="38"/>
      <c r="AO629" s="40"/>
      <c r="AP629" s="41"/>
    </row>
    <row r="630">
      <c r="A630" s="38"/>
      <c r="B630" s="38"/>
      <c r="C630" s="38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8"/>
      <c r="AK630" s="38"/>
      <c r="AL630" s="38"/>
      <c r="AM630" s="38"/>
      <c r="AN630" s="38"/>
      <c r="AO630" s="40"/>
      <c r="AP630" s="41"/>
    </row>
    <row r="631">
      <c r="A631" s="38"/>
      <c r="B631" s="38"/>
      <c r="C631" s="38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8"/>
      <c r="AK631" s="38"/>
      <c r="AL631" s="38"/>
      <c r="AM631" s="38"/>
      <c r="AN631" s="38"/>
      <c r="AO631" s="40"/>
      <c r="AP631" s="41"/>
    </row>
    <row r="632">
      <c r="A632" s="38"/>
      <c r="B632" s="38"/>
      <c r="C632" s="38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8"/>
      <c r="AK632" s="38"/>
      <c r="AL632" s="38"/>
      <c r="AM632" s="38"/>
      <c r="AN632" s="38"/>
      <c r="AO632" s="40"/>
      <c r="AP632" s="41"/>
    </row>
    <row r="633">
      <c r="A633" s="38"/>
      <c r="B633" s="38"/>
      <c r="C633" s="38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8"/>
      <c r="AK633" s="38"/>
      <c r="AL633" s="38"/>
      <c r="AM633" s="38"/>
      <c r="AN633" s="38"/>
      <c r="AO633" s="40"/>
      <c r="AP633" s="41"/>
    </row>
    <row r="634">
      <c r="A634" s="38"/>
      <c r="B634" s="38"/>
      <c r="C634" s="38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8"/>
      <c r="AK634" s="38"/>
      <c r="AL634" s="38"/>
      <c r="AM634" s="38"/>
      <c r="AN634" s="38"/>
      <c r="AO634" s="40"/>
      <c r="AP634" s="41"/>
    </row>
    <row r="635">
      <c r="A635" s="38"/>
      <c r="B635" s="38"/>
      <c r="C635" s="38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8"/>
      <c r="AK635" s="38"/>
      <c r="AL635" s="38"/>
      <c r="AM635" s="38"/>
      <c r="AN635" s="38"/>
      <c r="AO635" s="40"/>
      <c r="AP635" s="41"/>
    </row>
    <row r="636">
      <c r="A636" s="38"/>
      <c r="B636" s="38"/>
      <c r="C636" s="38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8"/>
      <c r="AK636" s="38"/>
      <c r="AL636" s="38"/>
      <c r="AM636" s="38"/>
      <c r="AN636" s="38"/>
      <c r="AO636" s="40"/>
      <c r="AP636" s="41"/>
    </row>
    <row r="637">
      <c r="A637" s="38"/>
      <c r="B637" s="38"/>
      <c r="C637" s="38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8"/>
      <c r="AK637" s="38"/>
      <c r="AL637" s="38"/>
      <c r="AM637" s="38"/>
      <c r="AN637" s="38"/>
      <c r="AO637" s="40"/>
      <c r="AP637" s="41"/>
    </row>
    <row r="638">
      <c r="A638" s="38"/>
      <c r="B638" s="38"/>
      <c r="C638" s="38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8"/>
      <c r="AK638" s="38"/>
      <c r="AL638" s="38"/>
      <c r="AM638" s="38"/>
      <c r="AN638" s="38"/>
      <c r="AO638" s="40"/>
      <c r="AP638" s="41"/>
    </row>
    <row r="639">
      <c r="A639" s="38"/>
      <c r="B639" s="38"/>
      <c r="C639" s="38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8"/>
      <c r="AK639" s="38"/>
      <c r="AL639" s="38"/>
      <c r="AM639" s="38"/>
      <c r="AN639" s="38"/>
      <c r="AO639" s="40"/>
      <c r="AP639" s="41"/>
    </row>
    <row r="640">
      <c r="A640" s="38"/>
      <c r="B640" s="38"/>
      <c r="C640" s="38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8"/>
      <c r="AK640" s="38"/>
      <c r="AL640" s="38"/>
      <c r="AM640" s="38"/>
      <c r="AN640" s="38"/>
      <c r="AO640" s="40"/>
      <c r="AP640" s="41"/>
    </row>
    <row r="641">
      <c r="A641" s="38"/>
      <c r="B641" s="38"/>
      <c r="C641" s="38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8"/>
      <c r="AK641" s="38"/>
      <c r="AL641" s="38"/>
      <c r="AM641" s="38"/>
      <c r="AN641" s="38"/>
      <c r="AO641" s="40"/>
      <c r="AP641" s="41"/>
    </row>
    <row r="642">
      <c r="A642" s="38"/>
      <c r="B642" s="38"/>
      <c r="C642" s="38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8"/>
      <c r="AK642" s="38"/>
      <c r="AL642" s="38"/>
      <c r="AM642" s="38"/>
      <c r="AN642" s="38"/>
      <c r="AO642" s="40"/>
      <c r="AP642" s="41"/>
    </row>
    <row r="643">
      <c r="A643" s="38"/>
      <c r="B643" s="38"/>
      <c r="C643" s="38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8"/>
      <c r="AK643" s="38"/>
      <c r="AL643" s="38"/>
      <c r="AM643" s="38"/>
      <c r="AN643" s="38"/>
      <c r="AO643" s="40"/>
      <c r="AP643" s="41"/>
    </row>
    <row r="644">
      <c r="A644" s="38"/>
      <c r="B644" s="38"/>
      <c r="C644" s="38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8"/>
      <c r="AK644" s="38"/>
      <c r="AL644" s="38"/>
      <c r="AM644" s="38"/>
      <c r="AN644" s="38"/>
      <c r="AO644" s="40"/>
      <c r="AP644" s="41"/>
    </row>
    <row r="645">
      <c r="A645" s="38"/>
      <c r="B645" s="38"/>
      <c r="C645" s="38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8"/>
      <c r="AK645" s="38"/>
      <c r="AL645" s="38"/>
      <c r="AM645" s="38"/>
      <c r="AN645" s="38"/>
      <c r="AO645" s="40"/>
      <c r="AP645" s="41"/>
    </row>
    <row r="646">
      <c r="A646" s="38"/>
      <c r="B646" s="38"/>
      <c r="C646" s="38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8"/>
      <c r="AK646" s="38"/>
      <c r="AL646" s="38"/>
      <c r="AM646" s="38"/>
      <c r="AN646" s="38"/>
      <c r="AO646" s="40"/>
      <c r="AP646" s="41"/>
    </row>
    <row r="647">
      <c r="A647" s="38"/>
      <c r="B647" s="38"/>
      <c r="C647" s="38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8"/>
      <c r="AK647" s="38"/>
      <c r="AL647" s="38"/>
      <c r="AM647" s="38"/>
      <c r="AN647" s="38"/>
      <c r="AO647" s="40"/>
      <c r="AP647" s="41"/>
    </row>
    <row r="648">
      <c r="A648" s="38"/>
      <c r="B648" s="38"/>
      <c r="C648" s="38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8"/>
      <c r="AK648" s="38"/>
      <c r="AL648" s="38"/>
      <c r="AM648" s="38"/>
      <c r="AN648" s="38"/>
      <c r="AO648" s="40"/>
      <c r="AP648" s="41"/>
    </row>
    <row r="649">
      <c r="A649" s="38"/>
      <c r="B649" s="38"/>
      <c r="C649" s="38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8"/>
      <c r="AK649" s="38"/>
      <c r="AL649" s="38"/>
      <c r="AM649" s="38"/>
      <c r="AN649" s="38"/>
      <c r="AO649" s="40"/>
      <c r="AP649" s="41"/>
    </row>
    <row r="650">
      <c r="A650" s="38"/>
      <c r="B650" s="38"/>
      <c r="C650" s="38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8"/>
      <c r="AK650" s="38"/>
      <c r="AL650" s="38"/>
      <c r="AM650" s="38"/>
      <c r="AN650" s="38"/>
      <c r="AO650" s="40"/>
      <c r="AP650" s="41"/>
    </row>
    <row r="651">
      <c r="A651" s="38"/>
      <c r="B651" s="38"/>
      <c r="C651" s="38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8"/>
      <c r="AK651" s="38"/>
      <c r="AL651" s="38"/>
      <c r="AM651" s="38"/>
      <c r="AN651" s="38"/>
      <c r="AO651" s="40"/>
      <c r="AP651" s="41"/>
    </row>
    <row r="652">
      <c r="A652" s="38"/>
      <c r="B652" s="38"/>
      <c r="C652" s="38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8"/>
      <c r="AK652" s="38"/>
      <c r="AL652" s="38"/>
      <c r="AM652" s="38"/>
      <c r="AN652" s="38"/>
      <c r="AO652" s="40"/>
      <c r="AP652" s="41"/>
    </row>
    <row r="653">
      <c r="A653" s="38"/>
      <c r="B653" s="38"/>
      <c r="C653" s="38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8"/>
      <c r="AK653" s="38"/>
      <c r="AL653" s="38"/>
      <c r="AM653" s="38"/>
      <c r="AN653" s="38"/>
      <c r="AO653" s="40"/>
      <c r="AP653" s="41"/>
    </row>
    <row r="654">
      <c r="A654" s="38"/>
      <c r="B654" s="38"/>
      <c r="C654" s="38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8"/>
      <c r="AK654" s="38"/>
      <c r="AL654" s="38"/>
      <c r="AM654" s="38"/>
      <c r="AN654" s="38"/>
      <c r="AO654" s="40"/>
      <c r="AP654" s="41"/>
    </row>
    <row r="655">
      <c r="A655" s="38"/>
      <c r="B655" s="38"/>
      <c r="C655" s="38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8"/>
      <c r="AK655" s="38"/>
      <c r="AL655" s="38"/>
      <c r="AM655" s="38"/>
      <c r="AN655" s="38"/>
      <c r="AO655" s="40"/>
      <c r="AP655" s="41"/>
    </row>
    <row r="656">
      <c r="A656" s="38"/>
      <c r="B656" s="38"/>
      <c r="C656" s="38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8"/>
      <c r="AK656" s="38"/>
      <c r="AL656" s="38"/>
      <c r="AM656" s="38"/>
      <c r="AN656" s="38"/>
      <c r="AO656" s="40"/>
      <c r="AP656" s="41"/>
    </row>
    <row r="657">
      <c r="A657" s="38"/>
      <c r="B657" s="38"/>
      <c r="C657" s="38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8"/>
      <c r="AK657" s="38"/>
      <c r="AL657" s="38"/>
      <c r="AM657" s="38"/>
      <c r="AN657" s="38"/>
      <c r="AO657" s="40"/>
      <c r="AP657" s="41"/>
    </row>
    <row r="658">
      <c r="A658" s="38"/>
      <c r="B658" s="38"/>
      <c r="C658" s="38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8"/>
      <c r="AK658" s="38"/>
      <c r="AL658" s="38"/>
      <c r="AM658" s="38"/>
      <c r="AN658" s="38"/>
      <c r="AO658" s="40"/>
      <c r="AP658" s="41"/>
    </row>
    <row r="659">
      <c r="A659" s="38"/>
      <c r="B659" s="38"/>
      <c r="C659" s="38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8"/>
      <c r="AK659" s="38"/>
      <c r="AL659" s="38"/>
      <c r="AM659" s="38"/>
      <c r="AN659" s="38"/>
      <c r="AO659" s="40"/>
      <c r="AP659" s="41"/>
    </row>
    <row r="660">
      <c r="A660" s="38"/>
      <c r="B660" s="38"/>
      <c r="C660" s="38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8"/>
      <c r="AK660" s="38"/>
      <c r="AL660" s="38"/>
      <c r="AM660" s="38"/>
      <c r="AN660" s="38"/>
      <c r="AO660" s="40"/>
      <c r="AP660" s="41"/>
    </row>
    <row r="661">
      <c r="A661" s="38"/>
      <c r="B661" s="38"/>
      <c r="C661" s="38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8"/>
      <c r="AK661" s="38"/>
      <c r="AL661" s="38"/>
      <c r="AM661" s="38"/>
      <c r="AN661" s="38"/>
      <c r="AO661" s="40"/>
      <c r="AP661" s="41"/>
    </row>
    <row r="662">
      <c r="A662" s="38"/>
      <c r="B662" s="38"/>
      <c r="C662" s="38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8"/>
      <c r="AK662" s="38"/>
      <c r="AL662" s="38"/>
      <c r="AM662" s="38"/>
      <c r="AN662" s="38"/>
      <c r="AO662" s="40"/>
      <c r="AP662" s="41"/>
    </row>
    <row r="663">
      <c r="A663" s="38"/>
      <c r="B663" s="38"/>
      <c r="C663" s="38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8"/>
      <c r="AK663" s="38"/>
      <c r="AL663" s="38"/>
      <c r="AM663" s="38"/>
      <c r="AN663" s="38"/>
      <c r="AO663" s="40"/>
      <c r="AP663" s="41"/>
    </row>
    <row r="664">
      <c r="A664" s="38"/>
      <c r="B664" s="38"/>
      <c r="C664" s="38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8"/>
      <c r="AK664" s="38"/>
      <c r="AL664" s="38"/>
      <c r="AM664" s="38"/>
      <c r="AN664" s="38"/>
      <c r="AO664" s="40"/>
      <c r="AP664" s="41"/>
    </row>
    <row r="665">
      <c r="A665" s="38"/>
      <c r="B665" s="38"/>
      <c r="C665" s="38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8"/>
      <c r="AK665" s="38"/>
      <c r="AL665" s="38"/>
      <c r="AM665" s="38"/>
      <c r="AN665" s="38"/>
      <c r="AO665" s="40"/>
      <c r="AP665" s="41"/>
    </row>
    <row r="666">
      <c r="A666" s="38"/>
      <c r="B666" s="38"/>
      <c r="C666" s="38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8"/>
      <c r="AK666" s="38"/>
      <c r="AL666" s="38"/>
      <c r="AM666" s="38"/>
      <c r="AN666" s="38"/>
      <c r="AO666" s="40"/>
      <c r="AP666" s="41"/>
    </row>
    <row r="667">
      <c r="A667" s="38"/>
      <c r="B667" s="38"/>
      <c r="C667" s="38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8"/>
      <c r="AK667" s="38"/>
      <c r="AL667" s="38"/>
      <c r="AM667" s="38"/>
      <c r="AN667" s="38"/>
      <c r="AO667" s="40"/>
      <c r="AP667" s="41"/>
    </row>
    <row r="668">
      <c r="A668" s="38"/>
      <c r="B668" s="38"/>
      <c r="C668" s="38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8"/>
      <c r="AK668" s="38"/>
      <c r="AL668" s="38"/>
      <c r="AM668" s="38"/>
      <c r="AN668" s="38"/>
      <c r="AO668" s="40"/>
      <c r="AP668" s="41"/>
    </row>
    <row r="669">
      <c r="A669" s="38"/>
      <c r="B669" s="38"/>
      <c r="C669" s="38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8"/>
      <c r="AK669" s="38"/>
      <c r="AL669" s="38"/>
      <c r="AM669" s="38"/>
      <c r="AN669" s="38"/>
      <c r="AO669" s="40"/>
      <c r="AP669" s="41"/>
    </row>
    <row r="670">
      <c r="A670" s="38"/>
      <c r="B670" s="38"/>
      <c r="C670" s="38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8"/>
      <c r="AK670" s="38"/>
      <c r="AL670" s="38"/>
      <c r="AM670" s="38"/>
      <c r="AN670" s="38"/>
      <c r="AO670" s="40"/>
      <c r="AP670" s="41"/>
    </row>
    <row r="671">
      <c r="A671" s="38"/>
      <c r="B671" s="38"/>
      <c r="C671" s="38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8"/>
      <c r="AK671" s="38"/>
      <c r="AL671" s="38"/>
      <c r="AM671" s="38"/>
      <c r="AN671" s="38"/>
      <c r="AO671" s="40"/>
      <c r="AP671" s="41"/>
    </row>
    <row r="672">
      <c r="A672" s="38"/>
      <c r="B672" s="38"/>
      <c r="C672" s="38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8"/>
      <c r="AK672" s="38"/>
      <c r="AL672" s="38"/>
      <c r="AM672" s="38"/>
      <c r="AN672" s="38"/>
      <c r="AO672" s="40"/>
      <c r="AP672" s="41"/>
    </row>
    <row r="673">
      <c r="A673" s="38"/>
      <c r="B673" s="38"/>
      <c r="C673" s="38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8"/>
      <c r="AK673" s="38"/>
      <c r="AL673" s="38"/>
      <c r="AM673" s="38"/>
      <c r="AN673" s="38"/>
      <c r="AO673" s="40"/>
      <c r="AP673" s="41"/>
    </row>
    <row r="674">
      <c r="A674" s="38"/>
      <c r="B674" s="38"/>
      <c r="C674" s="38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8"/>
      <c r="AK674" s="38"/>
      <c r="AL674" s="38"/>
      <c r="AM674" s="38"/>
      <c r="AN674" s="38"/>
      <c r="AO674" s="40"/>
      <c r="AP674" s="41"/>
    </row>
    <row r="675">
      <c r="A675" s="38"/>
      <c r="B675" s="38"/>
      <c r="C675" s="38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8"/>
      <c r="AK675" s="38"/>
      <c r="AL675" s="38"/>
      <c r="AM675" s="38"/>
      <c r="AN675" s="38"/>
      <c r="AO675" s="40"/>
      <c r="AP675" s="41"/>
    </row>
    <row r="676">
      <c r="A676" s="38"/>
      <c r="B676" s="38"/>
      <c r="C676" s="38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8"/>
      <c r="AK676" s="38"/>
      <c r="AL676" s="38"/>
      <c r="AM676" s="38"/>
      <c r="AN676" s="38"/>
      <c r="AO676" s="40"/>
      <c r="AP676" s="41"/>
    </row>
    <row r="677">
      <c r="A677" s="38"/>
      <c r="B677" s="38"/>
      <c r="C677" s="38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8"/>
      <c r="AK677" s="38"/>
      <c r="AL677" s="38"/>
      <c r="AM677" s="38"/>
      <c r="AN677" s="38"/>
      <c r="AO677" s="40"/>
      <c r="AP677" s="41"/>
    </row>
    <row r="678">
      <c r="A678" s="38"/>
      <c r="B678" s="38"/>
      <c r="C678" s="38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8"/>
      <c r="AK678" s="38"/>
      <c r="AL678" s="38"/>
      <c r="AM678" s="38"/>
      <c r="AN678" s="38"/>
      <c r="AO678" s="40"/>
      <c r="AP678" s="41"/>
    </row>
    <row r="679">
      <c r="A679" s="38"/>
      <c r="B679" s="38"/>
      <c r="C679" s="38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8"/>
      <c r="AK679" s="38"/>
      <c r="AL679" s="38"/>
      <c r="AM679" s="38"/>
      <c r="AN679" s="38"/>
      <c r="AO679" s="40"/>
      <c r="AP679" s="41"/>
    </row>
    <row r="680">
      <c r="A680" s="38"/>
      <c r="B680" s="38"/>
      <c r="C680" s="38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8"/>
      <c r="AK680" s="38"/>
      <c r="AL680" s="38"/>
      <c r="AM680" s="38"/>
      <c r="AN680" s="38"/>
      <c r="AO680" s="40"/>
      <c r="AP680" s="41"/>
    </row>
    <row r="681">
      <c r="A681" s="38"/>
      <c r="B681" s="38"/>
      <c r="C681" s="38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8"/>
      <c r="AK681" s="38"/>
      <c r="AL681" s="38"/>
      <c r="AM681" s="38"/>
      <c r="AN681" s="38"/>
      <c r="AO681" s="40"/>
      <c r="AP681" s="41"/>
    </row>
    <row r="682">
      <c r="A682" s="38"/>
      <c r="B682" s="38"/>
      <c r="C682" s="38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8"/>
      <c r="AK682" s="38"/>
      <c r="AL682" s="38"/>
      <c r="AM682" s="38"/>
      <c r="AN682" s="38"/>
      <c r="AO682" s="40"/>
      <c r="AP682" s="41"/>
    </row>
    <row r="683">
      <c r="A683" s="38"/>
      <c r="B683" s="38"/>
      <c r="C683" s="38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8"/>
      <c r="AK683" s="38"/>
      <c r="AL683" s="38"/>
      <c r="AM683" s="38"/>
      <c r="AN683" s="38"/>
      <c r="AO683" s="40"/>
      <c r="AP683" s="41"/>
    </row>
    <row r="684">
      <c r="A684" s="38"/>
      <c r="B684" s="38"/>
      <c r="C684" s="38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8"/>
      <c r="AK684" s="38"/>
      <c r="AL684" s="38"/>
      <c r="AM684" s="38"/>
      <c r="AN684" s="38"/>
      <c r="AO684" s="40"/>
      <c r="AP684" s="41"/>
    </row>
    <row r="685">
      <c r="A685" s="38"/>
      <c r="B685" s="38"/>
      <c r="C685" s="38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8"/>
      <c r="AK685" s="38"/>
      <c r="AL685" s="38"/>
      <c r="AM685" s="38"/>
      <c r="AN685" s="38"/>
      <c r="AO685" s="40"/>
      <c r="AP685" s="41"/>
    </row>
    <row r="686">
      <c r="A686" s="38"/>
      <c r="B686" s="38"/>
      <c r="C686" s="38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8"/>
      <c r="AK686" s="38"/>
      <c r="AL686" s="38"/>
      <c r="AM686" s="38"/>
      <c r="AN686" s="38"/>
      <c r="AO686" s="40"/>
      <c r="AP686" s="41"/>
    </row>
    <row r="687">
      <c r="A687" s="38"/>
      <c r="B687" s="38"/>
      <c r="C687" s="38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8"/>
      <c r="AK687" s="38"/>
      <c r="AL687" s="38"/>
      <c r="AM687" s="38"/>
      <c r="AN687" s="38"/>
      <c r="AO687" s="40"/>
      <c r="AP687" s="41"/>
    </row>
    <row r="688">
      <c r="A688" s="38"/>
      <c r="B688" s="38"/>
      <c r="C688" s="38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8"/>
      <c r="AK688" s="38"/>
      <c r="AL688" s="38"/>
      <c r="AM688" s="38"/>
      <c r="AN688" s="38"/>
      <c r="AO688" s="40"/>
      <c r="AP688" s="41"/>
    </row>
    <row r="689">
      <c r="A689" s="38"/>
      <c r="B689" s="38"/>
      <c r="C689" s="38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8"/>
      <c r="AK689" s="38"/>
      <c r="AL689" s="38"/>
      <c r="AM689" s="38"/>
      <c r="AN689" s="38"/>
      <c r="AO689" s="40"/>
      <c r="AP689" s="41"/>
    </row>
    <row r="690">
      <c r="A690" s="38"/>
      <c r="B690" s="38"/>
      <c r="C690" s="38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8"/>
      <c r="AK690" s="38"/>
      <c r="AL690" s="38"/>
      <c r="AM690" s="38"/>
      <c r="AN690" s="38"/>
      <c r="AO690" s="40"/>
      <c r="AP690" s="41"/>
    </row>
    <row r="691">
      <c r="A691" s="38"/>
      <c r="B691" s="38"/>
      <c r="C691" s="38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8"/>
      <c r="AK691" s="38"/>
      <c r="AL691" s="38"/>
      <c r="AM691" s="38"/>
      <c r="AN691" s="38"/>
      <c r="AO691" s="40"/>
      <c r="AP691" s="41"/>
    </row>
    <row r="692">
      <c r="A692" s="38"/>
      <c r="B692" s="38"/>
      <c r="C692" s="38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8"/>
      <c r="AK692" s="38"/>
      <c r="AL692" s="38"/>
      <c r="AM692" s="38"/>
      <c r="AN692" s="38"/>
      <c r="AO692" s="40"/>
      <c r="AP692" s="41"/>
    </row>
    <row r="693">
      <c r="A693" s="38"/>
      <c r="B693" s="38"/>
      <c r="C693" s="38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8"/>
      <c r="AK693" s="38"/>
      <c r="AL693" s="38"/>
      <c r="AM693" s="38"/>
      <c r="AN693" s="38"/>
      <c r="AO693" s="40"/>
      <c r="AP693" s="41"/>
    </row>
    <row r="694">
      <c r="A694" s="38"/>
      <c r="B694" s="38"/>
      <c r="C694" s="38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8"/>
      <c r="AK694" s="38"/>
      <c r="AL694" s="38"/>
      <c r="AM694" s="38"/>
      <c r="AN694" s="38"/>
      <c r="AO694" s="40"/>
      <c r="AP694" s="41"/>
    </row>
    <row r="695">
      <c r="A695" s="38"/>
      <c r="B695" s="38"/>
      <c r="C695" s="38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8"/>
      <c r="AK695" s="38"/>
      <c r="AL695" s="38"/>
      <c r="AM695" s="38"/>
      <c r="AN695" s="38"/>
      <c r="AO695" s="40"/>
      <c r="AP695" s="41"/>
    </row>
    <row r="696">
      <c r="A696" s="38"/>
      <c r="B696" s="38"/>
      <c r="C696" s="38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8"/>
      <c r="AK696" s="38"/>
      <c r="AL696" s="38"/>
      <c r="AM696" s="38"/>
      <c r="AN696" s="38"/>
      <c r="AO696" s="40"/>
      <c r="AP696" s="41"/>
    </row>
    <row r="697">
      <c r="A697" s="38"/>
      <c r="B697" s="38"/>
      <c r="C697" s="38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8"/>
      <c r="AK697" s="38"/>
      <c r="AL697" s="38"/>
      <c r="AM697" s="38"/>
      <c r="AN697" s="38"/>
      <c r="AO697" s="40"/>
      <c r="AP697" s="41"/>
    </row>
    <row r="698">
      <c r="A698" s="38"/>
      <c r="B698" s="38"/>
      <c r="C698" s="38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8"/>
      <c r="AK698" s="38"/>
      <c r="AL698" s="38"/>
      <c r="AM698" s="38"/>
      <c r="AN698" s="38"/>
      <c r="AO698" s="40"/>
      <c r="AP698" s="41"/>
    </row>
    <row r="699">
      <c r="A699" s="38"/>
      <c r="B699" s="38"/>
      <c r="C699" s="38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8"/>
      <c r="AK699" s="38"/>
      <c r="AL699" s="38"/>
      <c r="AM699" s="38"/>
      <c r="AN699" s="38"/>
      <c r="AO699" s="40"/>
      <c r="AP699" s="41"/>
    </row>
    <row r="700">
      <c r="A700" s="38"/>
      <c r="B700" s="38"/>
      <c r="C700" s="38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8"/>
      <c r="AK700" s="38"/>
      <c r="AL700" s="38"/>
      <c r="AM700" s="38"/>
      <c r="AN700" s="38"/>
      <c r="AO700" s="40"/>
      <c r="AP700" s="41"/>
    </row>
    <row r="701">
      <c r="A701" s="38"/>
      <c r="B701" s="38"/>
      <c r="C701" s="38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8"/>
      <c r="AK701" s="38"/>
      <c r="AL701" s="38"/>
      <c r="AM701" s="38"/>
      <c r="AN701" s="38"/>
      <c r="AO701" s="40"/>
      <c r="AP701" s="41"/>
    </row>
    <row r="702">
      <c r="A702" s="38"/>
      <c r="B702" s="38"/>
      <c r="C702" s="38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8"/>
      <c r="AK702" s="38"/>
      <c r="AL702" s="38"/>
      <c r="AM702" s="38"/>
      <c r="AN702" s="38"/>
      <c r="AO702" s="40"/>
      <c r="AP702" s="41"/>
    </row>
    <row r="703">
      <c r="A703" s="38"/>
      <c r="B703" s="38"/>
      <c r="C703" s="38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8"/>
      <c r="AK703" s="38"/>
      <c r="AL703" s="38"/>
      <c r="AM703" s="38"/>
      <c r="AN703" s="38"/>
      <c r="AO703" s="40"/>
      <c r="AP703" s="41"/>
    </row>
    <row r="704">
      <c r="A704" s="38"/>
      <c r="B704" s="38"/>
      <c r="C704" s="38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8"/>
      <c r="AK704" s="38"/>
      <c r="AL704" s="38"/>
      <c r="AM704" s="38"/>
      <c r="AN704" s="38"/>
      <c r="AO704" s="40"/>
      <c r="AP704" s="41"/>
    </row>
    <row r="705">
      <c r="A705" s="38"/>
      <c r="B705" s="38"/>
      <c r="C705" s="38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8"/>
      <c r="AK705" s="38"/>
      <c r="AL705" s="38"/>
      <c r="AM705" s="38"/>
      <c r="AN705" s="38"/>
      <c r="AO705" s="40"/>
      <c r="AP705" s="41"/>
    </row>
    <row r="706">
      <c r="A706" s="38"/>
      <c r="B706" s="38"/>
      <c r="C706" s="38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8"/>
      <c r="AK706" s="38"/>
      <c r="AL706" s="38"/>
      <c r="AM706" s="38"/>
      <c r="AN706" s="38"/>
      <c r="AO706" s="40"/>
      <c r="AP706" s="41"/>
    </row>
    <row r="707">
      <c r="A707" s="38"/>
      <c r="B707" s="38"/>
      <c r="C707" s="38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8"/>
      <c r="AK707" s="38"/>
      <c r="AL707" s="38"/>
      <c r="AM707" s="38"/>
      <c r="AN707" s="38"/>
      <c r="AO707" s="40"/>
      <c r="AP707" s="41"/>
    </row>
    <row r="708">
      <c r="A708" s="38"/>
      <c r="B708" s="38"/>
      <c r="C708" s="38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8"/>
      <c r="AK708" s="38"/>
      <c r="AL708" s="38"/>
      <c r="AM708" s="38"/>
      <c r="AN708" s="38"/>
      <c r="AO708" s="40"/>
      <c r="AP708" s="41"/>
    </row>
    <row r="709">
      <c r="A709" s="38"/>
      <c r="B709" s="38"/>
      <c r="C709" s="38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8"/>
      <c r="AK709" s="38"/>
      <c r="AL709" s="38"/>
      <c r="AM709" s="38"/>
      <c r="AN709" s="38"/>
      <c r="AO709" s="40"/>
      <c r="AP709" s="41"/>
    </row>
    <row r="710">
      <c r="A710" s="38"/>
      <c r="B710" s="38"/>
      <c r="C710" s="38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8"/>
      <c r="AK710" s="38"/>
      <c r="AL710" s="38"/>
      <c r="AM710" s="38"/>
      <c r="AN710" s="38"/>
      <c r="AO710" s="40"/>
      <c r="AP710" s="41"/>
    </row>
    <row r="711">
      <c r="A711" s="38"/>
      <c r="B711" s="38"/>
      <c r="C711" s="38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8"/>
      <c r="AK711" s="38"/>
      <c r="AL711" s="38"/>
      <c r="AM711" s="38"/>
      <c r="AN711" s="38"/>
      <c r="AO711" s="40"/>
      <c r="AP711" s="41"/>
    </row>
    <row r="712">
      <c r="A712" s="38"/>
      <c r="B712" s="38"/>
      <c r="C712" s="38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8"/>
      <c r="AK712" s="38"/>
      <c r="AL712" s="38"/>
      <c r="AM712" s="38"/>
      <c r="AN712" s="38"/>
      <c r="AO712" s="40"/>
      <c r="AP712" s="41"/>
    </row>
    <row r="713">
      <c r="A713" s="38"/>
      <c r="B713" s="38"/>
      <c r="C713" s="38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8"/>
      <c r="AK713" s="38"/>
      <c r="AL713" s="38"/>
      <c r="AM713" s="38"/>
      <c r="AN713" s="38"/>
      <c r="AO713" s="40"/>
      <c r="AP713" s="41"/>
    </row>
    <row r="714">
      <c r="A714" s="38"/>
      <c r="B714" s="38"/>
      <c r="C714" s="38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8"/>
      <c r="AK714" s="38"/>
      <c r="AL714" s="38"/>
      <c r="AM714" s="38"/>
      <c r="AN714" s="38"/>
      <c r="AO714" s="40"/>
      <c r="AP714" s="41"/>
    </row>
    <row r="715">
      <c r="A715" s="38"/>
      <c r="B715" s="38"/>
      <c r="C715" s="38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8"/>
      <c r="AK715" s="38"/>
      <c r="AL715" s="38"/>
      <c r="AM715" s="38"/>
      <c r="AN715" s="38"/>
      <c r="AO715" s="40"/>
      <c r="AP715" s="41"/>
    </row>
    <row r="716">
      <c r="A716" s="38"/>
      <c r="B716" s="38"/>
      <c r="C716" s="38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8"/>
      <c r="AK716" s="38"/>
      <c r="AL716" s="38"/>
      <c r="AM716" s="38"/>
      <c r="AN716" s="38"/>
      <c r="AO716" s="40"/>
      <c r="AP716" s="41"/>
    </row>
    <row r="717">
      <c r="A717" s="38"/>
      <c r="B717" s="38"/>
      <c r="C717" s="38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8"/>
      <c r="AK717" s="38"/>
      <c r="AL717" s="38"/>
      <c r="AM717" s="38"/>
      <c r="AN717" s="38"/>
      <c r="AO717" s="40"/>
      <c r="AP717" s="41"/>
    </row>
    <row r="718">
      <c r="A718" s="38"/>
      <c r="B718" s="38"/>
      <c r="C718" s="38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8"/>
      <c r="AK718" s="38"/>
      <c r="AL718" s="38"/>
      <c r="AM718" s="38"/>
      <c r="AN718" s="38"/>
      <c r="AO718" s="40"/>
      <c r="AP718" s="41"/>
    </row>
    <row r="719">
      <c r="A719" s="38"/>
      <c r="B719" s="38"/>
      <c r="C719" s="38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8"/>
      <c r="AK719" s="38"/>
      <c r="AL719" s="38"/>
      <c r="AM719" s="38"/>
      <c r="AN719" s="38"/>
      <c r="AO719" s="40"/>
      <c r="AP719" s="41"/>
    </row>
    <row r="720">
      <c r="A720" s="38"/>
      <c r="B720" s="38"/>
      <c r="C720" s="38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8"/>
      <c r="AK720" s="38"/>
      <c r="AL720" s="38"/>
      <c r="AM720" s="38"/>
      <c r="AN720" s="38"/>
      <c r="AO720" s="40"/>
      <c r="AP720" s="41"/>
    </row>
    <row r="721">
      <c r="A721" s="38"/>
      <c r="B721" s="38"/>
      <c r="C721" s="38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8"/>
      <c r="AK721" s="38"/>
      <c r="AL721" s="38"/>
      <c r="AM721" s="38"/>
      <c r="AN721" s="38"/>
      <c r="AO721" s="40"/>
      <c r="AP721" s="41"/>
    </row>
    <row r="722">
      <c r="A722" s="38"/>
      <c r="B722" s="38"/>
      <c r="C722" s="38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8"/>
      <c r="AK722" s="38"/>
      <c r="AL722" s="38"/>
      <c r="AM722" s="38"/>
      <c r="AN722" s="38"/>
      <c r="AO722" s="40"/>
      <c r="AP722" s="41"/>
    </row>
    <row r="723">
      <c r="A723" s="38"/>
      <c r="B723" s="38"/>
      <c r="C723" s="38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8"/>
      <c r="AK723" s="38"/>
      <c r="AL723" s="38"/>
      <c r="AM723" s="38"/>
      <c r="AN723" s="38"/>
      <c r="AO723" s="40"/>
      <c r="AP723" s="41"/>
    </row>
    <row r="724">
      <c r="A724" s="38"/>
      <c r="B724" s="38"/>
      <c r="C724" s="38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8"/>
      <c r="AK724" s="38"/>
      <c r="AL724" s="38"/>
      <c r="AM724" s="38"/>
      <c r="AN724" s="38"/>
      <c r="AO724" s="40"/>
      <c r="AP724" s="41"/>
    </row>
    <row r="725">
      <c r="A725" s="38"/>
      <c r="B725" s="38"/>
      <c r="C725" s="38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8"/>
      <c r="AK725" s="38"/>
      <c r="AL725" s="38"/>
      <c r="AM725" s="38"/>
      <c r="AN725" s="38"/>
      <c r="AO725" s="40"/>
      <c r="AP725" s="41"/>
    </row>
    <row r="726">
      <c r="A726" s="38"/>
      <c r="B726" s="38"/>
      <c r="C726" s="38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8"/>
      <c r="AK726" s="38"/>
      <c r="AL726" s="38"/>
      <c r="AM726" s="38"/>
      <c r="AN726" s="38"/>
      <c r="AO726" s="40"/>
      <c r="AP726" s="41"/>
    </row>
    <row r="727">
      <c r="A727" s="38"/>
      <c r="B727" s="38"/>
      <c r="C727" s="38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8"/>
      <c r="AK727" s="38"/>
      <c r="AL727" s="38"/>
      <c r="AM727" s="38"/>
      <c r="AN727" s="38"/>
      <c r="AO727" s="40"/>
      <c r="AP727" s="41"/>
    </row>
    <row r="728">
      <c r="A728" s="38"/>
      <c r="B728" s="38"/>
      <c r="C728" s="38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8"/>
      <c r="AK728" s="38"/>
      <c r="AL728" s="38"/>
      <c r="AM728" s="38"/>
      <c r="AN728" s="38"/>
      <c r="AO728" s="40"/>
      <c r="AP728" s="41"/>
    </row>
    <row r="729">
      <c r="A729" s="38"/>
      <c r="B729" s="38"/>
      <c r="C729" s="38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8"/>
      <c r="AK729" s="38"/>
      <c r="AL729" s="38"/>
      <c r="AM729" s="38"/>
      <c r="AN729" s="38"/>
      <c r="AO729" s="40"/>
      <c r="AP729" s="41"/>
    </row>
    <row r="730">
      <c r="A730" s="38"/>
      <c r="B730" s="38"/>
      <c r="C730" s="38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8"/>
      <c r="AK730" s="38"/>
      <c r="AL730" s="38"/>
      <c r="AM730" s="38"/>
      <c r="AN730" s="38"/>
      <c r="AO730" s="40"/>
      <c r="AP730" s="41"/>
    </row>
    <row r="731">
      <c r="A731" s="38"/>
      <c r="B731" s="38"/>
      <c r="C731" s="38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8"/>
      <c r="AK731" s="38"/>
      <c r="AL731" s="38"/>
      <c r="AM731" s="38"/>
      <c r="AN731" s="38"/>
      <c r="AO731" s="40"/>
      <c r="AP731" s="41"/>
    </row>
    <row r="732">
      <c r="A732" s="38"/>
      <c r="B732" s="38"/>
      <c r="C732" s="38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8"/>
      <c r="AK732" s="38"/>
      <c r="AL732" s="38"/>
      <c r="AM732" s="38"/>
      <c r="AN732" s="38"/>
      <c r="AO732" s="40"/>
      <c r="AP732" s="41"/>
    </row>
    <row r="733">
      <c r="A733" s="38"/>
      <c r="B733" s="38"/>
      <c r="C733" s="38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8"/>
      <c r="AK733" s="38"/>
      <c r="AL733" s="38"/>
      <c r="AM733" s="38"/>
      <c r="AN733" s="38"/>
      <c r="AO733" s="40"/>
      <c r="AP733" s="41"/>
    </row>
    <row r="734">
      <c r="A734" s="38"/>
      <c r="B734" s="38"/>
      <c r="C734" s="38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8"/>
      <c r="AK734" s="38"/>
      <c r="AL734" s="38"/>
      <c r="AM734" s="38"/>
      <c r="AN734" s="38"/>
      <c r="AO734" s="40"/>
      <c r="AP734" s="41"/>
    </row>
    <row r="735">
      <c r="A735" s="38"/>
      <c r="B735" s="38"/>
      <c r="C735" s="38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8"/>
      <c r="AK735" s="38"/>
      <c r="AL735" s="38"/>
      <c r="AM735" s="38"/>
      <c r="AN735" s="38"/>
      <c r="AO735" s="40"/>
      <c r="AP735" s="41"/>
    </row>
    <row r="736">
      <c r="A736" s="38"/>
      <c r="B736" s="38"/>
      <c r="C736" s="38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8"/>
      <c r="AK736" s="38"/>
      <c r="AL736" s="38"/>
      <c r="AM736" s="38"/>
      <c r="AN736" s="38"/>
      <c r="AO736" s="40"/>
      <c r="AP736" s="41"/>
    </row>
    <row r="737">
      <c r="A737" s="38"/>
      <c r="B737" s="38"/>
      <c r="C737" s="38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8"/>
      <c r="AK737" s="38"/>
      <c r="AL737" s="38"/>
      <c r="AM737" s="38"/>
      <c r="AN737" s="38"/>
      <c r="AO737" s="40"/>
      <c r="AP737" s="41"/>
    </row>
    <row r="738">
      <c r="A738" s="38"/>
      <c r="B738" s="38"/>
      <c r="C738" s="38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8"/>
      <c r="AK738" s="38"/>
      <c r="AL738" s="38"/>
      <c r="AM738" s="38"/>
      <c r="AN738" s="38"/>
      <c r="AO738" s="40"/>
      <c r="AP738" s="41"/>
    </row>
    <row r="739">
      <c r="A739" s="38"/>
      <c r="B739" s="38"/>
      <c r="C739" s="38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8"/>
      <c r="AK739" s="38"/>
      <c r="AL739" s="38"/>
      <c r="AM739" s="38"/>
      <c r="AN739" s="38"/>
      <c r="AO739" s="40"/>
      <c r="AP739" s="41"/>
    </row>
    <row r="740">
      <c r="A740" s="38"/>
      <c r="B740" s="38"/>
      <c r="C740" s="38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8"/>
      <c r="AK740" s="38"/>
      <c r="AL740" s="38"/>
      <c r="AM740" s="38"/>
      <c r="AN740" s="38"/>
      <c r="AO740" s="40"/>
      <c r="AP740" s="41"/>
    </row>
    <row r="741">
      <c r="A741" s="38"/>
      <c r="B741" s="38"/>
      <c r="C741" s="38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8"/>
      <c r="AK741" s="38"/>
      <c r="AL741" s="38"/>
      <c r="AM741" s="38"/>
      <c r="AN741" s="38"/>
      <c r="AO741" s="40"/>
      <c r="AP741" s="41"/>
    </row>
    <row r="742">
      <c r="A742" s="38"/>
      <c r="B742" s="38"/>
      <c r="C742" s="38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8"/>
      <c r="AK742" s="38"/>
      <c r="AL742" s="38"/>
      <c r="AM742" s="38"/>
      <c r="AN742" s="38"/>
      <c r="AO742" s="40"/>
      <c r="AP742" s="41"/>
    </row>
    <row r="743">
      <c r="A743" s="38"/>
      <c r="B743" s="38"/>
      <c r="C743" s="38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8"/>
      <c r="AK743" s="38"/>
      <c r="AL743" s="38"/>
      <c r="AM743" s="38"/>
      <c r="AN743" s="38"/>
      <c r="AO743" s="40"/>
      <c r="AP743" s="41"/>
    </row>
    <row r="744">
      <c r="A744" s="38"/>
      <c r="B744" s="38"/>
      <c r="C744" s="38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8"/>
      <c r="AK744" s="38"/>
      <c r="AL744" s="38"/>
      <c r="AM744" s="38"/>
      <c r="AN744" s="38"/>
      <c r="AO744" s="40"/>
      <c r="AP744" s="41"/>
    </row>
    <row r="745">
      <c r="A745" s="38"/>
      <c r="B745" s="38"/>
      <c r="C745" s="38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8"/>
      <c r="AK745" s="38"/>
      <c r="AL745" s="38"/>
      <c r="AM745" s="38"/>
      <c r="AN745" s="38"/>
      <c r="AO745" s="40"/>
      <c r="AP745" s="41"/>
    </row>
    <row r="746">
      <c r="A746" s="38"/>
      <c r="B746" s="38"/>
      <c r="C746" s="38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8"/>
      <c r="AK746" s="38"/>
      <c r="AL746" s="38"/>
      <c r="AM746" s="38"/>
      <c r="AN746" s="38"/>
      <c r="AO746" s="40"/>
      <c r="AP746" s="41"/>
    </row>
    <row r="747">
      <c r="A747" s="38"/>
      <c r="B747" s="38"/>
      <c r="C747" s="38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8"/>
      <c r="AK747" s="38"/>
      <c r="AL747" s="38"/>
      <c r="AM747" s="38"/>
      <c r="AN747" s="38"/>
      <c r="AO747" s="40"/>
      <c r="AP747" s="41"/>
    </row>
    <row r="748">
      <c r="A748" s="38"/>
      <c r="B748" s="38"/>
      <c r="C748" s="38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8"/>
      <c r="AK748" s="38"/>
      <c r="AL748" s="38"/>
      <c r="AM748" s="38"/>
      <c r="AN748" s="38"/>
      <c r="AO748" s="40"/>
      <c r="AP748" s="41"/>
    </row>
    <row r="749">
      <c r="A749" s="38"/>
      <c r="B749" s="38"/>
      <c r="C749" s="38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8"/>
      <c r="AK749" s="38"/>
      <c r="AL749" s="38"/>
      <c r="AM749" s="38"/>
      <c r="AN749" s="38"/>
      <c r="AO749" s="40"/>
      <c r="AP749" s="41"/>
    </row>
    <row r="750">
      <c r="A750" s="38"/>
      <c r="B750" s="38"/>
      <c r="C750" s="38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8"/>
      <c r="AK750" s="38"/>
      <c r="AL750" s="38"/>
      <c r="AM750" s="38"/>
      <c r="AN750" s="38"/>
      <c r="AO750" s="40"/>
      <c r="AP750" s="41"/>
    </row>
    <row r="751">
      <c r="A751" s="38"/>
      <c r="B751" s="38"/>
      <c r="C751" s="38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8"/>
      <c r="AK751" s="38"/>
      <c r="AL751" s="38"/>
      <c r="AM751" s="38"/>
      <c r="AN751" s="38"/>
      <c r="AO751" s="40"/>
      <c r="AP751" s="41"/>
    </row>
    <row r="752">
      <c r="A752" s="38"/>
      <c r="B752" s="38"/>
      <c r="C752" s="38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8"/>
      <c r="AK752" s="38"/>
      <c r="AL752" s="38"/>
      <c r="AM752" s="38"/>
      <c r="AN752" s="38"/>
      <c r="AO752" s="40"/>
      <c r="AP752" s="41"/>
    </row>
    <row r="753">
      <c r="A753" s="38"/>
      <c r="B753" s="38"/>
      <c r="C753" s="38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8"/>
      <c r="AK753" s="38"/>
      <c r="AL753" s="38"/>
      <c r="AM753" s="38"/>
      <c r="AN753" s="38"/>
      <c r="AO753" s="40"/>
      <c r="AP753" s="41"/>
    </row>
    <row r="754">
      <c r="A754" s="38"/>
      <c r="B754" s="38"/>
      <c r="C754" s="38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8"/>
      <c r="AK754" s="38"/>
      <c r="AL754" s="38"/>
      <c r="AM754" s="38"/>
      <c r="AN754" s="38"/>
      <c r="AO754" s="40"/>
      <c r="AP754" s="41"/>
    </row>
    <row r="755">
      <c r="A755" s="38"/>
      <c r="B755" s="38"/>
      <c r="C755" s="38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8"/>
      <c r="AK755" s="38"/>
      <c r="AL755" s="38"/>
      <c r="AM755" s="38"/>
      <c r="AN755" s="38"/>
      <c r="AO755" s="40"/>
      <c r="AP755" s="41"/>
    </row>
    <row r="756">
      <c r="A756" s="38"/>
      <c r="B756" s="38"/>
      <c r="C756" s="38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8"/>
      <c r="AK756" s="38"/>
      <c r="AL756" s="38"/>
      <c r="AM756" s="38"/>
      <c r="AN756" s="38"/>
      <c r="AO756" s="40"/>
      <c r="AP756" s="41"/>
    </row>
    <row r="757">
      <c r="A757" s="38"/>
      <c r="B757" s="38"/>
      <c r="C757" s="38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8"/>
      <c r="AK757" s="38"/>
      <c r="AL757" s="38"/>
      <c r="AM757" s="38"/>
      <c r="AN757" s="38"/>
      <c r="AO757" s="40"/>
      <c r="AP757" s="41"/>
    </row>
    <row r="758">
      <c r="A758" s="38"/>
      <c r="B758" s="38"/>
      <c r="C758" s="38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8"/>
      <c r="AK758" s="38"/>
      <c r="AL758" s="38"/>
      <c r="AM758" s="38"/>
      <c r="AN758" s="38"/>
      <c r="AO758" s="40"/>
      <c r="AP758" s="41"/>
    </row>
    <row r="759">
      <c r="A759" s="38"/>
      <c r="B759" s="38"/>
      <c r="C759" s="38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8"/>
      <c r="AK759" s="38"/>
      <c r="AL759" s="38"/>
      <c r="AM759" s="38"/>
      <c r="AN759" s="38"/>
      <c r="AO759" s="40"/>
      <c r="AP759" s="41"/>
    </row>
    <row r="760">
      <c r="A760" s="38"/>
      <c r="B760" s="38"/>
      <c r="C760" s="38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8"/>
      <c r="AK760" s="38"/>
      <c r="AL760" s="38"/>
      <c r="AM760" s="38"/>
      <c r="AN760" s="38"/>
      <c r="AO760" s="40"/>
      <c r="AP760" s="41"/>
    </row>
    <row r="761">
      <c r="A761" s="38"/>
      <c r="B761" s="38"/>
      <c r="C761" s="38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8"/>
      <c r="AK761" s="38"/>
      <c r="AL761" s="38"/>
      <c r="AM761" s="38"/>
      <c r="AN761" s="38"/>
      <c r="AO761" s="40"/>
      <c r="AP761" s="41"/>
    </row>
    <row r="762">
      <c r="A762" s="38"/>
      <c r="B762" s="38"/>
      <c r="C762" s="38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8"/>
      <c r="AK762" s="38"/>
      <c r="AL762" s="38"/>
      <c r="AM762" s="38"/>
      <c r="AN762" s="38"/>
      <c r="AO762" s="40"/>
      <c r="AP762" s="41"/>
    </row>
    <row r="763">
      <c r="A763" s="38"/>
      <c r="B763" s="38"/>
      <c r="C763" s="38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8"/>
      <c r="AK763" s="38"/>
      <c r="AL763" s="38"/>
      <c r="AM763" s="38"/>
      <c r="AN763" s="38"/>
      <c r="AO763" s="40"/>
      <c r="AP763" s="41"/>
    </row>
    <row r="764">
      <c r="A764" s="38"/>
      <c r="B764" s="38"/>
      <c r="C764" s="38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8"/>
      <c r="AK764" s="38"/>
      <c r="AL764" s="38"/>
      <c r="AM764" s="38"/>
      <c r="AN764" s="38"/>
      <c r="AO764" s="40"/>
      <c r="AP764" s="41"/>
    </row>
    <row r="765">
      <c r="A765" s="38"/>
      <c r="B765" s="38"/>
      <c r="C765" s="38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8"/>
      <c r="AK765" s="38"/>
      <c r="AL765" s="38"/>
      <c r="AM765" s="38"/>
      <c r="AN765" s="38"/>
      <c r="AO765" s="40"/>
      <c r="AP765" s="41"/>
    </row>
    <row r="766">
      <c r="A766" s="38"/>
      <c r="B766" s="38"/>
      <c r="C766" s="38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8"/>
      <c r="AK766" s="38"/>
      <c r="AL766" s="38"/>
      <c r="AM766" s="38"/>
      <c r="AN766" s="38"/>
      <c r="AO766" s="40"/>
      <c r="AP766" s="41"/>
    </row>
    <row r="767">
      <c r="A767" s="38"/>
      <c r="B767" s="38"/>
      <c r="C767" s="38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8"/>
      <c r="AK767" s="38"/>
      <c r="AL767" s="38"/>
      <c r="AM767" s="38"/>
      <c r="AN767" s="38"/>
      <c r="AO767" s="40"/>
      <c r="AP767" s="41"/>
    </row>
    <row r="768">
      <c r="A768" s="38"/>
      <c r="B768" s="38"/>
      <c r="C768" s="38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8"/>
      <c r="AK768" s="38"/>
      <c r="AL768" s="38"/>
      <c r="AM768" s="38"/>
      <c r="AN768" s="38"/>
      <c r="AO768" s="40"/>
      <c r="AP768" s="41"/>
    </row>
    <row r="769">
      <c r="A769" s="38"/>
      <c r="B769" s="38"/>
      <c r="C769" s="38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8"/>
      <c r="AK769" s="38"/>
      <c r="AL769" s="38"/>
      <c r="AM769" s="38"/>
      <c r="AN769" s="38"/>
      <c r="AO769" s="40"/>
      <c r="AP769" s="41"/>
    </row>
    <row r="770">
      <c r="A770" s="38"/>
      <c r="B770" s="38"/>
      <c r="C770" s="38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8"/>
      <c r="AK770" s="38"/>
      <c r="AL770" s="38"/>
      <c r="AM770" s="38"/>
      <c r="AN770" s="38"/>
      <c r="AO770" s="40"/>
      <c r="AP770" s="41"/>
    </row>
    <row r="771">
      <c r="A771" s="38"/>
      <c r="B771" s="38"/>
      <c r="C771" s="38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8"/>
      <c r="AK771" s="38"/>
      <c r="AL771" s="38"/>
      <c r="AM771" s="38"/>
      <c r="AN771" s="38"/>
      <c r="AO771" s="40"/>
      <c r="AP771" s="41"/>
    </row>
    <row r="772">
      <c r="A772" s="38"/>
      <c r="B772" s="38"/>
      <c r="C772" s="38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8"/>
      <c r="AK772" s="38"/>
      <c r="AL772" s="38"/>
      <c r="AM772" s="38"/>
      <c r="AN772" s="38"/>
      <c r="AO772" s="40"/>
      <c r="AP772" s="41"/>
    </row>
    <row r="773">
      <c r="A773" s="38"/>
      <c r="B773" s="38"/>
      <c r="C773" s="38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8"/>
      <c r="AK773" s="38"/>
      <c r="AL773" s="38"/>
      <c r="AM773" s="38"/>
      <c r="AN773" s="38"/>
      <c r="AO773" s="40"/>
      <c r="AP773" s="41"/>
    </row>
    <row r="774">
      <c r="A774" s="38"/>
      <c r="B774" s="38"/>
      <c r="C774" s="38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8"/>
      <c r="AK774" s="38"/>
      <c r="AL774" s="38"/>
      <c r="AM774" s="38"/>
      <c r="AN774" s="38"/>
      <c r="AO774" s="40"/>
      <c r="AP774" s="41"/>
    </row>
    <row r="775">
      <c r="A775" s="38"/>
      <c r="B775" s="38"/>
      <c r="C775" s="38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8"/>
      <c r="AK775" s="38"/>
      <c r="AL775" s="38"/>
      <c r="AM775" s="38"/>
      <c r="AN775" s="38"/>
      <c r="AO775" s="40"/>
      <c r="AP775" s="41"/>
    </row>
    <row r="776">
      <c r="A776" s="38"/>
      <c r="B776" s="38"/>
      <c r="C776" s="38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8"/>
      <c r="AK776" s="38"/>
      <c r="AL776" s="38"/>
      <c r="AM776" s="38"/>
      <c r="AN776" s="38"/>
      <c r="AO776" s="40"/>
      <c r="AP776" s="41"/>
    </row>
    <row r="777">
      <c r="A777" s="38"/>
      <c r="B777" s="38"/>
      <c r="C777" s="38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8"/>
      <c r="AK777" s="38"/>
      <c r="AL777" s="38"/>
      <c r="AM777" s="38"/>
      <c r="AN777" s="38"/>
      <c r="AO777" s="40"/>
      <c r="AP777" s="41"/>
    </row>
    <row r="778">
      <c r="A778" s="38"/>
      <c r="B778" s="38"/>
      <c r="C778" s="38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8"/>
      <c r="AK778" s="38"/>
      <c r="AL778" s="38"/>
      <c r="AM778" s="38"/>
      <c r="AN778" s="38"/>
      <c r="AO778" s="40"/>
      <c r="AP778" s="41"/>
    </row>
    <row r="779">
      <c r="A779" s="38"/>
      <c r="B779" s="38"/>
      <c r="C779" s="38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8"/>
      <c r="AK779" s="38"/>
      <c r="AL779" s="38"/>
      <c r="AM779" s="38"/>
      <c r="AN779" s="38"/>
      <c r="AO779" s="40"/>
      <c r="AP779" s="41"/>
    </row>
    <row r="780">
      <c r="A780" s="38"/>
      <c r="B780" s="38"/>
      <c r="C780" s="38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8"/>
      <c r="AK780" s="38"/>
      <c r="AL780" s="38"/>
      <c r="AM780" s="38"/>
      <c r="AN780" s="38"/>
      <c r="AO780" s="40"/>
      <c r="AP780" s="41"/>
    </row>
    <row r="781">
      <c r="A781" s="38"/>
      <c r="B781" s="38"/>
      <c r="C781" s="38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8"/>
      <c r="AK781" s="38"/>
      <c r="AL781" s="38"/>
      <c r="AM781" s="38"/>
      <c r="AN781" s="38"/>
      <c r="AO781" s="40"/>
      <c r="AP781" s="41"/>
    </row>
    <row r="782">
      <c r="A782" s="38"/>
      <c r="B782" s="38"/>
      <c r="C782" s="38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8"/>
      <c r="AK782" s="38"/>
      <c r="AL782" s="38"/>
      <c r="AM782" s="38"/>
      <c r="AN782" s="38"/>
      <c r="AO782" s="40"/>
      <c r="AP782" s="41"/>
    </row>
    <row r="783">
      <c r="A783" s="38"/>
      <c r="B783" s="38"/>
      <c r="C783" s="38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8"/>
      <c r="AK783" s="38"/>
      <c r="AL783" s="38"/>
      <c r="AM783" s="38"/>
      <c r="AN783" s="38"/>
      <c r="AO783" s="40"/>
      <c r="AP783" s="41"/>
    </row>
    <row r="784">
      <c r="A784" s="38"/>
      <c r="B784" s="38"/>
      <c r="C784" s="38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8"/>
      <c r="AK784" s="38"/>
      <c r="AL784" s="38"/>
      <c r="AM784" s="38"/>
      <c r="AN784" s="38"/>
      <c r="AO784" s="40"/>
      <c r="AP784" s="41"/>
    </row>
    <row r="785">
      <c r="A785" s="38"/>
      <c r="B785" s="38"/>
      <c r="C785" s="38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8"/>
      <c r="AK785" s="38"/>
      <c r="AL785" s="38"/>
      <c r="AM785" s="38"/>
      <c r="AN785" s="38"/>
      <c r="AO785" s="40"/>
      <c r="AP785" s="41"/>
    </row>
    <row r="786">
      <c r="A786" s="38"/>
      <c r="B786" s="38"/>
      <c r="C786" s="38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8"/>
      <c r="AK786" s="38"/>
      <c r="AL786" s="38"/>
      <c r="AM786" s="38"/>
      <c r="AN786" s="38"/>
      <c r="AO786" s="40"/>
      <c r="AP786" s="41"/>
    </row>
    <row r="787">
      <c r="A787" s="38"/>
      <c r="B787" s="38"/>
      <c r="C787" s="38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8"/>
      <c r="AK787" s="38"/>
      <c r="AL787" s="38"/>
      <c r="AM787" s="38"/>
      <c r="AN787" s="38"/>
      <c r="AO787" s="40"/>
      <c r="AP787" s="41"/>
    </row>
    <row r="788">
      <c r="A788" s="38"/>
      <c r="B788" s="38"/>
      <c r="C788" s="38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8"/>
      <c r="AK788" s="38"/>
      <c r="AL788" s="38"/>
      <c r="AM788" s="38"/>
      <c r="AN788" s="38"/>
      <c r="AO788" s="40"/>
      <c r="AP788" s="41"/>
    </row>
    <row r="789">
      <c r="A789" s="38"/>
      <c r="B789" s="38"/>
      <c r="C789" s="38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8"/>
      <c r="AK789" s="38"/>
      <c r="AL789" s="38"/>
      <c r="AM789" s="38"/>
      <c r="AN789" s="38"/>
      <c r="AO789" s="40"/>
      <c r="AP789" s="41"/>
    </row>
    <row r="790">
      <c r="A790" s="38"/>
      <c r="B790" s="38"/>
      <c r="C790" s="38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8"/>
      <c r="AK790" s="38"/>
      <c r="AL790" s="38"/>
      <c r="AM790" s="38"/>
      <c r="AN790" s="38"/>
      <c r="AO790" s="40"/>
      <c r="AP790" s="41"/>
    </row>
    <row r="791">
      <c r="A791" s="38"/>
      <c r="B791" s="38"/>
      <c r="C791" s="38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8"/>
      <c r="AK791" s="38"/>
      <c r="AL791" s="38"/>
      <c r="AM791" s="38"/>
      <c r="AN791" s="38"/>
      <c r="AO791" s="40"/>
      <c r="AP791" s="41"/>
    </row>
    <row r="792">
      <c r="A792" s="38"/>
      <c r="B792" s="38"/>
      <c r="C792" s="38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8"/>
      <c r="AK792" s="38"/>
      <c r="AL792" s="38"/>
      <c r="AM792" s="38"/>
      <c r="AN792" s="38"/>
      <c r="AO792" s="40"/>
      <c r="AP792" s="41"/>
    </row>
    <row r="793">
      <c r="A793" s="38"/>
      <c r="B793" s="38"/>
      <c r="C793" s="38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8"/>
      <c r="AK793" s="38"/>
      <c r="AL793" s="38"/>
      <c r="AM793" s="38"/>
      <c r="AN793" s="38"/>
      <c r="AO793" s="40"/>
      <c r="AP793" s="41"/>
    </row>
    <row r="794">
      <c r="A794" s="38"/>
      <c r="B794" s="38"/>
      <c r="C794" s="38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8"/>
      <c r="AK794" s="38"/>
      <c r="AL794" s="38"/>
      <c r="AM794" s="38"/>
      <c r="AN794" s="38"/>
      <c r="AO794" s="40"/>
      <c r="AP794" s="41"/>
    </row>
    <row r="795">
      <c r="A795" s="38"/>
      <c r="B795" s="38"/>
      <c r="C795" s="38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8"/>
      <c r="AK795" s="38"/>
      <c r="AL795" s="38"/>
      <c r="AM795" s="38"/>
      <c r="AN795" s="38"/>
      <c r="AO795" s="40"/>
      <c r="AP795" s="41"/>
    </row>
    <row r="796">
      <c r="A796" s="38"/>
      <c r="B796" s="38"/>
      <c r="C796" s="38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8"/>
      <c r="AK796" s="38"/>
      <c r="AL796" s="38"/>
      <c r="AM796" s="38"/>
      <c r="AN796" s="38"/>
      <c r="AO796" s="40"/>
      <c r="AP796" s="41"/>
    </row>
    <row r="797">
      <c r="A797" s="38"/>
      <c r="B797" s="38"/>
      <c r="C797" s="38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8"/>
      <c r="AK797" s="38"/>
      <c r="AL797" s="38"/>
      <c r="AM797" s="38"/>
      <c r="AN797" s="38"/>
      <c r="AO797" s="40"/>
      <c r="AP797" s="41"/>
    </row>
    <row r="798">
      <c r="A798" s="38"/>
      <c r="B798" s="38"/>
      <c r="C798" s="38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8"/>
      <c r="AK798" s="38"/>
      <c r="AL798" s="38"/>
      <c r="AM798" s="38"/>
      <c r="AN798" s="38"/>
      <c r="AO798" s="40"/>
      <c r="AP798" s="41"/>
    </row>
    <row r="799">
      <c r="A799" s="38"/>
      <c r="B799" s="38"/>
      <c r="C799" s="38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8"/>
      <c r="AK799" s="38"/>
      <c r="AL799" s="38"/>
      <c r="AM799" s="38"/>
      <c r="AN799" s="38"/>
      <c r="AO799" s="40"/>
      <c r="AP799" s="41"/>
    </row>
    <row r="800">
      <c r="A800" s="38"/>
      <c r="B800" s="38"/>
      <c r="C800" s="38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8"/>
      <c r="AK800" s="38"/>
      <c r="AL800" s="38"/>
      <c r="AM800" s="38"/>
      <c r="AN800" s="38"/>
      <c r="AO800" s="40"/>
      <c r="AP800" s="41"/>
    </row>
    <row r="801">
      <c r="A801" s="38"/>
      <c r="B801" s="38"/>
      <c r="C801" s="38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8"/>
      <c r="AK801" s="38"/>
      <c r="AL801" s="38"/>
      <c r="AM801" s="38"/>
      <c r="AN801" s="38"/>
      <c r="AO801" s="40"/>
      <c r="AP801" s="41"/>
    </row>
    <row r="802">
      <c r="A802" s="38"/>
      <c r="B802" s="38"/>
      <c r="C802" s="38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8"/>
      <c r="AK802" s="38"/>
      <c r="AL802" s="38"/>
      <c r="AM802" s="38"/>
      <c r="AN802" s="38"/>
      <c r="AO802" s="40"/>
      <c r="AP802" s="41"/>
    </row>
    <row r="803">
      <c r="A803" s="38"/>
      <c r="B803" s="38"/>
      <c r="C803" s="38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8"/>
      <c r="AK803" s="38"/>
      <c r="AL803" s="38"/>
      <c r="AM803" s="38"/>
      <c r="AN803" s="38"/>
      <c r="AO803" s="40"/>
      <c r="AP803" s="41"/>
    </row>
    <row r="804">
      <c r="A804" s="38"/>
      <c r="B804" s="38"/>
      <c r="C804" s="38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8"/>
      <c r="AK804" s="38"/>
      <c r="AL804" s="38"/>
      <c r="AM804" s="38"/>
      <c r="AN804" s="38"/>
      <c r="AO804" s="40"/>
      <c r="AP804" s="41"/>
    </row>
    <row r="805">
      <c r="A805" s="38"/>
      <c r="B805" s="38"/>
      <c r="C805" s="38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8"/>
      <c r="AK805" s="38"/>
      <c r="AL805" s="38"/>
      <c r="AM805" s="38"/>
      <c r="AN805" s="38"/>
      <c r="AO805" s="40"/>
      <c r="AP805" s="41"/>
    </row>
    <row r="806">
      <c r="A806" s="38"/>
      <c r="B806" s="38"/>
      <c r="C806" s="38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8"/>
      <c r="AK806" s="38"/>
      <c r="AL806" s="38"/>
      <c r="AM806" s="38"/>
      <c r="AN806" s="38"/>
      <c r="AO806" s="40"/>
      <c r="AP806" s="41"/>
    </row>
    <row r="807">
      <c r="A807" s="38"/>
      <c r="B807" s="38"/>
      <c r="C807" s="38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8"/>
      <c r="AK807" s="38"/>
      <c r="AL807" s="38"/>
      <c r="AM807" s="38"/>
      <c r="AN807" s="38"/>
      <c r="AO807" s="40"/>
      <c r="AP807" s="41"/>
    </row>
    <row r="808">
      <c r="A808" s="38"/>
      <c r="B808" s="38"/>
      <c r="C808" s="38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8"/>
      <c r="AK808" s="38"/>
      <c r="AL808" s="38"/>
      <c r="AM808" s="38"/>
      <c r="AN808" s="38"/>
      <c r="AO808" s="40"/>
      <c r="AP808" s="41"/>
    </row>
    <row r="809">
      <c r="A809" s="38"/>
      <c r="B809" s="38"/>
      <c r="C809" s="38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8"/>
      <c r="AK809" s="38"/>
      <c r="AL809" s="38"/>
      <c r="AM809" s="38"/>
      <c r="AN809" s="38"/>
      <c r="AO809" s="40"/>
      <c r="AP809" s="41"/>
    </row>
    <row r="810">
      <c r="A810" s="38"/>
      <c r="B810" s="38"/>
      <c r="C810" s="38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8"/>
      <c r="AK810" s="38"/>
      <c r="AL810" s="38"/>
      <c r="AM810" s="38"/>
      <c r="AN810" s="38"/>
      <c r="AO810" s="40"/>
      <c r="AP810" s="41"/>
    </row>
    <row r="811">
      <c r="A811" s="38"/>
      <c r="B811" s="38"/>
      <c r="C811" s="38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8"/>
      <c r="AK811" s="38"/>
      <c r="AL811" s="38"/>
      <c r="AM811" s="38"/>
      <c r="AN811" s="38"/>
      <c r="AO811" s="40"/>
      <c r="AP811" s="41"/>
    </row>
    <row r="812">
      <c r="A812" s="38"/>
      <c r="B812" s="38"/>
      <c r="C812" s="38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8"/>
      <c r="AK812" s="38"/>
      <c r="AL812" s="38"/>
      <c r="AM812" s="38"/>
      <c r="AN812" s="38"/>
      <c r="AO812" s="40"/>
      <c r="AP812" s="41"/>
    </row>
    <row r="813">
      <c r="A813" s="38"/>
      <c r="B813" s="38"/>
      <c r="C813" s="38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8"/>
      <c r="AK813" s="38"/>
      <c r="AL813" s="38"/>
      <c r="AM813" s="38"/>
      <c r="AN813" s="38"/>
      <c r="AO813" s="40"/>
      <c r="AP813" s="41"/>
    </row>
    <row r="814">
      <c r="A814" s="38"/>
      <c r="B814" s="38"/>
      <c r="C814" s="38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8"/>
      <c r="AK814" s="38"/>
      <c r="AL814" s="38"/>
      <c r="AM814" s="38"/>
      <c r="AN814" s="38"/>
      <c r="AO814" s="40"/>
      <c r="AP814" s="41"/>
    </row>
    <row r="815">
      <c r="A815" s="38"/>
      <c r="B815" s="38"/>
      <c r="C815" s="38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8"/>
      <c r="AK815" s="38"/>
      <c r="AL815" s="38"/>
      <c r="AM815" s="38"/>
      <c r="AN815" s="38"/>
      <c r="AO815" s="40"/>
      <c r="AP815" s="41"/>
    </row>
    <row r="816">
      <c r="A816" s="38"/>
      <c r="B816" s="38"/>
      <c r="C816" s="38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8"/>
      <c r="AK816" s="38"/>
      <c r="AL816" s="38"/>
      <c r="AM816" s="38"/>
      <c r="AN816" s="38"/>
      <c r="AO816" s="40"/>
      <c r="AP816" s="41"/>
    </row>
    <row r="817">
      <c r="A817" s="38"/>
      <c r="B817" s="38"/>
      <c r="C817" s="38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8"/>
      <c r="AK817" s="38"/>
      <c r="AL817" s="38"/>
      <c r="AM817" s="38"/>
      <c r="AN817" s="38"/>
      <c r="AO817" s="40"/>
      <c r="AP817" s="41"/>
    </row>
    <row r="818">
      <c r="A818" s="38"/>
      <c r="B818" s="38"/>
      <c r="C818" s="38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8"/>
      <c r="AK818" s="38"/>
      <c r="AL818" s="38"/>
      <c r="AM818" s="38"/>
      <c r="AN818" s="38"/>
      <c r="AO818" s="40"/>
      <c r="AP818" s="41"/>
    </row>
    <row r="819">
      <c r="A819" s="38"/>
      <c r="B819" s="38"/>
      <c r="C819" s="38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8"/>
      <c r="AK819" s="38"/>
      <c r="AL819" s="38"/>
      <c r="AM819" s="38"/>
      <c r="AN819" s="38"/>
      <c r="AO819" s="40"/>
      <c r="AP819" s="41"/>
    </row>
    <row r="820">
      <c r="A820" s="38"/>
      <c r="B820" s="38"/>
      <c r="C820" s="38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8"/>
      <c r="AK820" s="38"/>
      <c r="AL820" s="38"/>
      <c r="AM820" s="38"/>
      <c r="AN820" s="38"/>
      <c r="AO820" s="40"/>
      <c r="AP820" s="41"/>
    </row>
    <row r="821">
      <c r="A821" s="38"/>
      <c r="B821" s="38"/>
      <c r="C821" s="38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8"/>
      <c r="AK821" s="38"/>
      <c r="AL821" s="38"/>
      <c r="AM821" s="38"/>
      <c r="AN821" s="38"/>
      <c r="AO821" s="40"/>
      <c r="AP821" s="41"/>
    </row>
    <row r="822">
      <c r="A822" s="38"/>
      <c r="B822" s="38"/>
      <c r="C822" s="38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8"/>
      <c r="AK822" s="38"/>
      <c r="AL822" s="38"/>
      <c r="AM822" s="38"/>
      <c r="AN822" s="38"/>
      <c r="AO822" s="40"/>
      <c r="AP822" s="41"/>
    </row>
    <row r="823">
      <c r="A823" s="38"/>
      <c r="B823" s="38"/>
      <c r="C823" s="38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8"/>
      <c r="AK823" s="38"/>
      <c r="AL823" s="38"/>
      <c r="AM823" s="38"/>
      <c r="AN823" s="38"/>
      <c r="AO823" s="40"/>
      <c r="AP823" s="41"/>
    </row>
    <row r="824">
      <c r="A824" s="38"/>
      <c r="B824" s="38"/>
      <c r="C824" s="38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8"/>
      <c r="AK824" s="38"/>
      <c r="AL824" s="38"/>
      <c r="AM824" s="38"/>
      <c r="AN824" s="38"/>
      <c r="AO824" s="40"/>
      <c r="AP824" s="41"/>
    </row>
    <row r="825">
      <c r="A825" s="38"/>
      <c r="B825" s="38"/>
      <c r="C825" s="38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8"/>
      <c r="AK825" s="38"/>
      <c r="AL825" s="38"/>
      <c r="AM825" s="38"/>
      <c r="AN825" s="38"/>
      <c r="AO825" s="40"/>
      <c r="AP825" s="41"/>
    </row>
    <row r="826">
      <c r="A826" s="38"/>
      <c r="B826" s="38"/>
      <c r="C826" s="38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8"/>
      <c r="AK826" s="38"/>
      <c r="AL826" s="38"/>
      <c r="AM826" s="38"/>
      <c r="AN826" s="38"/>
      <c r="AO826" s="40"/>
      <c r="AP826" s="41"/>
    </row>
    <row r="827">
      <c r="A827" s="38"/>
      <c r="B827" s="38"/>
      <c r="C827" s="38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8"/>
      <c r="AK827" s="38"/>
      <c r="AL827" s="38"/>
      <c r="AM827" s="38"/>
      <c r="AN827" s="38"/>
      <c r="AO827" s="40"/>
      <c r="AP827" s="41"/>
    </row>
    <row r="828">
      <c r="A828" s="38"/>
      <c r="B828" s="38"/>
      <c r="C828" s="38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8"/>
      <c r="AK828" s="38"/>
      <c r="AL828" s="38"/>
      <c r="AM828" s="38"/>
      <c r="AN828" s="38"/>
      <c r="AO828" s="40"/>
      <c r="AP828" s="41"/>
    </row>
    <row r="829">
      <c r="A829" s="38"/>
      <c r="B829" s="38"/>
      <c r="C829" s="38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8"/>
      <c r="AK829" s="38"/>
      <c r="AL829" s="38"/>
      <c r="AM829" s="38"/>
      <c r="AN829" s="38"/>
      <c r="AO829" s="40"/>
      <c r="AP829" s="41"/>
    </row>
    <row r="830">
      <c r="A830" s="38"/>
      <c r="B830" s="38"/>
      <c r="C830" s="38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8"/>
      <c r="AK830" s="38"/>
      <c r="AL830" s="38"/>
      <c r="AM830" s="38"/>
      <c r="AN830" s="38"/>
      <c r="AO830" s="40"/>
      <c r="AP830" s="41"/>
    </row>
    <row r="831">
      <c r="A831" s="38"/>
      <c r="B831" s="38"/>
      <c r="C831" s="38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8"/>
      <c r="AK831" s="38"/>
      <c r="AL831" s="38"/>
      <c r="AM831" s="38"/>
      <c r="AN831" s="38"/>
      <c r="AO831" s="40"/>
      <c r="AP831" s="41"/>
    </row>
    <row r="832">
      <c r="A832" s="38"/>
      <c r="B832" s="38"/>
      <c r="C832" s="38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8"/>
      <c r="AK832" s="38"/>
      <c r="AL832" s="38"/>
      <c r="AM832" s="38"/>
      <c r="AN832" s="38"/>
      <c r="AO832" s="40"/>
      <c r="AP832" s="41"/>
    </row>
    <row r="833">
      <c r="A833" s="38"/>
      <c r="B833" s="38"/>
      <c r="C833" s="38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8"/>
      <c r="AK833" s="38"/>
      <c r="AL833" s="38"/>
      <c r="AM833" s="38"/>
      <c r="AN833" s="38"/>
      <c r="AO833" s="40"/>
      <c r="AP833" s="41"/>
    </row>
    <row r="834">
      <c r="A834" s="38"/>
      <c r="B834" s="38"/>
      <c r="C834" s="38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8"/>
      <c r="AK834" s="38"/>
      <c r="AL834" s="38"/>
      <c r="AM834" s="38"/>
      <c r="AN834" s="38"/>
      <c r="AO834" s="40"/>
      <c r="AP834" s="41"/>
    </row>
    <row r="835">
      <c r="A835" s="38"/>
      <c r="B835" s="38"/>
      <c r="C835" s="38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8"/>
      <c r="AK835" s="38"/>
      <c r="AL835" s="38"/>
      <c r="AM835" s="38"/>
      <c r="AN835" s="38"/>
      <c r="AO835" s="40"/>
      <c r="AP835" s="41"/>
    </row>
    <row r="836">
      <c r="A836" s="38"/>
      <c r="B836" s="38"/>
      <c r="C836" s="38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8"/>
      <c r="AK836" s="38"/>
      <c r="AL836" s="38"/>
      <c r="AM836" s="38"/>
      <c r="AN836" s="38"/>
      <c r="AO836" s="40"/>
      <c r="AP836" s="41"/>
    </row>
    <row r="837">
      <c r="A837" s="38"/>
      <c r="B837" s="38"/>
      <c r="C837" s="38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8"/>
      <c r="AK837" s="38"/>
      <c r="AL837" s="38"/>
      <c r="AM837" s="38"/>
      <c r="AN837" s="38"/>
      <c r="AO837" s="40"/>
      <c r="AP837" s="41"/>
    </row>
    <row r="838">
      <c r="A838" s="38"/>
      <c r="B838" s="38"/>
      <c r="C838" s="38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8"/>
      <c r="AK838" s="38"/>
      <c r="AL838" s="38"/>
      <c r="AM838" s="38"/>
      <c r="AN838" s="38"/>
      <c r="AO838" s="40"/>
      <c r="AP838" s="41"/>
    </row>
    <row r="839">
      <c r="A839" s="38"/>
      <c r="B839" s="38"/>
      <c r="C839" s="38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8"/>
      <c r="AK839" s="38"/>
      <c r="AL839" s="38"/>
      <c r="AM839" s="38"/>
      <c r="AN839" s="38"/>
      <c r="AO839" s="40"/>
      <c r="AP839" s="41"/>
    </row>
    <row r="840">
      <c r="A840" s="38"/>
      <c r="B840" s="38"/>
      <c r="C840" s="38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8"/>
      <c r="AK840" s="38"/>
      <c r="AL840" s="38"/>
      <c r="AM840" s="38"/>
      <c r="AN840" s="38"/>
      <c r="AO840" s="40"/>
      <c r="AP840" s="41"/>
    </row>
    <row r="841">
      <c r="A841" s="38"/>
      <c r="B841" s="38"/>
      <c r="C841" s="38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8"/>
      <c r="AK841" s="38"/>
      <c r="AL841" s="38"/>
      <c r="AM841" s="38"/>
      <c r="AN841" s="38"/>
      <c r="AO841" s="40"/>
      <c r="AP841" s="41"/>
    </row>
    <row r="842">
      <c r="A842" s="38"/>
      <c r="B842" s="38"/>
      <c r="C842" s="38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8"/>
      <c r="AK842" s="38"/>
      <c r="AL842" s="38"/>
      <c r="AM842" s="38"/>
      <c r="AN842" s="38"/>
      <c r="AO842" s="40"/>
      <c r="AP842" s="41"/>
    </row>
    <row r="843">
      <c r="A843" s="38"/>
      <c r="B843" s="38"/>
      <c r="C843" s="38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8"/>
      <c r="AK843" s="38"/>
      <c r="AL843" s="38"/>
      <c r="AM843" s="38"/>
      <c r="AN843" s="38"/>
      <c r="AO843" s="40"/>
      <c r="AP843" s="41"/>
    </row>
    <row r="844">
      <c r="A844" s="38"/>
      <c r="B844" s="38"/>
      <c r="C844" s="38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8"/>
      <c r="AK844" s="38"/>
      <c r="AL844" s="38"/>
      <c r="AM844" s="38"/>
      <c r="AN844" s="38"/>
      <c r="AO844" s="40"/>
      <c r="AP844" s="41"/>
    </row>
    <row r="845">
      <c r="A845" s="38"/>
      <c r="B845" s="38"/>
      <c r="C845" s="38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8"/>
      <c r="AK845" s="38"/>
      <c r="AL845" s="38"/>
      <c r="AM845" s="38"/>
      <c r="AN845" s="38"/>
      <c r="AO845" s="40"/>
      <c r="AP845" s="41"/>
    </row>
    <row r="846">
      <c r="A846" s="38"/>
      <c r="B846" s="38"/>
      <c r="C846" s="38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8"/>
      <c r="AK846" s="38"/>
      <c r="AL846" s="38"/>
      <c r="AM846" s="38"/>
      <c r="AN846" s="38"/>
      <c r="AO846" s="40"/>
      <c r="AP846" s="41"/>
    </row>
    <row r="847">
      <c r="A847" s="38"/>
      <c r="B847" s="38"/>
      <c r="C847" s="38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8"/>
      <c r="AK847" s="38"/>
      <c r="AL847" s="38"/>
      <c r="AM847" s="38"/>
      <c r="AN847" s="38"/>
      <c r="AO847" s="40"/>
      <c r="AP847" s="41"/>
    </row>
    <row r="848">
      <c r="A848" s="38"/>
      <c r="B848" s="38"/>
      <c r="C848" s="38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8"/>
      <c r="AK848" s="38"/>
      <c r="AL848" s="38"/>
      <c r="AM848" s="38"/>
      <c r="AN848" s="38"/>
      <c r="AO848" s="40"/>
      <c r="AP848" s="41"/>
    </row>
    <row r="849">
      <c r="A849" s="38"/>
      <c r="B849" s="38"/>
      <c r="C849" s="38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8"/>
      <c r="AK849" s="38"/>
      <c r="AL849" s="38"/>
      <c r="AM849" s="38"/>
      <c r="AN849" s="38"/>
      <c r="AO849" s="40"/>
      <c r="AP849" s="41"/>
    </row>
    <row r="850">
      <c r="A850" s="38"/>
      <c r="B850" s="38"/>
      <c r="C850" s="38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8"/>
      <c r="AK850" s="38"/>
      <c r="AL850" s="38"/>
      <c r="AM850" s="38"/>
      <c r="AN850" s="38"/>
      <c r="AO850" s="40"/>
      <c r="AP850" s="41"/>
    </row>
    <row r="851">
      <c r="A851" s="38"/>
      <c r="B851" s="38"/>
      <c r="C851" s="38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8"/>
      <c r="AK851" s="38"/>
      <c r="AL851" s="38"/>
      <c r="AM851" s="38"/>
      <c r="AN851" s="38"/>
      <c r="AO851" s="40"/>
      <c r="AP851" s="41"/>
    </row>
    <row r="852">
      <c r="A852" s="38"/>
      <c r="B852" s="38"/>
      <c r="C852" s="38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8"/>
      <c r="AK852" s="38"/>
      <c r="AL852" s="38"/>
      <c r="AM852" s="38"/>
      <c r="AN852" s="38"/>
      <c r="AO852" s="40"/>
      <c r="AP852" s="41"/>
    </row>
    <row r="853">
      <c r="A853" s="38"/>
      <c r="B853" s="38"/>
      <c r="C853" s="38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8"/>
      <c r="AK853" s="38"/>
      <c r="AL853" s="38"/>
      <c r="AM853" s="38"/>
      <c r="AN853" s="38"/>
      <c r="AO853" s="40"/>
      <c r="AP853" s="41"/>
    </row>
    <row r="854">
      <c r="A854" s="38"/>
      <c r="B854" s="38"/>
      <c r="C854" s="38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8"/>
      <c r="AK854" s="38"/>
      <c r="AL854" s="38"/>
      <c r="AM854" s="38"/>
      <c r="AN854" s="38"/>
      <c r="AO854" s="40"/>
      <c r="AP854" s="41"/>
    </row>
    <row r="855">
      <c r="A855" s="38"/>
      <c r="B855" s="38"/>
      <c r="C855" s="38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8"/>
      <c r="AK855" s="38"/>
      <c r="AL855" s="38"/>
      <c r="AM855" s="38"/>
      <c r="AN855" s="38"/>
      <c r="AO855" s="40"/>
      <c r="AP855" s="41"/>
    </row>
    <row r="856">
      <c r="A856" s="38"/>
      <c r="B856" s="38"/>
      <c r="C856" s="38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8"/>
      <c r="AK856" s="38"/>
      <c r="AL856" s="38"/>
      <c r="AM856" s="38"/>
      <c r="AN856" s="38"/>
      <c r="AO856" s="40"/>
      <c r="AP856" s="41"/>
    </row>
    <row r="857">
      <c r="A857" s="38"/>
      <c r="B857" s="38"/>
      <c r="C857" s="38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8"/>
      <c r="AK857" s="38"/>
      <c r="AL857" s="38"/>
      <c r="AM857" s="38"/>
      <c r="AN857" s="38"/>
      <c r="AO857" s="40"/>
      <c r="AP857" s="41"/>
    </row>
    <row r="858">
      <c r="A858" s="38"/>
      <c r="B858" s="38"/>
      <c r="C858" s="38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8"/>
      <c r="AK858" s="38"/>
      <c r="AL858" s="38"/>
      <c r="AM858" s="38"/>
      <c r="AN858" s="38"/>
      <c r="AO858" s="40"/>
      <c r="AP858" s="41"/>
    </row>
    <row r="859">
      <c r="A859" s="38"/>
      <c r="B859" s="38"/>
      <c r="C859" s="38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8"/>
      <c r="AK859" s="38"/>
      <c r="AL859" s="38"/>
      <c r="AM859" s="38"/>
      <c r="AN859" s="38"/>
      <c r="AO859" s="40"/>
      <c r="AP859" s="41"/>
    </row>
    <row r="860">
      <c r="A860" s="38"/>
      <c r="B860" s="38"/>
      <c r="C860" s="38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8"/>
      <c r="AK860" s="38"/>
      <c r="AL860" s="38"/>
      <c r="AM860" s="38"/>
      <c r="AN860" s="38"/>
      <c r="AO860" s="40"/>
      <c r="AP860" s="41"/>
    </row>
    <row r="861">
      <c r="A861" s="38"/>
      <c r="B861" s="38"/>
      <c r="C861" s="38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8"/>
      <c r="AK861" s="38"/>
      <c r="AL861" s="38"/>
      <c r="AM861" s="38"/>
      <c r="AN861" s="38"/>
      <c r="AO861" s="40"/>
      <c r="AP861" s="41"/>
    </row>
    <row r="862">
      <c r="A862" s="38"/>
      <c r="B862" s="38"/>
      <c r="C862" s="38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8"/>
      <c r="AK862" s="38"/>
      <c r="AL862" s="38"/>
      <c r="AM862" s="38"/>
      <c r="AN862" s="38"/>
      <c r="AO862" s="40"/>
      <c r="AP862" s="41"/>
    </row>
    <row r="863">
      <c r="A863" s="38"/>
      <c r="B863" s="38"/>
      <c r="C863" s="38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8"/>
      <c r="AK863" s="38"/>
      <c r="AL863" s="38"/>
      <c r="AM863" s="38"/>
      <c r="AN863" s="38"/>
      <c r="AO863" s="40"/>
      <c r="AP863" s="41"/>
    </row>
    <row r="864">
      <c r="A864" s="38"/>
      <c r="B864" s="38"/>
      <c r="C864" s="38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8"/>
      <c r="AK864" s="38"/>
      <c r="AL864" s="38"/>
      <c r="AM864" s="38"/>
      <c r="AN864" s="38"/>
      <c r="AO864" s="40"/>
      <c r="AP864" s="41"/>
    </row>
    <row r="865">
      <c r="A865" s="38"/>
      <c r="B865" s="38"/>
      <c r="C865" s="38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8"/>
      <c r="AK865" s="38"/>
      <c r="AL865" s="38"/>
      <c r="AM865" s="38"/>
      <c r="AN865" s="38"/>
      <c r="AO865" s="40"/>
      <c r="AP865" s="41"/>
    </row>
    <row r="866">
      <c r="A866" s="38"/>
      <c r="B866" s="38"/>
      <c r="C866" s="38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8"/>
      <c r="AK866" s="38"/>
      <c r="AL866" s="38"/>
      <c r="AM866" s="38"/>
      <c r="AN866" s="38"/>
      <c r="AO866" s="40"/>
      <c r="AP866" s="41"/>
    </row>
    <row r="867">
      <c r="A867" s="38"/>
      <c r="B867" s="38"/>
      <c r="C867" s="38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8"/>
      <c r="AK867" s="38"/>
      <c r="AL867" s="38"/>
      <c r="AM867" s="38"/>
      <c r="AN867" s="38"/>
      <c r="AO867" s="40"/>
      <c r="AP867" s="41"/>
    </row>
    <row r="868">
      <c r="A868" s="38"/>
      <c r="B868" s="38"/>
      <c r="C868" s="38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8"/>
      <c r="AK868" s="38"/>
      <c r="AL868" s="38"/>
      <c r="AM868" s="38"/>
      <c r="AN868" s="38"/>
      <c r="AO868" s="40"/>
      <c r="AP868" s="41"/>
    </row>
    <row r="869">
      <c r="A869" s="38"/>
      <c r="B869" s="38"/>
      <c r="C869" s="38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8"/>
      <c r="AK869" s="38"/>
      <c r="AL869" s="38"/>
      <c r="AM869" s="38"/>
      <c r="AN869" s="38"/>
      <c r="AO869" s="40"/>
      <c r="AP869" s="41"/>
    </row>
    <row r="870">
      <c r="A870" s="38"/>
      <c r="B870" s="38"/>
      <c r="C870" s="38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8"/>
      <c r="AK870" s="38"/>
      <c r="AL870" s="38"/>
      <c r="AM870" s="38"/>
      <c r="AN870" s="38"/>
      <c r="AO870" s="40"/>
      <c r="AP870" s="41"/>
    </row>
    <row r="871">
      <c r="A871" s="38"/>
      <c r="B871" s="38"/>
      <c r="C871" s="38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8"/>
      <c r="AK871" s="38"/>
      <c r="AL871" s="38"/>
      <c r="AM871" s="38"/>
      <c r="AN871" s="38"/>
      <c r="AO871" s="40"/>
      <c r="AP871" s="41"/>
    </row>
    <row r="872">
      <c r="A872" s="38"/>
      <c r="B872" s="38"/>
      <c r="C872" s="38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8"/>
      <c r="AK872" s="38"/>
      <c r="AL872" s="38"/>
      <c r="AM872" s="38"/>
      <c r="AN872" s="38"/>
      <c r="AO872" s="40"/>
      <c r="AP872" s="41"/>
    </row>
    <row r="873">
      <c r="A873" s="38"/>
      <c r="B873" s="38"/>
      <c r="C873" s="38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8"/>
      <c r="AK873" s="38"/>
      <c r="AL873" s="38"/>
      <c r="AM873" s="38"/>
      <c r="AN873" s="38"/>
      <c r="AO873" s="40"/>
      <c r="AP873" s="41"/>
    </row>
    <row r="874">
      <c r="A874" s="38"/>
      <c r="B874" s="38"/>
      <c r="C874" s="38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8"/>
      <c r="AK874" s="38"/>
      <c r="AL874" s="38"/>
      <c r="AM874" s="38"/>
      <c r="AN874" s="38"/>
      <c r="AO874" s="40"/>
      <c r="AP874" s="41"/>
    </row>
    <row r="875">
      <c r="A875" s="38"/>
      <c r="B875" s="38"/>
      <c r="C875" s="38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8"/>
      <c r="AK875" s="38"/>
      <c r="AL875" s="38"/>
      <c r="AM875" s="38"/>
      <c r="AN875" s="38"/>
      <c r="AO875" s="40"/>
      <c r="AP875" s="41"/>
    </row>
    <row r="876">
      <c r="A876" s="38"/>
      <c r="B876" s="38"/>
      <c r="C876" s="38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8"/>
      <c r="AK876" s="38"/>
      <c r="AL876" s="38"/>
      <c r="AM876" s="38"/>
      <c r="AN876" s="38"/>
      <c r="AO876" s="40"/>
      <c r="AP876" s="41"/>
    </row>
    <row r="877">
      <c r="A877" s="38"/>
      <c r="B877" s="38"/>
      <c r="C877" s="38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8"/>
      <c r="AK877" s="38"/>
      <c r="AL877" s="38"/>
      <c r="AM877" s="38"/>
      <c r="AN877" s="38"/>
      <c r="AO877" s="40"/>
      <c r="AP877" s="41"/>
    </row>
    <row r="878">
      <c r="A878" s="38"/>
      <c r="B878" s="38"/>
      <c r="C878" s="38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8"/>
      <c r="AK878" s="38"/>
      <c r="AL878" s="38"/>
      <c r="AM878" s="38"/>
      <c r="AN878" s="38"/>
      <c r="AO878" s="40"/>
      <c r="AP878" s="41"/>
    </row>
    <row r="879">
      <c r="A879" s="38"/>
      <c r="B879" s="38"/>
      <c r="C879" s="38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8"/>
      <c r="AK879" s="38"/>
      <c r="AL879" s="38"/>
      <c r="AM879" s="38"/>
      <c r="AN879" s="38"/>
      <c r="AO879" s="40"/>
      <c r="AP879" s="41"/>
    </row>
    <row r="880">
      <c r="A880" s="38"/>
      <c r="B880" s="38"/>
      <c r="C880" s="38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8"/>
      <c r="AK880" s="38"/>
      <c r="AL880" s="38"/>
      <c r="AM880" s="38"/>
      <c r="AN880" s="38"/>
      <c r="AO880" s="40"/>
      <c r="AP880" s="41"/>
    </row>
    <row r="881">
      <c r="A881" s="38"/>
      <c r="B881" s="38"/>
      <c r="C881" s="38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8"/>
      <c r="AK881" s="38"/>
      <c r="AL881" s="38"/>
      <c r="AM881" s="38"/>
      <c r="AN881" s="38"/>
      <c r="AO881" s="40"/>
      <c r="AP881" s="41"/>
    </row>
    <row r="882">
      <c r="A882" s="38"/>
      <c r="B882" s="38"/>
      <c r="C882" s="38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8"/>
      <c r="AK882" s="38"/>
      <c r="AL882" s="38"/>
      <c r="AM882" s="38"/>
      <c r="AN882" s="38"/>
      <c r="AO882" s="40"/>
      <c r="AP882" s="41"/>
    </row>
    <row r="883">
      <c r="A883" s="38"/>
      <c r="B883" s="38"/>
      <c r="C883" s="38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8"/>
      <c r="AK883" s="38"/>
      <c r="AL883" s="38"/>
      <c r="AM883" s="38"/>
      <c r="AN883" s="38"/>
      <c r="AO883" s="40"/>
      <c r="AP883" s="41"/>
    </row>
    <row r="884">
      <c r="A884" s="38"/>
      <c r="B884" s="38"/>
      <c r="C884" s="38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8"/>
      <c r="AK884" s="38"/>
      <c r="AL884" s="38"/>
      <c r="AM884" s="38"/>
      <c r="AN884" s="38"/>
      <c r="AO884" s="40"/>
      <c r="AP884" s="41"/>
    </row>
    <row r="885">
      <c r="A885" s="38"/>
      <c r="B885" s="38"/>
      <c r="C885" s="38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8"/>
      <c r="AK885" s="38"/>
      <c r="AL885" s="38"/>
      <c r="AM885" s="38"/>
      <c r="AN885" s="38"/>
      <c r="AO885" s="40"/>
      <c r="AP885" s="41"/>
    </row>
    <row r="886">
      <c r="A886" s="38"/>
      <c r="B886" s="38"/>
      <c r="C886" s="38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8"/>
      <c r="AK886" s="38"/>
      <c r="AL886" s="38"/>
      <c r="AM886" s="38"/>
      <c r="AN886" s="38"/>
      <c r="AO886" s="40"/>
      <c r="AP886" s="41"/>
    </row>
    <row r="887">
      <c r="A887" s="38"/>
      <c r="B887" s="38"/>
      <c r="C887" s="38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8"/>
      <c r="AK887" s="38"/>
      <c r="AL887" s="38"/>
      <c r="AM887" s="38"/>
      <c r="AN887" s="38"/>
      <c r="AO887" s="40"/>
      <c r="AP887" s="41"/>
    </row>
    <row r="888">
      <c r="A888" s="38"/>
      <c r="B888" s="38"/>
      <c r="C888" s="38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8"/>
      <c r="AK888" s="38"/>
      <c r="AL888" s="38"/>
      <c r="AM888" s="38"/>
      <c r="AN888" s="38"/>
      <c r="AO888" s="40"/>
      <c r="AP888" s="41"/>
    </row>
    <row r="889">
      <c r="A889" s="38"/>
      <c r="B889" s="38"/>
      <c r="C889" s="38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8"/>
      <c r="AK889" s="38"/>
      <c r="AL889" s="38"/>
      <c r="AM889" s="38"/>
      <c r="AN889" s="38"/>
      <c r="AO889" s="40"/>
      <c r="AP889" s="41"/>
    </row>
    <row r="890">
      <c r="A890" s="38"/>
      <c r="B890" s="38"/>
      <c r="C890" s="38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8"/>
      <c r="AK890" s="38"/>
      <c r="AL890" s="38"/>
      <c r="AM890" s="38"/>
      <c r="AN890" s="38"/>
      <c r="AO890" s="40"/>
      <c r="AP890" s="41"/>
    </row>
    <row r="891">
      <c r="A891" s="38"/>
      <c r="B891" s="38"/>
      <c r="C891" s="38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8"/>
      <c r="AK891" s="38"/>
      <c r="AL891" s="38"/>
      <c r="AM891" s="38"/>
      <c r="AN891" s="38"/>
      <c r="AO891" s="40"/>
      <c r="AP891" s="41"/>
    </row>
    <row r="892">
      <c r="A892" s="38"/>
      <c r="B892" s="38"/>
      <c r="C892" s="38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8"/>
      <c r="AK892" s="38"/>
      <c r="AL892" s="38"/>
      <c r="AM892" s="38"/>
      <c r="AN892" s="38"/>
      <c r="AO892" s="40"/>
      <c r="AP892" s="41"/>
    </row>
    <row r="893">
      <c r="A893" s="38"/>
      <c r="B893" s="38"/>
      <c r="C893" s="38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8"/>
      <c r="AK893" s="38"/>
      <c r="AL893" s="38"/>
      <c r="AM893" s="38"/>
      <c r="AN893" s="38"/>
      <c r="AO893" s="40"/>
      <c r="AP893" s="41"/>
    </row>
    <row r="894">
      <c r="A894" s="38"/>
      <c r="B894" s="38"/>
      <c r="C894" s="38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8"/>
      <c r="AK894" s="38"/>
      <c r="AL894" s="38"/>
      <c r="AM894" s="38"/>
      <c r="AN894" s="38"/>
      <c r="AO894" s="40"/>
      <c r="AP894" s="41"/>
    </row>
    <row r="895">
      <c r="A895" s="38"/>
      <c r="B895" s="38"/>
      <c r="C895" s="38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8"/>
      <c r="AK895" s="38"/>
      <c r="AL895" s="38"/>
      <c r="AM895" s="38"/>
      <c r="AN895" s="38"/>
      <c r="AO895" s="40"/>
      <c r="AP895" s="41"/>
    </row>
    <row r="896">
      <c r="A896" s="38"/>
      <c r="B896" s="38"/>
      <c r="C896" s="38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8"/>
      <c r="AK896" s="38"/>
      <c r="AL896" s="38"/>
      <c r="AM896" s="38"/>
      <c r="AN896" s="38"/>
      <c r="AO896" s="40"/>
      <c r="AP896" s="41"/>
    </row>
    <row r="897">
      <c r="A897" s="38"/>
      <c r="B897" s="38"/>
      <c r="C897" s="38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8"/>
      <c r="AK897" s="38"/>
      <c r="AL897" s="38"/>
      <c r="AM897" s="38"/>
      <c r="AN897" s="38"/>
      <c r="AO897" s="40"/>
      <c r="AP897" s="41"/>
    </row>
    <row r="898">
      <c r="A898" s="38"/>
      <c r="B898" s="38"/>
      <c r="C898" s="38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8"/>
      <c r="AK898" s="38"/>
      <c r="AL898" s="38"/>
      <c r="AM898" s="38"/>
      <c r="AN898" s="38"/>
      <c r="AO898" s="40"/>
      <c r="AP898" s="41"/>
    </row>
    <row r="899">
      <c r="A899" s="38"/>
      <c r="B899" s="38"/>
      <c r="C899" s="38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8"/>
      <c r="AK899" s="38"/>
      <c r="AL899" s="38"/>
      <c r="AM899" s="38"/>
      <c r="AN899" s="38"/>
      <c r="AO899" s="40"/>
      <c r="AP899" s="41"/>
    </row>
    <row r="900">
      <c r="A900" s="38"/>
      <c r="B900" s="38"/>
      <c r="C900" s="38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8"/>
      <c r="AK900" s="38"/>
      <c r="AL900" s="38"/>
      <c r="AM900" s="38"/>
      <c r="AN900" s="38"/>
      <c r="AO900" s="40"/>
      <c r="AP900" s="41"/>
    </row>
    <row r="901">
      <c r="A901" s="38"/>
      <c r="B901" s="38"/>
      <c r="C901" s="38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8"/>
      <c r="AK901" s="38"/>
      <c r="AL901" s="38"/>
      <c r="AM901" s="38"/>
      <c r="AN901" s="38"/>
      <c r="AO901" s="40"/>
      <c r="AP901" s="41"/>
    </row>
    <row r="902">
      <c r="A902" s="38"/>
      <c r="B902" s="38"/>
      <c r="C902" s="38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8"/>
      <c r="AK902" s="38"/>
      <c r="AL902" s="38"/>
      <c r="AM902" s="38"/>
      <c r="AN902" s="38"/>
      <c r="AO902" s="40"/>
      <c r="AP902" s="41"/>
    </row>
    <row r="903">
      <c r="A903" s="38"/>
      <c r="B903" s="38"/>
      <c r="C903" s="38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8"/>
      <c r="AK903" s="38"/>
      <c r="AL903" s="38"/>
      <c r="AM903" s="38"/>
      <c r="AN903" s="38"/>
      <c r="AO903" s="40"/>
      <c r="AP903" s="41"/>
    </row>
    <row r="904">
      <c r="A904" s="38"/>
      <c r="B904" s="38"/>
      <c r="C904" s="38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8"/>
      <c r="AK904" s="38"/>
      <c r="AL904" s="38"/>
      <c r="AM904" s="38"/>
      <c r="AN904" s="38"/>
      <c r="AO904" s="40"/>
      <c r="AP904" s="41"/>
    </row>
    <row r="905">
      <c r="A905" s="38"/>
      <c r="B905" s="38"/>
      <c r="C905" s="38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8"/>
      <c r="AK905" s="38"/>
      <c r="AL905" s="38"/>
      <c r="AM905" s="38"/>
      <c r="AN905" s="38"/>
      <c r="AO905" s="40"/>
      <c r="AP905" s="41"/>
    </row>
    <row r="906">
      <c r="A906" s="38"/>
      <c r="B906" s="38"/>
      <c r="C906" s="38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8"/>
      <c r="AK906" s="38"/>
      <c r="AL906" s="38"/>
      <c r="AM906" s="38"/>
      <c r="AN906" s="38"/>
      <c r="AO906" s="40"/>
      <c r="AP906" s="41"/>
    </row>
    <row r="907">
      <c r="A907" s="38"/>
      <c r="B907" s="38"/>
      <c r="C907" s="38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8"/>
      <c r="AK907" s="38"/>
      <c r="AL907" s="38"/>
      <c r="AM907" s="38"/>
      <c r="AN907" s="38"/>
      <c r="AO907" s="40"/>
      <c r="AP907" s="41"/>
    </row>
    <row r="908">
      <c r="A908" s="38"/>
      <c r="B908" s="38"/>
      <c r="C908" s="38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8"/>
      <c r="AK908" s="38"/>
      <c r="AL908" s="38"/>
      <c r="AM908" s="38"/>
      <c r="AN908" s="38"/>
      <c r="AO908" s="40"/>
      <c r="AP908" s="41"/>
    </row>
    <row r="909">
      <c r="A909" s="38"/>
      <c r="B909" s="38"/>
      <c r="C909" s="38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8"/>
      <c r="AK909" s="38"/>
      <c r="AL909" s="38"/>
      <c r="AM909" s="38"/>
      <c r="AN909" s="38"/>
      <c r="AO909" s="40"/>
      <c r="AP909" s="41"/>
    </row>
    <row r="910">
      <c r="A910" s="38"/>
      <c r="B910" s="38"/>
      <c r="C910" s="38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8"/>
      <c r="AK910" s="38"/>
      <c r="AL910" s="38"/>
      <c r="AM910" s="38"/>
      <c r="AN910" s="38"/>
      <c r="AO910" s="40"/>
      <c r="AP910" s="41"/>
    </row>
    <row r="911">
      <c r="A911" s="38"/>
      <c r="B911" s="38"/>
      <c r="C911" s="38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8"/>
      <c r="AK911" s="38"/>
      <c r="AL911" s="38"/>
      <c r="AM911" s="38"/>
      <c r="AN911" s="38"/>
      <c r="AO911" s="40"/>
      <c r="AP911" s="41"/>
    </row>
    <row r="912">
      <c r="A912" s="38"/>
      <c r="B912" s="38"/>
      <c r="C912" s="38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8"/>
      <c r="AK912" s="38"/>
      <c r="AL912" s="38"/>
      <c r="AM912" s="38"/>
      <c r="AN912" s="38"/>
      <c r="AO912" s="40"/>
      <c r="AP912" s="41"/>
    </row>
    <row r="913">
      <c r="A913" s="38"/>
      <c r="B913" s="38"/>
      <c r="C913" s="38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8"/>
      <c r="AK913" s="38"/>
      <c r="AL913" s="38"/>
      <c r="AM913" s="38"/>
      <c r="AN913" s="38"/>
      <c r="AO913" s="40"/>
      <c r="AP913" s="41"/>
    </row>
    <row r="914">
      <c r="A914" s="38"/>
      <c r="B914" s="38"/>
      <c r="C914" s="38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8"/>
      <c r="AK914" s="38"/>
      <c r="AL914" s="38"/>
      <c r="AM914" s="38"/>
      <c r="AN914" s="38"/>
      <c r="AO914" s="40"/>
      <c r="AP914" s="41"/>
    </row>
    <row r="915">
      <c r="A915" s="38"/>
      <c r="B915" s="38"/>
      <c r="C915" s="38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8"/>
      <c r="AK915" s="38"/>
      <c r="AL915" s="38"/>
      <c r="AM915" s="38"/>
      <c r="AN915" s="38"/>
      <c r="AO915" s="40"/>
      <c r="AP915" s="41"/>
    </row>
    <row r="916">
      <c r="A916" s="38"/>
      <c r="B916" s="38"/>
      <c r="C916" s="38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8"/>
      <c r="AK916" s="38"/>
      <c r="AL916" s="38"/>
      <c r="AM916" s="38"/>
      <c r="AN916" s="38"/>
      <c r="AO916" s="40"/>
      <c r="AP916" s="41"/>
    </row>
    <row r="917">
      <c r="A917" s="38"/>
      <c r="B917" s="38"/>
      <c r="C917" s="38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8"/>
      <c r="AK917" s="38"/>
      <c r="AL917" s="38"/>
      <c r="AM917" s="38"/>
      <c r="AN917" s="38"/>
      <c r="AO917" s="40"/>
      <c r="AP917" s="41"/>
    </row>
    <row r="918">
      <c r="A918" s="38"/>
      <c r="B918" s="38"/>
      <c r="C918" s="38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8"/>
      <c r="AK918" s="38"/>
      <c r="AL918" s="38"/>
      <c r="AM918" s="38"/>
      <c r="AN918" s="38"/>
      <c r="AO918" s="40"/>
      <c r="AP918" s="41"/>
    </row>
    <row r="919">
      <c r="A919" s="38"/>
      <c r="B919" s="38"/>
      <c r="C919" s="38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8"/>
      <c r="AK919" s="38"/>
      <c r="AL919" s="38"/>
      <c r="AM919" s="38"/>
      <c r="AN919" s="38"/>
      <c r="AO919" s="40"/>
      <c r="AP919" s="41"/>
    </row>
    <row r="920">
      <c r="A920" s="38"/>
      <c r="B920" s="38"/>
      <c r="C920" s="38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8"/>
      <c r="AK920" s="38"/>
      <c r="AL920" s="38"/>
      <c r="AM920" s="38"/>
      <c r="AN920" s="38"/>
      <c r="AO920" s="40"/>
      <c r="AP920" s="41"/>
    </row>
    <row r="921">
      <c r="A921" s="38"/>
      <c r="B921" s="38"/>
      <c r="C921" s="38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8"/>
      <c r="AK921" s="38"/>
      <c r="AL921" s="38"/>
      <c r="AM921" s="38"/>
      <c r="AN921" s="38"/>
      <c r="AO921" s="40"/>
      <c r="AP921" s="41"/>
    </row>
    <row r="922">
      <c r="A922" s="38"/>
      <c r="B922" s="38"/>
      <c r="C922" s="38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8"/>
      <c r="AK922" s="38"/>
      <c r="AL922" s="38"/>
      <c r="AM922" s="38"/>
      <c r="AN922" s="38"/>
      <c r="AO922" s="40"/>
      <c r="AP922" s="41"/>
    </row>
    <row r="923">
      <c r="A923" s="38"/>
      <c r="B923" s="38"/>
      <c r="C923" s="38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8"/>
      <c r="AK923" s="38"/>
      <c r="AL923" s="38"/>
      <c r="AM923" s="38"/>
      <c r="AN923" s="38"/>
      <c r="AO923" s="40"/>
      <c r="AP923" s="41"/>
    </row>
    <row r="924">
      <c r="A924" s="38"/>
      <c r="B924" s="38"/>
      <c r="C924" s="38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8"/>
      <c r="AK924" s="38"/>
      <c r="AL924" s="38"/>
      <c r="AM924" s="38"/>
      <c r="AN924" s="38"/>
      <c r="AO924" s="40"/>
      <c r="AP924" s="41"/>
    </row>
    <row r="925">
      <c r="A925" s="38"/>
      <c r="B925" s="38"/>
      <c r="C925" s="38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8"/>
      <c r="AK925" s="38"/>
      <c r="AL925" s="38"/>
      <c r="AM925" s="38"/>
      <c r="AN925" s="38"/>
      <c r="AO925" s="40"/>
      <c r="AP925" s="41"/>
    </row>
    <row r="926">
      <c r="A926" s="38"/>
      <c r="B926" s="38"/>
      <c r="C926" s="38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8"/>
      <c r="AK926" s="38"/>
      <c r="AL926" s="38"/>
      <c r="AM926" s="38"/>
      <c r="AN926" s="38"/>
      <c r="AO926" s="40"/>
      <c r="AP926" s="41"/>
    </row>
    <row r="927">
      <c r="A927" s="38"/>
      <c r="B927" s="38"/>
      <c r="C927" s="38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8"/>
      <c r="AK927" s="38"/>
      <c r="AL927" s="38"/>
      <c r="AM927" s="38"/>
      <c r="AN927" s="38"/>
      <c r="AO927" s="40"/>
      <c r="AP927" s="41"/>
    </row>
    <row r="928">
      <c r="A928" s="38"/>
      <c r="B928" s="38"/>
      <c r="C928" s="38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8"/>
      <c r="AK928" s="38"/>
      <c r="AL928" s="38"/>
      <c r="AM928" s="38"/>
      <c r="AN928" s="38"/>
      <c r="AO928" s="40"/>
      <c r="AP928" s="41"/>
    </row>
    <row r="929">
      <c r="A929" s="38"/>
      <c r="B929" s="38"/>
      <c r="C929" s="38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8"/>
      <c r="AK929" s="38"/>
      <c r="AL929" s="38"/>
      <c r="AM929" s="38"/>
      <c r="AN929" s="38"/>
      <c r="AO929" s="40"/>
      <c r="AP929" s="41"/>
    </row>
    <row r="930">
      <c r="A930" s="38"/>
      <c r="B930" s="38"/>
      <c r="C930" s="38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8"/>
      <c r="AK930" s="38"/>
      <c r="AL930" s="38"/>
      <c r="AM930" s="38"/>
      <c r="AN930" s="38"/>
      <c r="AO930" s="40"/>
      <c r="AP930" s="41"/>
    </row>
    <row r="931">
      <c r="A931" s="38"/>
      <c r="B931" s="38"/>
      <c r="C931" s="38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8"/>
      <c r="AK931" s="38"/>
      <c r="AL931" s="38"/>
      <c r="AM931" s="38"/>
      <c r="AN931" s="38"/>
      <c r="AO931" s="40"/>
      <c r="AP931" s="41"/>
    </row>
    <row r="932">
      <c r="A932" s="38"/>
      <c r="B932" s="38"/>
      <c r="C932" s="38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8"/>
      <c r="AK932" s="38"/>
      <c r="AL932" s="38"/>
      <c r="AM932" s="38"/>
      <c r="AN932" s="38"/>
      <c r="AO932" s="40"/>
      <c r="AP932" s="41"/>
    </row>
    <row r="933">
      <c r="A933" s="38"/>
      <c r="B933" s="38"/>
      <c r="C933" s="38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8"/>
      <c r="AK933" s="38"/>
      <c r="AL933" s="38"/>
      <c r="AM933" s="38"/>
      <c r="AN933" s="38"/>
      <c r="AO933" s="40"/>
      <c r="AP933" s="41"/>
    </row>
    <row r="934">
      <c r="A934" s="38"/>
      <c r="B934" s="38"/>
      <c r="C934" s="38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8"/>
      <c r="AK934" s="38"/>
      <c r="AL934" s="38"/>
      <c r="AM934" s="38"/>
      <c r="AN934" s="38"/>
      <c r="AO934" s="40"/>
      <c r="AP934" s="41"/>
    </row>
    <row r="935">
      <c r="A935" s="38"/>
      <c r="B935" s="38"/>
      <c r="C935" s="38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8"/>
      <c r="AK935" s="38"/>
      <c r="AL935" s="38"/>
      <c r="AM935" s="38"/>
      <c r="AN935" s="38"/>
      <c r="AO935" s="40"/>
      <c r="AP935" s="41"/>
    </row>
    <row r="936">
      <c r="A936" s="38"/>
      <c r="B936" s="38"/>
      <c r="C936" s="38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8"/>
      <c r="AK936" s="38"/>
      <c r="AL936" s="38"/>
      <c r="AM936" s="38"/>
      <c r="AN936" s="38"/>
      <c r="AO936" s="40"/>
      <c r="AP936" s="41"/>
    </row>
    <row r="937">
      <c r="A937" s="38"/>
      <c r="B937" s="38"/>
      <c r="C937" s="38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8"/>
      <c r="AK937" s="38"/>
      <c r="AL937" s="38"/>
      <c r="AM937" s="38"/>
      <c r="AN937" s="38"/>
      <c r="AO937" s="40"/>
      <c r="AP937" s="41"/>
    </row>
    <row r="938">
      <c r="A938" s="38"/>
      <c r="B938" s="38"/>
      <c r="C938" s="38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8"/>
      <c r="AK938" s="38"/>
      <c r="AL938" s="38"/>
      <c r="AM938" s="38"/>
      <c r="AN938" s="38"/>
      <c r="AO938" s="40"/>
      <c r="AP938" s="41"/>
    </row>
    <row r="939">
      <c r="A939" s="38"/>
      <c r="B939" s="38"/>
      <c r="C939" s="38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8"/>
      <c r="AK939" s="38"/>
      <c r="AL939" s="38"/>
      <c r="AM939" s="38"/>
      <c r="AN939" s="38"/>
      <c r="AO939" s="40"/>
      <c r="AP939" s="41"/>
    </row>
    <row r="940">
      <c r="A940" s="38"/>
      <c r="B940" s="38"/>
      <c r="C940" s="38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8"/>
      <c r="AK940" s="38"/>
      <c r="AL940" s="38"/>
      <c r="AM940" s="38"/>
      <c r="AN940" s="38"/>
      <c r="AO940" s="40"/>
      <c r="AP940" s="41"/>
    </row>
    <row r="941">
      <c r="A941" s="38"/>
      <c r="B941" s="38"/>
      <c r="C941" s="38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8"/>
      <c r="AK941" s="38"/>
      <c r="AL941" s="38"/>
      <c r="AM941" s="38"/>
      <c r="AN941" s="38"/>
      <c r="AO941" s="40"/>
      <c r="AP941" s="41"/>
    </row>
    <row r="942">
      <c r="A942" s="38"/>
      <c r="B942" s="38"/>
      <c r="C942" s="38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8"/>
      <c r="AK942" s="38"/>
      <c r="AL942" s="38"/>
      <c r="AM942" s="38"/>
      <c r="AN942" s="38"/>
      <c r="AO942" s="40"/>
      <c r="AP942" s="41"/>
    </row>
    <row r="943">
      <c r="A943" s="38"/>
      <c r="B943" s="38"/>
      <c r="C943" s="38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8"/>
      <c r="AK943" s="38"/>
      <c r="AL943" s="38"/>
      <c r="AM943" s="38"/>
      <c r="AN943" s="38"/>
      <c r="AO943" s="40"/>
      <c r="AP943" s="41"/>
    </row>
    <row r="944">
      <c r="A944" s="38"/>
      <c r="B944" s="38"/>
      <c r="C944" s="38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8"/>
      <c r="AK944" s="38"/>
      <c r="AL944" s="38"/>
      <c r="AM944" s="38"/>
      <c r="AN944" s="38"/>
      <c r="AO944" s="40"/>
      <c r="AP944" s="41"/>
    </row>
    <row r="945">
      <c r="A945" s="38"/>
      <c r="B945" s="38"/>
      <c r="C945" s="38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8"/>
      <c r="AK945" s="38"/>
      <c r="AL945" s="38"/>
      <c r="AM945" s="38"/>
      <c r="AN945" s="38"/>
      <c r="AO945" s="40"/>
      <c r="AP945" s="41"/>
    </row>
    <row r="946">
      <c r="A946" s="38"/>
      <c r="B946" s="38"/>
      <c r="C946" s="38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8"/>
      <c r="AK946" s="38"/>
      <c r="AL946" s="38"/>
      <c r="AM946" s="38"/>
      <c r="AN946" s="38"/>
      <c r="AO946" s="40"/>
      <c r="AP946" s="41"/>
    </row>
    <row r="947">
      <c r="A947" s="38"/>
      <c r="B947" s="38"/>
      <c r="C947" s="38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8"/>
      <c r="AK947" s="38"/>
      <c r="AL947" s="38"/>
      <c r="AM947" s="38"/>
      <c r="AN947" s="38"/>
      <c r="AO947" s="40"/>
      <c r="AP947" s="41"/>
    </row>
    <row r="948">
      <c r="A948" s="38"/>
      <c r="B948" s="38"/>
      <c r="C948" s="38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8"/>
      <c r="AK948" s="38"/>
      <c r="AL948" s="38"/>
      <c r="AM948" s="38"/>
      <c r="AN948" s="38"/>
      <c r="AO948" s="40"/>
      <c r="AP948" s="41"/>
    </row>
    <row r="949">
      <c r="A949" s="38"/>
      <c r="B949" s="38"/>
      <c r="C949" s="38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8"/>
      <c r="AK949" s="38"/>
      <c r="AL949" s="38"/>
      <c r="AM949" s="38"/>
      <c r="AN949" s="38"/>
      <c r="AO949" s="40"/>
      <c r="AP949" s="41"/>
    </row>
    <row r="950">
      <c r="A950" s="38"/>
      <c r="B950" s="38"/>
      <c r="C950" s="38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8"/>
      <c r="AK950" s="38"/>
      <c r="AL950" s="38"/>
      <c r="AM950" s="38"/>
      <c r="AN950" s="38"/>
      <c r="AO950" s="40"/>
      <c r="AP950" s="41"/>
    </row>
    <row r="951">
      <c r="A951" s="38"/>
      <c r="B951" s="38"/>
      <c r="C951" s="38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8"/>
      <c r="AK951" s="38"/>
      <c r="AL951" s="38"/>
      <c r="AM951" s="38"/>
      <c r="AN951" s="38"/>
      <c r="AO951" s="40"/>
      <c r="AP951" s="41"/>
    </row>
    <row r="952">
      <c r="A952" s="38"/>
      <c r="B952" s="38"/>
      <c r="C952" s="38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8"/>
      <c r="AK952" s="38"/>
      <c r="AL952" s="38"/>
      <c r="AM952" s="38"/>
      <c r="AN952" s="38"/>
      <c r="AO952" s="40"/>
      <c r="AP952" s="41"/>
    </row>
    <row r="953">
      <c r="A953" s="38"/>
      <c r="B953" s="38"/>
      <c r="C953" s="38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8"/>
      <c r="AK953" s="38"/>
      <c r="AL953" s="38"/>
      <c r="AM953" s="38"/>
      <c r="AN953" s="38"/>
      <c r="AO953" s="40"/>
      <c r="AP953" s="41"/>
    </row>
    <row r="954">
      <c r="A954" s="38"/>
      <c r="B954" s="38"/>
      <c r="C954" s="38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8"/>
      <c r="AK954" s="38"/>
      <c r="AL954" s="38"/>
      <c r="AM954" s="38"/>
      <c r="AN954" s="38"/>
      <c r="AO954" s="40"/>
      <c r="AP954" s="41"/>
    </row>
    <row r="955">
      <c r="A955" s="38"/>
      <c r="B955" s="38"/>
      <c r="C955" s="38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8"/>
      <c r="AK955" s="38"/>
      <c r="AL955" s="38"/>
      <c r="AM955" s="38"/>
      <c r="AN955" s="38"/>
      <c r="AO955" s="40"/>
      <c r="AP955" s="41"/>
    </row>
    <row r="956">
      <c r="A956" s="38"/>
      <c r="B956" s="38"/>
      <c r="C956" s="38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8"/>
      <c r="AK956" s="38"/>
      <c r="AL956" s="38"/>
      <c r="AM956" s="38"/>
      <c r="AN956" s="38"/>
      <c r="AO956" s="40"/>
      <c r="AP956" s="41"/>
    </row>
    <row r="957">
      <c r="A957" s="38"/>
      <c r="B957" s="38"/>
      <c r="C957" s="38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8"/>
      <c r="AK957" s="38"/>
      <c r="AL957" s="38"/>
      <c r="AM957" s="38"/>
      <c r="AN957" s="38"/>
      <c r="AO957" s="40"/>
      <c r="AP957" s="41"/>
    </row>
    <row r="958">
      <c r="A958" s="38"/>
      <c r="B958" s="38"/>
      <c r="C958" s="38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8"/>
      <c r="AK958" s="38"/>
      <c r="AL958" s="38"/>
      <c r="AM958" s="38"/>
      <c r="AN958" s="38"/>
      <c r="AO958" s="40"/>
      <c r="AP958" s="41"/>
    </row>
    <row r="959">
      <c r="A959" s="38"/>
      <c r="B959" s="38"/>
      <c r="C959" s="38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8"/>
      <c r="AK959" s="38"/>
      <c r="AL959" s="38"/>
      <c r="AM959" s="38"/>
      <c r="AN959" s="38"/>
      <c r="AO959" s="40"/>
      <c r="AP959" s="41"/>
    </row>
    <row r="960">
      <c r="A960" s="38"/>
      <c r="B960" s="38"/>
      <c r="C960" s="38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8"/>
      <c r="AK960" s="38"/>
      <c r="AL960" s="38"/>
      <c r="AM960" s="38"/>
      <c r="AN960" s="38"/>
      <c r="AO960" s="40"/>
      <c r="AP960" s="41"/>
    </row>
    <row r="961">
      <c r="A961" s="38"/>
      <c r="B961" s="38"/>
      <c r="C961" s="38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8"/>
      <c r="AK961" s="38"/>
      <c r="AL961" s="38"/>
      <c r="AM961" s="38"/>
      <c r="AN961" s="38"/>
      <c r="AO961" s="40"/>
      <c r="AP961" s="41"/>
    </row>
    <row r="962">
      <c r="A962" s="38"/>
      <c r="B962" s="38"/>
      <c r="C962" s="38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8"/>
      <c r="AK962" s="38"/>
      <c r="AL962" s="38"/>
      <c r="AM962" s="38"/>
      <c r="AN962" s="38"/>
      <c r="AO962" s="40"/>
      <c r="AP962" s="41"/>
    </row>
    <row r="963">
      <c r="A963" s="38"/>
      <c r="B963" s="38"/>
      <c r="C963" s="38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8"/>
      <c r="AK963" s="38"/>
      <c r="AL963" s="38"/>
      <c r="AM963" s="38"/>
      <c r="AN963" s="38"/>
      <c r="AO963" s="40"/>
      <c r="AP963" s="41"/>
    </row>
    <row r="964">
      <c r="A964" s="38"/>
      <c r="B964" s="38"/>
      <c r="C964" s="38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8"/>
      <c r="AK964" s="38"/>
      <c r="AL964" s="38"/>
      <c r="AM964" s="38"/>
      <c r="AN964" s="38"/>
      <c r="AO964" s="40"/>
      <c r="AP964" s="41"/>
    </row>
    <row r="965">
      <c r="A965" s="38"/>
      <c r="B965" s="38"/>
      <c r="C965" s="38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8"/>
      <c r="AK965" s="38"/>
      <c r="AL965" s="38"/>
      <c r="AM965" s="38"/>
      <c r="AN965" s="38"/>
      <c r="AO965" s="40"/>
      <c r="AP965" s="41"/>
    </row>
    <row r="966">
      <c r="A966" s="38"/>
      <c r="B966" s="38"/>
      <c r="C966" s="38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8"/>
      <c r="AK966" s="38"/>
      <c r="AL966" s="38"/>
      <c r="AM966" s="38"/>
      <c r="AN966" s="38"/>
      <c r="AO966" s="40"/>
      <c r="AP966" s="41"/>
    </row>
    <row r="967">
      <c r="A967" s="38"/>
      <c r="B967" s="38"/>
      <c r="C967" s="38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8"/>
      <c r="AK967" s="38"/>
      <c r="AL967" s="38"/>
      <c r="AM967" s="38"/>
      <c r="AN967" s="38"/>
      <c r="AO967" s="40"/>
      <c r="AP967" s="41"/>
    </row>
    <row r="968">
      <c r="A968" s="38"/>
      <c r="B968" s="38"/>
      <c r="C968" s="38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8"/>
      <c r="AK968" s="38"/>
      <c r="AL968" s="38"/>
      <c r="AM968" s="38"/>
      <c r="AN968" s="38"/>
      <c r="AO968" s="40"/>
      <c r="AP968" s="41"/>
    </row>
    <row r="969">
      <c r="A969" s="38"/>
      <c r="B969" s="38"/>
      <c r="C969" s="38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8"/>
      <c r="AK969" s="38"/>
      <c r="AL969" s="38"/>
      <c r="AM969" s="38"/>
      <c r="AN969" s="38"/>
      <c r="AO969" s="40"/>
      <c r="AP969" s="41"/>
    </row>
    <row r="970">
      <c r="A970" s="38"/>
      <c r="B970" s="38"/>
      <c r="C970" s="38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8"/>
      <c r="AK970" s="38"/>
      <c r="AL970" s="38"/>
      <c r="AM970" s="38"/>
      <c r="AN970" s="38"/>
      <c r="AO970" s="40"/>
      <c r="AP970" s="41"/>
    </row>
    <row r="971">
      <c r="A971" s="38"/>
      <c r="B971" s="38"/>
      <c r="C971" s="38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8"/>
      <c r="AK971" s="38"/>
      <c r="AL971" s="38"/>
      <c r="AM971" s="38"/>
      <c r="AN971" s="38"/>
      <c r="AO971" s="40"/>
      <c r="AP971" s="41"/>
    </row>
    <row r="972">
      <c r="A972" s="38"/>
      <c r="B972" s="38"/>
      <c r="C972" s="38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8"/>
      <c r="AK972" s="38"/>
      <c r="AL972" s="38"/>
      <c r="AM972" s="38"/>
      <c r="AN972" s="38"/>
      <c r="AO972" s="40"/>
      <c r="AP972" s="41"/>
    </row>
    <row r="973">
      <c r="A973" s="38"/>
      <c r="B973" s="38"/>
      <c r="C973" s="38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8"/>
      <c r="AK973" s="38"/>
      <c r="AL973" s="38"/>
      <c r="AM973" s="38"/>
      <c r="AN973" s="38"/>
      <c r="AO973" s="40"/>
      <c r="AP973" s="41"/>
    </row>
    <row r="974">
      <c r="A974" s="38"/>
      <c r="B974" s="38"/>
      <c r="C974" s="38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8"/>
      <c r="AK974" s="38"/>
      <c r="AL974" s="38"/>
      <c r="AM974" s="38"/>
      <c r="AN974" s="38"/>
      <c r="AO974" s="40"/>
      <c r="AP974" s="41"/>
    </row>
    <row r="975">
      <c r="A975" s="38"/>
      <c r="B975" s="38"/>
      <c r="C975" s="38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8"/>
      <c r="AK975" s="38"/>
      <c r="AL975" s="38"/>
      <c r="AM975" s="38"/>
      <c r="AN975" s="38"/>
      <c r="AO975" s="40"/>
      <c r="AP975" s="41"/>
    </row>
    <row r="976">
      <c r="A976" s="38"/>
      <c r="B976" s="38"/>
      <c r="C976" s="38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8"/>
      <c r="AK976" s="38"/>
      <c r="AL976" s="38"/>
      <c r="AM976" s="38"/>
      <c r="AN976" s="38"/>
      <c r="AO976" s="40"/>
      <c r="AP976" s="41"/>
    </row>
    <row r="977">
      <c r="A977" s="38"/>
      <c r="B977" s="38"/>
      <c r="C977" s="38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8"/>
      <c r="AK977" s="38"/>
      <c r="AL977" s="38"/>
      <c r="AM977" s="38"/>
      <c r="AN977" s="38"/>
      <c r="AO977" s="40"/>
      <c r="AP977" s="41"/>
    </row>
    <row r="978">
      <c r="A978" s="38"/>
      <c r="B978" s="38"/>
      <c r="C978" s="38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8"/>
      <c r="AK978" s="38"/>
      <c r="AL978" s="38"/>
      <c r="AM978" s="38"/>
      <c r="AN978" s="38"/>
      <c r="AO978" s="40"/>
      <c r="AP978" s="41"/>
    </row>
    <row r="979">
      <c r="A979" s="38"/>
      <c r="B979" s="38"/>
      <c r="C979" s="38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8"/>
      <c r="AK979" s="38"/>
      <c r="AL979" s="38"/>
      <c r="AM979" s="38"/>
      <c r="AN979" s="38"/>
      <c r="AO979" s="40"/>
      <c r="AP979" s="41"/>
    </row>
    <row r="980">
      <c r="A980" s="38"/>
      <c r="B980" s="38"/>
      <c r="C980" s="38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8"/>
      <c r="AK980" s="38"/>
      <c r="AL980" s="38"/>
      <c r="AM980" s="38"/>
      <c r="AN980" s="38"/>
      <c r="AO980" s="40"/>
      <c r="AP980" s="41"/>
    </row>
    <row r="981">
      <c r="A981" s="38"/>
      <c r="B981" s="38"/>
      <c r="C981" s="38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8"/>
      <c r="AK981" s="38"/>
      <c r="AL981" s="38"/>
      <c r="AM981" s="38"/>
      <c r="AN981" s="38"/>
      <c r="AO981" s="40"/>
      <c r="AP981" s="41"/>
    </row>
    <row r="982">
      <c r="A982" s="38"/>
      <c r="B982" s="38"/>
      <c r="C982" s="38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8"/>
      <c r="AK982" s="38"/>
      <c r="AL982" s="38"/>
      <c r="AM982" s="38"/>
      <c r="AN982" s="38"/>
      <c r="AO982" s="40"/>
      <c r="AP982" s="41"/>
    </row>
    <row r="983">
      <c r="A983" s="38"/>
      <c r="B983" s="38"/>
      <c r="C983" s="38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8"/>
      <c r="AK983" s="38"/>
      <c r="AL983" s="38"/>
      <c r="AM983" s="38"/>
      <c r="AN983" s="38"/>
      <c r="AO983" s="40"/>
      <c r="AP983" s="41"/>
    </row>
    <row r="984">
      <c r="A984" s="38"/>
      <c r="B984" s="38"/>
      <c r="C984" s="38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8"/>
      <c r="AK984" s="38"/>
      <c r="AL984" s="38"/>
      <c r="AM984" s="38"/>
      <c r="AN984" s="38"/>
      <c r="AO984" s="40"/>
      <c r="AP984" s="41"/>
    </row>
    <row r="985">
      <c r="A985" s="38"/>
      <c r="B985" s="38"/>
      <c r="C985" s="38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8"/>
      <c r="AK985" s="38"/>
      <c r="AL985" s="38"/>
      <c r="AM985" s="38"/>
      <c r="AN985" s="38"/>
      <c r="AO985" s="40"/>
      <c r="AP985" s="41"/>
    </row>
    <row r="986">
      <c r="A986" s="38"/>
      <c r="B986" s="38"/>
      <c r="C986" s="38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8"/>
      <c r="AK986" s="38"/>
      <c r="AL986" s="38"/>
      <c r="AM986" s="38"/>
      <c r="AN986" s="38"/>
      <c r="AO986" s="40"/>
      <c r="AP986" s="41"/>
    </row>
    <row r="987">
      <c r="A987" s="38"/>
      <c r="B987" s="38"/>
      <c r="C987" s="38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8"/>
      <c r="AK987" s="38"/>
      <c r="AL987" s="38"/>
      <c r="AM987" s="38"/>
      <c r="AN987" s="38"/>
      <c r="AO987" s="40"/>
      <c r="AP987" s="41"/>
    </row>
    <row r="988">
      <c r="A988" s="38"/>
      <c r="B988" s="38"/>
      <c r="C988" s="38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8"/>
      <c r="AK988" s="38"/>
      <c r="AL988" s="38"/>
      <c r="AM988" s="38"/>
      <c r="AN988" s="38"/>
      <c r="AO988" s="40"/>
      <c r="AP988" s="41"/>
    </row>
    <row r="989">
      <c r="A989" s="38"/>
      <c r="B989" s="38"/>
      <c r="C989" s="38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8"/>
      <c r="AK989" s="38"/>
      <c r="AL989" s="38"/>
      <c r="AM989" s="38"/>
      <c r="AN989" s="38"/>
      <c r="AO989" s="40"/>
      <c r="AP989" s="41"/>
    </row>
    <row r="990">
      <c r="A990" s="38"/>
      <c r="B990" s="38"/>
      <c r="C990" s="38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8"/>
      <c r="AK990" s="38"/>
      <c r="AL990" s="38"/>
      <c r="AM990" s="38"/>
      <c r="AN990" s="38"/>
      <c r="AO990" s="40"/>
      <c r="AP990" s="41"/>
    </row>
    <row r="991">
      <c r="A991" s="38"/>
      <c r="B991" s="38"/>
      <c r="C991" s="38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8"/>
      <c r="AK991" s="38"/>
      <c r="AL991" s="38"/>
      <c r="AM991" s="38"/>
      <c r="AN991" s="38"/>
      <c r="AO991" s="40"/>
      <c r="AP991" s="41"/>
    </row>
    <row r="992">
      <c r="A992" s="38"/>
      <c r="B992" s="38"/>
      <c r="C992" s="38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8"/>
      <c r="AK992" s="38"/>
      <c r="AL992" s="38"/>
      <c r="AM992" s="38"/>
      <c r="AN992" s="38"/>
      <c r="AO992" s="40"/>
      <c r="AP992" s="41"/>
    </row>
    <row r="993">
      <c r="A993" s="38"/>
      <c r="B993" s="38"/>
      <c r="C993" s="38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8"/>
      <c r="AK993" s="38"/>
      <c r="AL993" s="38"/>
      <c r="AM993" s="38"/>
      <c r="AN993" s="38"/>
      <c r="AO993" s="40"/>
      <c r="AP993" s="41"/>
    </row>
    <row r="994">
      <c r="A994" s="38"/>
      <c r="B994" s="38"/>
      <c r="C994" s="38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8"/>
      <c r="AK994" s="38"/>
      <c r="AL994" s="38"/>
      <c r="AM994" s="38"/>
      <c r="AN994" s="38"/>
      <c r="AO994" s="40"/>
      <c r="AP994" s="41"/>
    </row>
    <row r="995">
      <c r="A995" s="38"/>
      <c r="B995" s="38"/>
      <c r="C995" s="38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8"/>
      <c r="AK995" s="38"/>
      <c r="AL995" s="38"/>
      <c r="AM995" s="38"/>
      <c r="AN995" s="38"/>
      <c r="AO995" s="40"/>
      <c r="AP995" s="41"/>
    </row>
    <row r="996">
      <c r="A996" s="38"/>
      <c r="B996" s="38"/>
      <c r="C996" s="38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8"/>
      <c r="AK996" s="38"/>
      <c r="AL996" s="38"/>
      <c r="AM996" s="38"/>
      <c r="AN996" s="38"/>
      <c r="AO996" s="40"/>
      <c r="AP996" s="41"/>
    </row>
    <row r="997">
      <c r="A997" s="38"/>
      <c r="B997" s="38"/>
      <c r="C997" s="38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8"/>
      <c r="AK997" s="38"/>
      <c r="AL997" s="38"/>
      <c r="AM997" s="38"/>
      <c r="AN997" s="38"/>
      <c r="AO997" s="40"/>
      <c r="AP997" s="41"/>
    </row>
  </sheetData>
  <autoFilter ref="$A$2:$H$14"/>
  <mergeCells count="4">
    <mergeCell ref="I1:O1"/>
    <mergeCell ref="P1:V1"/>
    <mergeCell ref="W1:AD1"/>
    <mergeCell ref="AE1:AL1"/>
  </mergeCells>
  <conditionalFormatting sqref="H3:H14">
    <cfRule type="colorScale" priority="1">
      <colorScale>
        <cfvo type="formula" val="0"/>
        <cfvo type="max"/>
        <color rgb="FFFFFFFF"/>
        <color rgb="FFE67C73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4.29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5.86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5.86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5.86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32.71"/>
    <col customWidth="1" min="3" max="7" width="11.43"/>
    <col customWidth="1" min="8" max="8" width="15.86"/>
    <col customWidth="1" min="9" max="12" width="11.43"/>
    <col customWidth="1" min="13" max="13" width="10.43"/>
    <col customWidth="1" min="14" max="14" width="11.71"/>
    <col customWidth="1" min="15" max="15" width="22.14"/>
    <col customWidth="1" min="16" max="27" width="19.0"/>
  </cols>
  <sheetData>
    <row r="1">
      <c r="A1" s="47"/>
      <c r="B1" s="48" t="s">
        <v>78</v>
      </c>
      <c r="C1" s="49" t="s">
        <v>79</v>
      </c>
      <c r="D1" s="50"/>
      <c r="E1" s="50"/>
      <c r="F1" s="50"/>
      <c r="G1" s="50"/>
      <c r="H1" s="50"/>
      <c r="I1" s="50"/>
      <c r="J1" s="50"/>
      <c r="K1" s="51" t="s">
        <v>80</v>
      </c>
      <c r="L1" s="52">
        <f>AVERAGE(L4:L21)</f>
        <v>0</v>
      </c>
      <c r="M1" s="53"/>
      <c r="N1" s="54"/>
      <c r="O1" s="55"/>
      <c r="P1" s="56"/>
    </row>
    <row r="2">
      <c r="A2" s="57" t="s">
        <v>81</v>
      </c>
      <c r="B2" s="58" t="s">
        <v>82</v>
      </c>
      <c r="C2" s="59" t="s">
        <v>83</v>
      </c>
      <c r="D2" s="60"/>
      <c r="E2" s="60"/>
      <c r="F2" s="60"/>
      <c r="G2" s="61"/>
      <c r="H2" s="59" t="s">
        <v>84</v>
      </c>
      <c r="I2" s="60"/>
      <c r="J2" s="60"/>
      <c r="K2" s="60"/>
      <c r="L2" s="61"/>
      <c r="M2" s="53"/>
      <c r="N2" s="54"/>
      <c r="O2" s="55"/>
      <c r="P2" s="56"/>
    </row>
    <row r="3">
      <c r="A3" s="57" t="s">
        <v>85</v>
      </c>
      <c r="B3" s="57" t="s">
        <v>86</v>
      </c>
      <c r="C3" s="62" t="s">
        <v>87</v>
      </c>
      <c r="D3" s="58" t="s">
        <v>88</v>
      </c>
      <c r="E3" s="58" t="s">
        <v>89</v>
      </c>
      <c r="F3" s="62" t="s">
        <v>90</v>
      </c>
      <c r="G3" s="58" t="s">
        <v>91</v>
      </c>
      <c r="H3" s="58" t="s">
        <v>87</v>
      </c>
      <c r="I3" s="58" t="s">
        <v>88</v>
      </c>
      <c r="J3" s="58" t="s">
        <v>90</v>
      </c>
      <c r="K3" s="58" t="s">
        <v>92</v>
      </c>
      <c r="L3" s="62" t="s">
        <v>93</v>
      </c>
      <c r="M3" s="53"/>
      <c r="N3" s="54"/>
      <c r="O3" s="55"/>
      <c r="P3" s="56"/>
    </row>
    <row r="4">
      <c r="A4" s="63" t="s">
        <v>0</v>
      </c>
      <c r="B4" s="64" t="s">
        <v>94</v>
      </c>
      <c r="C4" s="65">
        <f t="shared" ref="C4:C21" si="1">COUNTIFS($A$23:$A$370,$A4,$B$23:$B370,$B4,$H$23:$H$370,$C$3,$N$23:$N$370,"")+COUNTIFS($A$23:$A$370,$A4,$B$23:$B$370,$B4,$H$23:$H$370,$C$3,$N$23:$N$370,$B$2)</f>
        <v>1</v>
      </c>
      <c r="D4" s="14">
        <f t="shared" ref="D4:D21" si="2">COUNTIFS($A$23:$A$370,$A4,$B$23:$B$370,$B4,$H$23:$H$370,$D$3,$N$23:$N$370,"")+COUNTIFS($A$23:$A$370,$A4,$B$23:$B$370,$B4,$H$23:$H$370,$D$3,$N$23:$N$370,$B$2)</f>
        <v>52</v>
      </c>
      <c r="E4" s="14">
        <v>5.0</v>
      </c>
      <c r="F4" s="14">
        <f t="shared" ref="F4:F21" si="3">COUNTIFS($A$23:$A$370,$A4,$B$23:$B$370,$B4,$H$23:$H$370,$F$3)</f>
        <v>1</v>
      </c>
      <c r="G4" s="66">
        <f t="shared" ref="G4:G21" si="4">C4+E4</f>
        <v>6</v>
      </c>
      <c r="H4" s="65">
        <f t="shared" ref="H4:H21" si="5">COUNTIFS($A$23:$A$370,$A4,$B$23:$B$370,$B4,$H$23:$H$370,$H$3,$N$23:$N$370,"",$P$23:$P$370,"Sim")+COUNTIFS($A$23:$A$370,$A4,$B$23:$B$370,$B4,$H$23:$H$370,$H$3,$N$23:$N370,$B$2,$P$23:$P$370,"Sim")</f>
        <v>0</v>
      </c>
      <c r="I4" s="14">
        <f t="shared" ref="I4:I21" si="6">COUNTIFS($A$23:$A$370,$A4,$B$23:$B$370,$B4,$H$23:$H$370,$I$3,$N$23:$N$370,"",$P$23:$P$370,"Sim")+COUNTIFS($A$23:$A$370,$A4,$B$23:$B$370,$B4,$H$23:$H$370,$I$3,$N$23:$N$370,$B$2,$P$23:$P$370,"Sim")</f>
        <v>0</v>
      </c>
      <c r="J4" s="14">
        <f t="shared" ref="J4:J21" si="7">COUNTIFS($A$23:$A$370,$A4,$B$23:$B$370,$B4,$H$23:$H$370,$J$3,$N$23:$N$370,"",$P$23:$P$370,"Sim")+COUNTIFS($A$23:$A$370,$A4,$B$23:$B$370,$B4,$H$23:$H$370,$J$3,$N$23:$N$370,$B$2,$P$23:$P$370,"Sim")</f>
        <v>0</v>
      </c>
      <c r="K4" s="14">
        <f t="shared" ref="K4:K21" si="8">IF(J4=0,IF(I4&gt;=E4,E4,I4),if(J4&gt;=F4,E4))+IF(H4&gt;=C4,C4,H4)</f>
        <v>0</v>
      </c>
      <c r="L4" s="67">
        <f t="shared" ref="L4:L21" si="9">K4/G4</f>
        <v>0</v>
      </c>
      <c r="M4" s="53"/>
      <c r="N4" s="54"/>
      <c r="O4" s="55"/>
      <c r="P4" s="56"/>
    </row>
    <row r="5">
      <c r="A5" s="63" t="s">
        <v>0</v>
      </c>
      <c r="B5" s="64" t="s">
        <v>13</v>
      </c>
      <c r="C5" s="65">
        <f t="shared" si="1"/>
        <v>1</v>
      </c>
      <c r="D5" s="14">
        <f t="shared" si="2"/>
        <v>6</v>
      </c>
      <c r="E5" s="14">
        <v>4.0</v>
      </c>
      <c r="F5" s="14">
        <f t="shared" si="3"/>
        <v>1</v>
      </c>
      <c r="G5" s="66">
        <f t="shared" si="4"/>
        <v>5</v>
      </c>
      <c r="H5" s="65">
        <f t="shared" si="5"/>
        <v>0</v>
      </c>
      <c r="I5" s="14">
        <f t="shared" si="6"/>
        <v>0</v>
      </c>
      <c r="J5" s="14">
        <f t="shared" si="7"/>
        <v>0</v>
      </c>
      <c r="K5" s="14">
        <f t="shared" si="8"/>
        <v>0</v>
      </c>
      <c r="L5" s="67">
        <f t="shared" si="9"/>
        <v>0</v>
      </c>
      <c r="M5" s="53"/>
      <c r="N5" s="54"/>
      <c r="O5" s="55"/>
      <c r="P5" s="56"/>
    </row>
    <row r="6">
      <c r="A6" s="63" t="s">
        <v>0</v>
      </c>
      <c r="B6" s="64" t="s">
        <v>14</v>
      </c>
      <c r="C6" s="65">
        <f t="shared" si="1"/>
        <v>1</v>
      </c>
      <c r="D6" s="14">
        <f t="shared" si="2"/>
        <v>9</v>
      </c>
      <c r="E6" s="14">
        <v>5.0</v>
      </c>
      <c r="F6" s="14">
        <f t="shared" si="3"/>
        <v>1</v>
      </c>
      <c r="G6" s="66">
        <f t="shared" si="4"/>
        <v>6</v>
      </c>
      <c r="H6" s="65">
        <f t="shared" si="5"/>
        <v>0</v>
      </c>
      <c r="I6" s="14">
        <f t="shared" si="6"/>
        <v>0</v>
      </c>
      <c r="J6" s="14">
        <f t="shared" si="7"/>
        <v>0</v>
      </c>
      <c r="K6" s="14">
        <f t="shared" si="8"/>
        <v>0</v>
      </c>
      <c r="L6" s="67">
        <f t="shared" si="9"/>
        <v>0</v>
      </c>
      <c r="M6" s="53"/>
      <c r="N6" s="54"/>
      <c r="O6" s="55"/>
      <c r="P6" s="56"/>
    </row>
    <row r="7">
      <c r="A7" s="63" t="s">
        <v>0</v>
      </c>
      <c r="B7" s="64" t="s">
        <v>15</v>
      </c>
      <c r="C7" s="65">
        <f t="shared" si="1"/>
        <v>0</v>
      </c>
      <c r="D7" s="14">
        <f t="shared" si="2"/>
        <v>6</v>
      </c>
      <c r="E7" s="14">
        <v>3.0</v>
      </c>
      <c r="F7" s="14">
        <f t="shared" si="3"/>
        <v>0</v>
      </c>
      <c r="G7" s="66">
        <f t="shared" si="4"/>
        <v>3</v>
      </c>
      <c r="H7" s="65">
        <f t="shared" si="5"/>
        <v>0</v>
      </c>
      <c r="I7" s="14">
        <f t="shared" si="6"/>
        <v>0</v>
      </c>
      <c r="J7" s="14">
        <f t="shared" si="7"/>
        <v>0</v>
      </c>
      <c r="K7" s="14">
        <f t="shared" si="8"/>
        <v>0</v>
      </c>
      <c r="L7" s="67">
        <f t="shared" si="9"/>
        <v>0</v>
      </c>
      <c r="M7" s="53"/>
      <c r="N7" s="54"/>
      <c r="O7" s="55"/>
      <c r="P7" s="56"/>
    </row>
    <row r="8">
      <c r="A8" s="68" t="s">
        <v>1</v>
      </c>
      <c r="B8" s="69" t="s">
        <v>19</v>
      </c>
      <c r="C8" s="70">
        <f t="shared" si="1"/>
        <v>1</v>
      </c>
      <c r="D8" s="15">
        <f t="shared" si="2"/>
        <v>13</v>
      </c>
      <c r="E8" s="16">
        <v>5.0</v>
      </c>
      <c r="F8" s="15">
        <f t="shared" si="3"/>
        <v>1</v>
      </c>
      <c r="G8" s="71">
        <f t="shared" si="4"/>
        <v>6</v>
      </c>
      <c r="H8" s="70">
        <f t="shared" si="5"/>
        <v>0</v>
      </c>
      <c r="I8" s="15">
        <f t="shared" si="6"/>
        <v>0</v>
      </c>
      <c r="J8" s="15">
        <f t="shared" si="7"/>
        <v>0</v>
      </c>
      <c r="K8" s="15">
        <f t="shared" si="8"/>
        <v>0</v>
      </c>
      <c r="L8" s="72">
        <f t="shared" si="9"/>
        <v>0</v>
      </c>
      <c r="M8" s="53"/>
      <c r="N8" s="54"/>
      <c r="O8" s="55"/>
      <c r="P8" s="56"/>
    </row>
    <row r="9">
      <c r="A9" s="68" t="s">
        <v>1</v>
      </c>
      <c r="B9" s="69" t="s">
        <v>20</v>
      </c>
      <c r="C9" s="70">
        <f t="shared" si="1"/>
        <v>0</v>
      </c>
      <c r="D9" s="15">
        <f t="shared" si="2"/>
        <v>13</v>
      </c>
      <c r="E9" s="16">
        <v>4.0</v>
      </c>
      <c r="F9" s="15">
        <f t="shared" si="3"/>
        <v>1</v>
      </c>
      <c r="G9" s="71">
        <f t="shared" si="4"/>
        <v>4</v>
      </c>
      <c r="H9" s="70">
        <f t="shared" si="5"/>
        <v>0</v>
      </c>
      <c r="I9" s="15">
        <f t="shared" si="6"/>
        <v>0</v>
      </c>
      <c r="J9" s="15">
        <f t="shared" si="7"/>
        <v>0</v>
      </c>
      <c r="K9" s="15">
        <f t="shared" si="8"/>
        <v>0</v>
      </c>
      <c r="L9" s="72">
        <f t="shared" si="9"/>
        <v>0</v>
      </c>
      <c r="M9" s="53"/>
      <c r="N9" s="54"/>
      <c r="O9" s="55"/>
      <c r="P9" s="56"/>
    </row>
    <row r="10">
      <c r="A10" s="68" t="s">
        <v>1</v>
      </c>
      <c r="B10" s="69" t="s">
        <v>21</v>
      </c>
      <c r="C10" s="70">
        <f t="shared" si="1"/>
        <v>1</v>
      </c>
      <c r="D10" s="15">
        <f t="shared" si="2"/>
        <v>18</v>
      </c>
      <c r="E10" s="16">
        <v>5.0</v>
      </c>
      <c r="F10" s="15">
        <f t="shared" si="3"/>
        <v>1</v>
      </c>
      <c r="G10" s="71">
        <f t="shared" si="4"/>
        <v>6</v>
      </c>
      <c r="H10" s="70">
        <f t="shared" si="5"/>
        <v>0</v>
      </c>
      <c r="I10" s="15">
        <f t="shared" si="6"/>
        <v>0</v>
      </c>
      <c r="J10" s="15">
        <f t="shared" si="7"/>
        <v>0</v>
      </c>
      <c r="K10" s="15">
        <f t="shared" si="8"/>
        <v>0</v>
      </c>
      <c r="L10" s="72">
        <f t="shared" si="9"/>
        <v>0</v>
      </c>
      <c r="M10" s="53"/>
      <c r="N10" s="54"/>
      <c r="O10" s="55"/>
      <c r="P10" s="56"/>
    </row>
    <row r="11">
      <c r="A11" s="68" t="s">
        <v>1</v>
      </c>
      <c r="B11" s="69" t="s">
        <v>22</v>
      </c>
      <c r="C11" s="70">
        <f t="shared" si="1"/>
        <v>6</v>
      </c>
      <c r="D11" s="15">
        <f t="shared" si="2"/>
        <v>12</v>
      </c>
      <c r="E11" s="16">
        <v>4.0</v>
      </c>
      <c r="F11" s="15">
        <f t="shared" si="3"/>
        <v>1</v>
      </c>
      <c r="G11" s="71">
        <f t="shared" si="4"/>
        <v>10</v>
      </c>
      <c r="H11" s="70">
        <f t="shared" si="5"/>
        <v>0</v>
      </c>
      <c r="I11" s="15">
        <f t="shared" si="6"/>
        <v>0</v>
      </c>
      <c r="J11" s="15">
        <f t="shared" si="7"/>
        <v>0</v>
      </c>
      <c r="K11" s="15">
        <f t="shared" si="8"/>
        <v>0</v>
      </c>
      <c r="L11" s="72">
        <f t="shared" si="9"/>
        <v>0</v>
      </c>
      <c r="M11" s="53"/>
      <c r="N11" s="54"/>
      <c r="O11" s="55"/>
      <c r="P11" s="56"/>
    </row>
    <row r="12">
      <c r="A12" s="73" t="s">
        <v>2</v>
      </c>
      <c r="B12" s="74" t="s">
        <v>23</v>
      </c>
      <c r="C12" s="75">
        <f t="shared" si="1"/>
        <v>2</v>
      </c>
      <c r="D12" s="17">
        <f t="shared" si="2"/>
        <v>9</v>
      </c>
      <c r="E12" s="18">
        <v>3.0</v>
      </c>
      <c r="F12" s="17">
        <f t="shared" si="3"/>
        <v>1</v>
      </c>
      <c r="G12" s="76">
        <f t="shared" si="4"/>
        <v>5</v>
      </c>
      <c r="H12" s="75">
        <f t="shared" si="5"/>
        <v>0</v>
      </c>
      <c r="I12" s="17">
        <f t="shared" si="6"/>
        <v>0</v>
      </c>
      <c r="J12" s="17">
        <f t="shared" si="7"/>
        <v>0</v>
      </c>
      <c r="K12" s="17">
        <f t="shared" si="8"/>
        <v>0</v>
      </c>
      <c r="L12" s="77">
        <f t="shared" si="9"/>
        <v>0</v>
      </c>
      <c r="M12" s="53"/>
      <c r="N12" s="54"/>
      <c r="O12" s="55"/>
      <c r="P12" s="56"/>
    </row>
    <row r="13">
      <c r="A13" s="73" t="s">
        <v>2</v>
      </c>
      <c r="B13" s="74" t="s">
        <v>24</v>
      </c>
      <c r="C13" s="75">
        <f t="shared" si="1"/>
        <v>3</v>
      </c>
      <c r="D13" s="17">
        <f t="shared" si="2"/>
        <v>8</v>
      </c>
      <c r="E13" s="18">
        <v>2.0</v>
      </c>
      <c r="F13" s="17">
        <f t="shared" si="3"/>
        <v>0</v>
      </c>
      <c r="G13" s="76">
        <f t="shared" si="4"/>
        <v>5</v>
      </c>
      <c r="H13" s="75">
        <f t="shared" si="5"/>
        <v>0</v>
      </c>
      <c r="I13" s="17">
        <f t="shared" si="6"/>
        <v>0</v>
      </c>
      <c r="J13" s="17">
        <f t="shared" si="7"/>
        <v>0</v>
      </c>
      <c r="K13" s="17">
        <f t="shared" si="8"/>
        <v>0</v>
      </c>
      <c r="L13" s="77">
        <f t="shared" si="9"/>
        <v>0</v>
      </c>
      <c r="M13" s="53"/>
      <c r="N13" s="54"/>
      <c r="O13" s="55"/>
      <c r="P13" s="56"/>
    </row>
    <row r="14">
      <c r="A14" s="73" t="s">
        <v>2</v>
      </c>
      <c r="B14" s="74" t="s">
        <v>25</v>
      </c>
      <c r="C14" s="75">
        <f t="shared" si="1"/>
        <v>1</v>
      </c>
      <c r="D14" s="17">
        <f t="shared" si="2"/>
        <v>34</v>
      </c>
      <c r="E14" s="18">
        <v>5.0</v>
      </c>
      <c r="F14" s="17">
        <f t="shared" si="3"/>
        <v>1</v>
      </c>
      <c r="G14" s="76">
        <f t="shared" si="4"/>
        <v>6</v>
      </c>
      <c r="H14" s="75">
        <f t="shared" si="5"/>
        <v>0</v>
      </c>
      <c r="I14" s="17">
        <f t="shared" si="6"/>
        <v>0</v>
      </c>
      <c r="J14" s="17">
        <f t="shared" si="7"/>
        <v>0</v>
      </c>
      <c r="K14" s="17">
        <f t="shared" si="8"/>
        <v>0</v>
      </c>
      <c r="L14" s="77">
        <f t="shared" si="9"/>
        <v>0</v>
      </c>
      <c r="M14" s="53"/>
      <c r="N14" s="54"/>
      <c r="O14" s="55"/>
      <c r="P14" s="56"/>
    </row>
    <row r="15">
      <c r="A15" s="73" t="s">
        <v>2</v>
      </c>
      <c r="B15" s="74" t="s">
        <v>26</v>
      </c>
      <c r="C15" s="75">
        <f t="shared" si="1"/>
        <v>1</v>
      </c>
      <c r="D15" s="17">
        <f t="shared" si="2"/>
        <v>15</v>
      </c>
      <c r="E15" s="18">
        <v>5.0</v>
      </c>
      <c r="F15" s="17">
        <f t="shared" si="3"/>
        <v>1</v>
      </c>
      <c r="G15" s="76">
        <f t="shared" si="4"/>
        <v>6</v>
      </c>
      <c r="H15" s="75">
        <f t="shared" si="5"/>
        <v>0</v>
      </c>
      <c r="I15" s="17">
        <f t="shared" si="6"/>
        <v>0</v>
      </c>
      <c r="J15" s="17">
        <f t="shared" si="7"/>
        <v>0</v>
      </c>
      <c r="K15" s="17">
        <f t="shared" si="8"/>
        <v>0</v>
      </c>
      <c r="L15" s="77">
        <f t="shared" si="9"/>
        <v>0</v>
      </c>
      <c r="M15" s="53"/>
      <c r="N15" s="54"/>
      <c r="O15" s="55"/>
      <c r="P15" s="56"/>
    </row>
    <row r="16">
      <c r="A16" s="73" t="s">
        <v>2</v>
      </c>
      <c r="B16" s="74" t="s">
        <v>27</v>
      </c>
      <c r="C16" s="75">
        <f t="shared" si="1"/>
        <v>1</v>
      </c>
      <c r="D16" s="17">
        <f t="shared" si="2"/>
        <v>9</v>
      </c>
      <c r="E16" s="18">
        <v>5.0</v>
      </c>
      <c r="F16" s="17">
        <f t="shared" si="3"/>
        <v>1</v>
      </c>
      <c r="G16" s="76">
        <f t="shared" si="4"/>
        <v>6</v>
      </c>
      <c r="H16" s="75">
        <f t="shared" si="5"/>
        <v>0</v>
      </c>
      <c r="I16" s="17">
        <f t="shared" si="6"/>
        <v>0</v>
      </c>
      <c r="J16" s="17">
        <f t="shared" si="7"/>
        <v>0</v>
      </c>
      <c r="K16" s="17">
        <f t="shared" si="8"/>
        <v>0</v>
      </c>
      <c r="L16" s="77">
        <f t="shared" si="9"/>
        <v>0</v>
      </c>
      <c r="M16" s="53"/>
      <c r="N16" s="54"/>
      <c r="O16" s="55"/>
      <c r="P16" s="56"/>
    </row>
    <row r="17">
      <c r="A17" s="78" t="s">
        <v>3</v>
      </c>
      <c r="B17" s="79" t="s">
        <v>28</v>
      </c>
      <c r="C17" s="80">
        <f t="shared" si="1"/>
        <v>4</v>
      </c>
      <c r="D17" s="19">
        <f t="shared" si="2"/>
        <v>13</v>
      </c>
      <c r="E17" s="20">
        <v>4.0</v>
      </c>
      <c r="F17" s="19">
        <f t="shared" si="3"/>
        <v>1</v>
      </c>
      <c r="G17" s="81">
        <f t="shared" si="4"/>
        <v>8</v>
      </c>
      <c r="H17" s="80">
        <f t="shared" si="5"/>
        <v>0</v>
      </c>
      <c r="I17" s="19">
        <f t="shared" si="6"/>
        <v>0</v>
      </c>
      <c r="J17" s="19">
        <f t="shared" si="7"/>
        <v>0</v>
      </c>
      <c r="K17" s="19">
        <f t="shared" si="8"/>
        <v>0</v>
      </c>
      <c r="L17" s="82">
        <f t="shared" si="9"/>
        <v>0</v>
      </c>
      <c r="M17" s="53"/>
      <c r="N17" s="54"/>
      <c r="O17" s="55"/>
      <c r="P17" s="56"/>
    </row>
    <row r="18">
      <c r="A18" s="78" t="s">
        <v>3</v>
      </c>
      <c r="B18" s="79" t="s">
        <v>29</v>
      </c>
      <c r="C18" s="80">
        <f t="shared" si="1"/>
        <v>0</v>
      </c>
      <c r="D18" s="19">
        <f t="shared" si="2"/>
        <v>6</v>
      </c>
      <c r="E18" s="20">
        <v>4.0</v>
      </c>
      <c r="F18" s="19">
        <f t="shared" si="3"/>
        <v>1</v>
      </c>
      <c r="G18" s="81">
        <f t="shared" si="4"/>
        <v>4</v>
      </c>
      <c r="H18" s="80">
        <f t="shared" si="5"/>
        <v>0</v>
      </c>
      <c r="I18" s="19">
        <f t="shared" si="6"/>
        <v>0</v>
      </c>
      <c r="J18" s="19">
        <f t="shared" si="7"/>
        <v>0</v>
      </c>
      <c r="K18" s="19">
        <f t="shared" si="8"/>
        <v>0</v>
      </c>
      <c r="L18" s="82">
        <f t="shared" si="9"/>
        <v>0</v>
      </c>
      <c r="M18" s="53"/>
      <c r="N18" s="54"/>
      <c r="O18" s="55"/>
      <c r="P18" s="56"/>
    </row>
    <row r="19">
      <c r="A19" s="78" t="s">
        <v>3</v>
      </c>
      <c r="B19" s="79" t="s">
        <v>30</v>
      </c>
      <c r="C19" s="80">
        <f t="shared" si="1"/>
        <v>3</v>
      </c>
      <c r="D19" s="19">
        <f t="shared" si="2"/>
        <v>34</v>
      </c>
      <c r="E19" s="20">
        <v>5.0</v>
      </c>
      <c r="F19" s="19">
        <f t="shared" si="3"/>
        <v>1</v>
      </c>
      <c r="G19" s="81">
        <f t="shared" si="4"/>
        <v>8</v>
      </c>
      <c r="H19" s="80">
        <f t="shared" si="5"/>
        <v>0</v>
      </c>
      <c r="I19" s="19">
        <f t="shared" si="6"/>
        <v>0</v>
      </c>
      <c r="J19" s="19">
        <f t="shared" si="7"/>
        <v>0</v>
      </c>
      <c r="K19" s="19">
        <f t="shared" si="8"/>
        <v>0</v>
      </c>
      <c r="L19" s="82">
        <f t="shared" si="9"/>
        <v>0</v>
      </c>
      <c r="M19" s="53"/>
      <c r="N19" s="54"/>
      <c r="O19" s="55"/>
      <c r="P19" s="56"/>
    </row>
    <row r="20">
      <c r="A20" s="78" t="s">
        <v>3</v>
      </c>
      <c r="B20" s="79" t="s">
        <v>31</v>
      </c>
      <c r="C20" s="80">
        <f t="shared" si="1"/>
        <v>0</v>
      </c>
      <c r="D20" s="19">
        <f t="shared" si="2"/>
        <v>20</v>
      </c>
      <c r="E20" s="20">
        <v>4.0</v>
      </c>
      <c r="F20" s="19">
        <f t="shared" si="3"/>
        <v>1</v>
      </c>
      <c r="G20" s="81">
        <f t="shared" si="4"/>
        <v>4</v>
      </c>
      <c r="H20" s="80">
        <f t="shared" si="5"/>
        <v>0</v>
      </c>
      <c r="I20" s="19">
        <f t="shared" si="6"/>
        <v>0</v>
      </c>
      <c r="J20" s="19">
        <f t="shared" si="7"/>
        <v>0</v>
      </c>
      <c r="K20" s="19">
        <f t="shared" si="8"/>
        <v>0</v>
      </c>
      <c r="L20" s="82">
        <f t="shared" si="9"/>
        <v>0</v>
      </c>
      <c r="M20" s="53"/>
      <c r="N20" s="54"/>
      <c r="O20" s="55"/>
      <c r="P20" s="56"/>
    </row>
    <row r="21">
      <c r="A21" s="83" t="s">
        <v>3</v>
      </c>
      <c r="B21" s="84" t="s">
        <v>32</v>
      </c>
      <c r="C21" s="85">
        <f t="shared" si="1"/>
        <v>2</v>
      </c>
      <c r="D21" s="86">
        <f t="shared" si="2"/>
        <v>11</v>
      </c>
      <c r="E21" s="87">
        <v>5.0</v>
      </c>
      <c r="F21" s="86">
        <f t="shared" si="3"/>
        <v>1</v>
      </c>
      <c r="G21" s="88">
        <f t="shared" si="4"/>
        <v>7</v>
      </c>
      <c r="H21" s="85">
        <f t="shared" si="5"/>
        <v>0</v>
      </c>
      <c r="I21" s="86">
        <f t="shared" si="6"/>
        <v>0</v>
      </c>
      <c r="J21" s="86">
        <f t="shared" si="7"/>
        <v>0</v>
      </c>
      <c r="K21" s="86">
        <f t="shared" si="8"/>
        <v>0</v>
      </c>
      <c r="L21" s="89">
        <f t="shared" si="9"/>
        <v>0</v>
      </c>
      <c r="M21" s="53"/>
      <c r="N21" s="54"/>
      <c r="O21" s="55"/>
      <c r="P21" s="56"/>
    </row>
    <row r="22">
      <c r="A22" s="53"/>
      <c r="B22" s="53"/>
      <c r="C22" s="55"/>
      <c r="D22" s="55"/>
      <c r="E22" s="55"/>
      <c r="F22" s="55"/>
      <c r="G22" s="55"/>
      <c r="H22" s="53"/>
      <c r="I22" s="55"/>
      <c r="J22" s="55"/>
      <c r="K22" s="55"/>
      <c r="L22" s="55"/>
      <c r="M22" s="53"/>
      <c r="N22" s="54"/>
      <c r="O22" s="55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>
      <c r="A23" s="53" t="s">
        <v>85</v>
      </c>
      <c r="B23" s="53" t="s">
        <v>86</v>
      </c>
      <c r="C23" s="55" t="s">
        <v>95</v>
      </c>
      <c r="H23" s="53" t="s">
        <v>96</v>
      </c>
      <c r="I23" s="53" t="s">
        <v>97</v>
      </c>
      <c r="N23" s="90" t="s">
        <v>98</v>
      </c>
      <c r="O23" s="90" t="s">
        <v>99</v>
      </c>
      <c r="P23" s="90" t="s">
        <v>100</v>
      </c>
      <c r="Q23" s="90" t="s">
        <v>101</v>
      </c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>
      <c r="A24" s="47" t="s">
        <v>0</v>
      </c>
      <c r="B24" s="47" t="s">
        <v>94</v>
      </c>
      <c r="C24" s="47" t="s">
        <v>102</v>
      </c>
      <c r="H24" s="91" t="s">
        <v>87</v>
      </c>
      <c r="I24" s="47" t="s">
        <v>103</v>
      </c>
      <c r="N24" s="91"/>
      <c r="O24" s="92"/>
      <c r="P24" s="9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47" t="s">
        <v>0</v>
      </c>
      <c r="B25" s="47" t="s">
        <v>94</v>
      </c>
      <c r="C25" s="47" t="s">
        <v>102</v>
      </c>
      <c r="H25" s="91" t="s">
        <v>87</v>
      </c>
      <c r="I25" s="47" t="s">
        <v>104</v>
      </c>
      <c r="N25" s="91" t="s">
        <v>105</v>
      </c>
      <c r="O25" s="92"/>
      <c r="P25" s="9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47" t="s">
        <v>0</v>
      </c>
      <c r="B26" s="47" t="s">
        <v>94</v>
      </c>
      <c r="C26" s="47" t="s">
        <v>102</v>
      </c>
      <c r="H26" s="91" t="s">
        <v>87</v>
      </c>
      <c r="I26" s="47" t="s">
        <v>106</v>
      </c>
      <c r="N26" s="91" t="s">
        <v>107</v>
      </c>
      <c r="O26" s="92"/>
      <c r="P26" s="9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47" t="s">
        <v>0</v>
      </c>
      <c r="B27" s="47" t="s">
        <v>94</v>
      </c>
      <c r="C27" s="47" t="s">
        <v>102</v>
      </c>
      <c r="H27" s="91" t="s">
        <v>88</v>
      </c>
      <c r="I27" s="47" t="s">
        <v>108</v>
      </c>
      <c r="N27" s="91"/>
      <c r="O27" s="92" t="s">
        <v>109</v>
      </c>
      <c r="P27" s="9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47" t="s">
        <v>0</v>
      </c>
      <c r="B28" s="47" t="s">
        <v>94</v>
      </c>
      <c r="C28" s="47" t="s">
        <v>102</v>
      </c>
      <c r="H28" s="91" t="s">
        <v>88</v>
      </c>
      <c r="I28" s="47" t="s">
        <v>110</v>
      </c>
      <c r="N28" s="91"/>
      <c r="O28" s="92" t="s">
        <v>109</v>
      </c>
      <c r="P28" s="9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47" t="s">
        <v>0</v>
      </c>
      <c r="B29" s="47" t="s">
        <v>94</v>
      </c>
      <c r="C29" s="47" t="s">
        <v>102</v>
      </c>
      <c r="H29" s="91" t="s">
        <v>88</v>
      </c>
      <c r="I29" s="47" t="s">
        <v>111</v>
      </c>
      <c r="N29" s="91"/>
      <c r="O29" s="92" t="s">
        <v>109</v>
      </c>
      <c r="P29" s="9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47" t="s">
        <v>0</v>
      </c>
      <c r="B30" s="47" t="s">
        <v>94</v>
      </c>
      <c r="C30" s="47" t="s">
        <v>102</v>
      </c>
      <c r="H30" s="91" t="s">
        <v>88</v>
      </c>
      <c r="I30" s="47" t="s">
        <v>112</v>
      </c>
      <c r="N30" s="91"/>
      <c r="O30" s="92" t="s">
        <v>109</v>
      </c>
      <c r="P30" s="9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47" t="s">
        <v>0</v>
      </c>
      <c r="B31" s="47" t="s">
        <v>94</v>
      </c>
      <c r="C31" s="47" t="s">
        <v>102</v>
      </c>
      <c r="H31" s="91" t="s">
        <v>88</v>
      </c>
      <c r="I31" s="47" t="s">
        <v>113</v>
      </c>
      <c r="N31" s="91"/>
      <c r="O31" s="92" t="s">
        <v>109</v>
      </c>
      <c r="P31" s="9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47" t="s">
        <v>0</v>
      </c>
      <c r="B32" s="47" t="s">
        <v>94</v>
      </c>
      <c r="C32" s="47" t="s">
        <v>102</v>
      </c>
      <c r="H32" s="91" t="s">
        <v>88</v>
      </c>
      <c r="I32" s="47" t="s">
        <v>114</v>
      </c>
      <c r="N32" s="91"/>
      <c r="O32" s="92" t="s">
        <v>109</v>
      </c>
      <c r="P32" s="9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47" t="s">
        <v>0</v>
      </c>
      <c r="B33" s="47" t="s">
        <v>94</v>
      </c>
      <c r="C33" s="47" t="s">
        <v>102</v>
      </c>
      <c r="H33" s="91" t="s">
        <v>88</v>
      </c>
      <c r="I33" s="47" t="s">
        <v>115</v>
      </c>
      <c r="N33" s="91"/>
      <c r="O33" s="92" t="s">
        <v>109</v>
      </c>
      <c r="P33" s="9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47" t="s">
        <v>0</v>
      </c>
      <c r="B34" s="47" t="s">
        <v>94</v>
      </c>
      <c r="C34" s="47" t="s">
        <v>102</v>
      </c>
      <c r="H34" s="91" t="s">
        <v>88</v>
      </c>
      <c r="I34" s="47" t="s">
        <v>116</v>
      </c>
      <c r="N34" s="91"/>
      <c r="O34" s="92" t="s">
        <v>109</v>
      </c>
      <c r="P34" s="9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47" t="s">
        <v>0</v>
      </c>
      <c r="B35" s="47" t="s">
        <v>94</v>
      </c>
      <c r="C35" s="47" t="s">
        <v>102</v>
      </c>
      <c r="H35" s="91" t="s">
        <v>88</v>
      </c>
      <c r="I35" s="47" t="s">
        <v>117</v>
      </c>
      <c r="N35" s="91"/>
      <c r="O35" s="92" t="s">
        <v>109</v>
      </c>
      <c r="P35" s="9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47" t="s">
        <v>0</v>
      </c>
      <c r="B36" s="47" t="s">
        <v>94</v>
      </c>
      <c r="C36" s="47" t="s">
        <v>102</v>
      </c>
      <c r="H36" s="91" t="s">
        <v>88</v>
      </c>
      <c r="I36" s="47" t="s">
        <v>118</v>
      </c>
      <c r="N36" s="91" t="s">
        <v>105</v>
      </c>
      <c r="O36" s="92" t="s">
        <v>109</v>
      </c>
      <c r="P36" s="9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47" t="s">
        <v>0</v>
      </c>
      <c r="B37" s="47" t="s">
        <v>94</v>
      </c>
      <c r="C37" s="47" t="s">
        <v>102</v>
      </c>
      <c r="H37" s="91" t="s">
        <v>88</v>
      </c>
      <c r="I37" s="47" t="s">
        <v>119</v>
      </c>
      <c r="N37" s="91" t="s">
        <v>105</v>
      </c>
      <c r="O37" s="92" t="s">
        <v>109</v>
      </c>
      <c r="P37" s="93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47" t="s">
        <v>0</v>
      </c>
      <c r="B38" s="47" t="s">
        <v>94</v>
      </c>
      <c r="C38" s="47" t="s">
        <v>102</v>
      </c>
      <c r="H38" s="91" t="s">
        <v>88</v>
      </c>
      <c r="I38" s="47" t="s">
        <v>120</v>
      </c>
      <c r="N38" s="91" t="s">
        <v>107</v>
      </c>
      <c r="O38" s="92" t="s">
        <v>109</v>
      </c>
      <c r="P38" s="93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47" t="s">
        <v>0</v>
      </c>
      <c r="B39" s="47" t="s">
        <v>94</v>
      </c>
      <c r="C39" s="47" t="s">
        <v>102</v>
      </c>
      <c r="H39" s="91" t="s">
        <v>88</v>
      </c>
      <c r="I39" s="47" t="s">
        <v>121</v>
      </c>
      <c r="N39" s="91" t="s">
        <v>107</v>
      </c>
      <c r="O39" s="92" t="s">
        <v>109</v>
      </c>
      <c r="P39" s="93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47" t="s">
        <v>0</v>
      </c>
      <c r="B40" s="47" t="s">
        <v>94</v>
      </c>
      <c r="C40" s="47" t="s">
        <v>102</v>
      </c>
      <c r="H40" s="91" t="s">
        <v>88</v>
      </c>
      <c r="I40" s="92" t="s">
        <v>122</v>
      </c>
      <c r="N40" s="91"/>
      <c r="O40" s="92" t="s">
        <v>109</v>
      </c>
      <c r="P40" s="9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47" t="s">
        <v>0</v>
      </c>
      <c r="B41" s="47" t="s">
        <v>94</v>
      </c>
      <c r="C41" s="47" t="s">
        <v>102</v>
      </c>
      <c r="H41" s="91" t="s">
        <v>88</v>
      </c>
      <c r="I41" s="92" t="s">
        <v>123</v>
      </c>
      <c r="N41" s="91"/>
      <c r="O41" s="92" t="s">
        <v>109</v>
      </c>
      <c r="P41" s="9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47" t="s">
        <v>0</v>
      </c>
      <c r="B42" s="47" t="s">
        <v>94</v>
      </c>
      <c r="C42" s="47" t="s">
        <v>102</v>
      </c>
      <c r="H42" s="91" t="s">
        <v>88</v>
      </c>
      <c r="I42" s="92" t="s">
        <v>124</v>
      </c>
      <c r="N42" s="91"/>
      <c r="O42" s="92" t="s">
        <v>109</v>
      </c>
      <c r="P42" s="9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47" t="s">
        <v>0</v>
      </c>
      <c r="B43" s="47" t="s">
        <v>94</v>
      </c>
      <c r="C43" s="47" t="s">
        <v>102</v>
      </c>
      <c r="H43" s="91" t="s">
        <v>88</v>
      </c>
      <c r="I43" s="92" t="s">
        <v>125</v>
      </c>
      <c r="N43" s="91"/>
      <c r="O43" s="92" t="s">
        <v>109</v>
      </c>
      <c r="P43" s="9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47" t="s">
        <v>0</v>
      </c>
      <c r="B44" s="47" t="s">
        <v>94</v>
      </c>
      <c r="C44" s="47" t="s">
        <v>102</v>
      </c>
      <c r="H44" s="91" t="s">
        <v>88</v>
      </c>
      <c r="I44" s="92" t="s">
        <v>126</v>
      </c>
      <c r="N44" s="91"/>
      <c r="O44" s="92" t="s">
        <v>109</v>
      </c>
      <c r="P44" s="9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47" t="s">
        <v>0</v>
      </c>
      <c r="B45" s="47" t="s">
        <v>94</v>
      </c>
      <c r="C45" s="47" t="s">
        <v>102</v>
      </c>
      <c r="H45" s="91" t="s">
        <v>88</v>
      </c>
      <c r="I45" s="92" t="s">
        <v>127</v>
      </c>
      <c r="N45" s="91"/>
      <c r="O45" s="92" t="s">
        <v>109</v>
      </c>
      <c r="P45" s="9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47" t="s">
        <v>0</v>
      </c>
      <c r="B46" s="47" t="s">
        <v>94</v>
      </c>
      <c r="C46" s="47" t="s">
        <v>102</v>
      </c>
      <c r="H46" s="91" t="s">
        <v>88</v>
      </c>
      <c r="I46" s="92" t="s">
        <v>128</v>
      </c>
      <c r="N46" s="91"/>
      <c r="O46" s="92" t="s">
        <v>109</v>
      </c>
      <c r="P46" s="9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47" t="s">
        <v>0</v>
      </c>
      <c r="B47" s="47" t="s">
        <v>94</v>
      </c>
      <c r="C47" s="47" t="s">
        <v>102</v>
      </c>
      <c r="H47" s="91" t="s">
        <v>88</v>
      </c>
      <c r="I47" s="92" t="s">
        <v>129</v>
      </c>
      <c r="N47" s="91"/>
      <c r="O47" s="92" t="s">
        <v>109</v>
      </c>
      <c r="P47" s="9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47" t="s">
        <v>0</v>
      </c>
      <c r="B48" s="47" t="s">
        <v>94</v>
      </c>
      <c r="C48" s="47" t="s">
        <v>102</v>
      </c>
      <c r="H48" s="91" t="s">
        <v>88</v>
      </c>
      <c r="I48" s="92" t="s">
        <v>130</v>
      </c>
      <c r="N48" s="91"/>
      <c r="O48" s="92" t="s">
        <v>109</v>
      </c>
      <c r="P48" s="9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47" t="s">
        <v>0</v>
      </c>
      <c r="B49" s="47" t="s">
        <v>94</v>
      </c>
      <c r="C49" s="47" t="s">
        <v>102</v>
      </c>
      <c r="H49" s="91" t="s">
        <v>88</v>
      </c>
      <c r="I49" s="92" t="s">
        <v>131</v>
      </c>
      <c r="N49" s="91"/>
      <c r="O49" s="92" t="s">
        <v>109</v>
      </c>
      <c r="P49" s="9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47" t="s">
        <v>0</v>
      </c>
      <c r="B50" s="47" t="s">
        <v>94</v>
      </c>
      <c r="C50" s="47" t="s">
        <v>102</v>
      </c>
      <c r="H50" s="91" t="s">
        <v>88</v>
      </c>
      <c r="I50" s="92" t="s">
        <v>132</v>
      </c>
      <c r="N50" s="91"/>
      <c r="O50" s="92" t="s">
        <v>109</v>
      </c>
      <c r="P50" s="93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47" t="s">
        <v>0</v>
      </c>
      <c r="B51" s="47" t="s">
        <v>94</v>
      </c>
      <c r="C51" s="47" t="s">
        <v>102</v>
      </c>
      <c r="H51" s="91" t="s">
        <v>88</v>
      </c>
      <c r="I51" s="92" t="s">
        <v>133</v>
      </c>
      <c r="N51" s="91"/>
      <c r="O51" s="92" t="s">
        <v>109</v>
      </c>
      <c r="P51" s="93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47" t="s">
        <v>0</v>
      </c>
      <c r="B52" s="47" t="s">
        <v>94</v>
      </c>
      <c r="C52" s="47" t="s">
        <v>102</v>
      </c>
      <c r="H52" s="91" t="s">
        <v>88</v>
      </c>
      <c r="I52" s="92" t="s">
        <v>134</v>
      </c>
      <c r="N52" s="91"/>
      <c r="O52" s="92" t="s">
        <v>109</v>
      </c>
      <c r="P52" s="93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47" t="s">
        <v>0</v>
      </c>
      <c r="B53" s="47" t="s">
        <v>94</v>
      </c>
      <c r="C53" s="47" t="s">
        <v>102</v>
      </c>
      <c r="H53" s="91" t="s">
        <v>88</v>
      </c>
      <c r="I53" s="92" t="s">
        <v>135</v>
      </c>
      <c r="N53" s="91"/>
      <c r="O53" s="92" t="s">
        <v>109</v>
      </c>
      <c r="P53" s="93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47" t="s">
        <v>0</v>
      </c>
      <c r="B54" s="47" t="s">
        <v>94</v>
      </c>
      <c r="C54" s="47" t="s">
        <v>102</v>
      </c>
      <c r="H54" s="91" t="s">
        <v>88</v>
      </c>
      <c r="I54" s="92" t="s">
        <v>136</v>
      </c>
      <c r="N54" s="91"/>
      <c r="O54" s="92" t="s">
        <v>109</v>
      </c>
      <c r="P54" s="93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47" t="s">
        <v>0</v>
      </c>
      <c r="B55" s="47" t="s">
        <v>94</v>
      </c>
      <c r="C55" s="47" t="s">
        <v>102</v>
      </c>
      <c r="H55" s="91" t="s">
        <v>88</v>
      </c>
      <c r="I55" s="92" t="s">
        <v>137</v>
      </c>
      <c r="N55" s="91"/>
      <c r="O55" s="92" t="s">
        <v>109</v>
      </c>
      <c r="P55" s="93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47" t="s">
        <v>0</v>
      </c>
      <c r="B56" s="47" t="s">
        <v>94</v>
      </c>
      <c r="C56" s="47" t="s">
        <v>102</v>
      </c>
      <c r="H56" s="91" t="s">
        <v>88</v>
      </c>
      <c r="I56" s="92" t="s">
        <v>138</v>
      </c>
      <c r="N56" s="91"/>
      <c r="O56" s="92" t="s">
        <v>109</v>
      </c>
      <c r="P56" s="93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47" t="s">
        <v>0</v>
      </c>
      <c r="B57" s="47" t="s">
        <v>94</v>
      </c>
      <c r="C57" s="47" t="s">
        <v>102</v>
      </c>
      <c r="H57" s="91" t="s">
        <v>88</v>
      </c>
      <c r="I57" s="92" t="s">
        <v>139</v>
      </c>
      <c r="N57" s="91"/>
      <c r="O57" s="92" t="s">
        <v>109</v>
      </c>
      <c r="P57" s="93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47" t="s">
        <v>0</v>
      </c>
      <c r="B58" s="47" t="s">
        <v>94</v>
      </c>
      <c r="C58" s="47" t="s">
        <v>102</v>
      </c>
      <c r="H58" s="91" t="s">
        <v>88</v>
      </c>
      <c r="I58" s="92" t="s">
        <v>140</v>
      </c>
      <c r="N58" s="91"/>
      <c r="O58" s="92" t="s">
        <v>109</v>
      </c>
      <c r="P58" s="93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47" t="s">
        <v>0</v>
      </c>
      <c r="B59" s="47" t="s">
        <v>94</v>
      </c>
      <c r="C59" s="47" t="s">
        <v>102</v>
      </c>
      <c r="H59" s="91" t="s">
        <v>88</v>
      </c>
      <c r="I59" s="92" t="s">
        <v>141</v>
      </c>
      <c r="N59" s="91"/>
      <c r="O59" s="92" t="s">
        <v>109</v>
      </c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47" t="s">
        <v>0</v>
      </c>
      <c r="B60" s="47" t="s">
        <v>94</v>
      </c>
      <c r="C60" s="47" t="s">
        <v>102</v>
      </c>
      <c r="H60" s="91" t="s">
        <v>88</v>
      </c>
      <c r="I60" s="92" t="s">
        <v>142</v>
      </c>
      <c r="N60" s="91"/>
      <c r="O60" s="92" t="s">
        <v>109</v>
      </c>
      <c r="P60" s="93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47" t="s">
        <v>0</v>
      </c>
      <c r="B61" s="47" t="s">
        <v>94</v>
      </c>
      <c r="C61" s="47" t="s">
        <v>102</v>
      </c>
      <c r="H61" s="91" t="s">
        <v>88</v>
      </c>
      <c r="I61" s="92" t="s">
        <v>143</v>
      </c>
      <c r="N61" s="91"/>
      <c r="O61" s="92" t="s">
        <v>109</v>
      </c>
      <c r="P61" s="93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47" t="s">
        <v>0</v>
      </c>
      <c r="B62" s="47" t="s">
        <v>94</v>
      </c>
      <c r="C62" s="47" t="s">
        <v>102</v>
      </c>
      <c r="H62" s="91" t="s">
        <v>88</v>
      </c>
      <c r="I62" s="92" t="s">
        <v>144</v>
      </c>
      <c r="N62" s="91"/>
      <c r="O62" s="92" t="s">
        <v>109</v>
      </c>
      <c r="P62" s="93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47" t="s">
        <v>0</v>
      </c>
      <c r="B63" s="47" t="s">
        <v>94</v>
      </c>
      <c r="C63" s="47" t="s">
        <v>102</v>
      </c>
      <c r="H63" s="91" t="s">
        <v>88</v>
      </c>
      <c r="I63" s="92" t="s">
        <v>145</v>
      </c>
      <c r="N63" s="91"/>
      <c r="O63" s="92" t="s">
        <v>109</v>
      </c>
      <c r="P63" s="93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47" t="s">
        <v>0</v>
      </c>
      <c r="B64" s="47" t="s">
        <v>94</v>
      </c>
      <c r="C64" s="47" t="s">
        <v>102</v>
      </c>
      <c r="H64" s="91" t="s">
        <v>88</v>
      </c>
      <c r="I64" s="92" t="s">
        <v>146</v>
      </c>
      <c r="N64" s="91"/>
      <c r="O64" s="92" t="s">
        <v>109</v>
      </c>
      <c r="P64" s="93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47" t="s">
        <v>0</v>
      </c>
      <c r="B65" s="47" t="s">
        <v>94</v>
      </c>
      <c r="C65" s="47" t="s">
        <v>102</v>
      </c>
      <c r="H65" s="91" t="s">
        <v>88</v>
      </c>
      <c r="I65" s="92" t="s">
        <v>147</v>
      </c>
      <c r="N65" s="91"/>
      <c r="O65" s="92" t="s">
        <v>109</v>
      </c>
      <c r="P65" s="93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47" t="s">
        <v>0</v>
      </c>
      <c r="B66" s="47" t="s">
        <v>94</v>
      </c>
      <c r="C66" s="47" t="s">
        <v>102</v>
      </c>
      <c r="H66" s="91" t="s">
        <v>88</v>
      </c>
      <c r="I66" s="92" t="s">
        <v>148</v>
      </c>
      <c r="N66" s="91"/>
      <c r="O66" s="92" t="s">
        <v>109</v>
      </c>
      <c r="P66" s="93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47" t="s">
        <v>0</v>
      </c>
      <c r="B67" s="47" t="s">
        <v>94</v>
      </c>
      <c r="C67" s="47" t="s">
        <v>102</v>
      </c>
      <c r="H67" s="91" t="s">
        <v>88</v>
      </c>
      <c r="I67" s="92" t="s">
        <v>149</v>
      </c>
      <c r="N67" s="91"/>
      <c r="O67" s="92" t="s">
        <v>109</v>
      </c>
      <c r="P67" s="93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47" t="s">
        <v>0</v>
      </c>
      <c r="B68" s="47" t="s">
        <v>94</v>
      </c>
      <c r="C68" s="47" t="s">
        <v>102</v>
      </c>
      <c r="H68" s="91" t="s">
        <v>88</v>
      </c>
      <c r="I68" s="92" t="s">
        <v>150</v>
      </c>
      <c r="N68" s="91"/>
      <c r="O68" s="92" t="s">
        <v>109</v>
      </c>
      <c r="P68" s="93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47" t="s">
        <v>0</v>
      </c>
      <c r="B69" s="47" t="s">
        <v>94</v>
      </c>
      <c r="C69" s="47" t="s">
        <v>102</v>
      </c>
      <c r="H69" s="91" t="s">
        <v>88</v>
      </c>
      <c r="I69" s="92" t="s">
        <v>151</v>
      </c>
      <c r="N69" s="91"/>
      <c r="O69" s="92" t="s">
        <v>109</v>
      </c>
      <c r="P69" s="93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47" t="s">
        <v>0</v>
      </c>
      <c r="B70" s="47" t="s">
        <v>94</v>
      </c>
      <c r="C70" s="47" t="s">
        <v>102</v>
      </c>
      <c r="H70" s="91" t="s">
        <v>88</v>
      </c>
      <c r="I70" s="92" t="s">
        <v>152</v>
      </c>
      <c r="N70" s="91"/>
      <c r="O70" s="92" t="s">
        <v>109</v>
      </c>
      <c r="P70" s="93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47" t="s">
        <v>0</v>
      </c>
      <c r="B71" s="47" t="s">
        <v>94</v>
      </c>
      <c r="C71" s="47" t="s">
        <v>102</v>
      </c>
      <c r="H71" s="91" t="s">
        <v>88</v>
      </c>
      <c r="I71" s="92" t="s">
        <v>153</v>
      </c>
      <c r="N71" s="91"/>
      <c r="O71" s="92" t="s">
        <v>109</v>
      </c>
      <c r="P71" s="93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47" t="s">
        <v>0</v>
      </c>
      <c r="B72" s="47" t="s">
        <v>94</v>
      </c>
      <c r="C72" s="47" t="s">
        <v>102</v>
      </c>
      <c r="H72" s="91" t="s">
        <v>88</v>
      </c>
      <c r="I72" s="92" t="s">
        <v>154</v>
      </c>
      <c r="N72" s="91"/>
      <c r="O72" s="92" t="s">
        <v>109</v>
      </c>
      <c r="P72" s="93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47" t="s">
        <v>0</v>
      </c>
      <c r="B73" s="47" t="s">
        <v>94</v>
      </c>
      <c r="C73" s="47" t="s">
        <v>102</v>
      </c>
      <c r="H73" s="91" t="s">
        <v>88</v>
      </c>
      <c r="I73" s="92" t="s">
        <v>155</v>
      </c>
      <c r="N73" s="91"/>
      <c r="O73" s="92" t="s">
        <v>109</v>
      </c>
      <c r="P73" s="93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47" t="s">
        <v>0</v>
      </c>
      <c r="B74" s="47" t="s">
        <v>94</v>
      </c>
      <c r="C74" s="47" t="s">
        <v>102</v>
      </c>
      <c r="H74" s="91" t="s">
        <v>88</v>
      </c>
      <c r="I74" s="92" t="s">
        <v>156</v>
      </c>
      <c r="N74" s="91"/>
      <c r="O74" s="92" t="s">
        <v>109</v>
      </c>
      <c r="P74" s="93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47" t="s">
        <v>0</v>
      </c>
      <c r="B75" s="47" t="s">
        <v>94</v>
      </c>
      <c r="C75" s="47" t="s">
        <v>102</v>
      </c>
      <c r="H75" s="91" t="s">
        <v>88</v>
      </c>
      <c r="I75" s="92" t="s">
        <v>157</v>
      </c>
      <c r="N75" s="91"/>
      <c r="O75" s="92" t="s">
        <v>109</v>
      </c>
      <c r="P75" s="93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47" t="s">
        <v>0</v>
      </c>
      <c r="B76" s="47" t="s">
        <v>94</v>
      </c>
      <c r="C76" s="47" t="s">
        <v>102</v>
      </c>
      <c r="H76" s="91" t="s">
        <v>88</v>
      </c>
      <c r="I76" s="92" t="s">
        <v>158</v>
      </c>
      <c r="N76" s="91"/>
      <c r="O76" s="92" t="s">
        <v>109</v>
      </c>
      <c r="P76" s="93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47" t="s">
        <v>0</v>
      </c>
      <c r="B77" s="47" t="s">
        <v>94</v>
      </c>
      <c r="C77" s="47" t="s">
        <v>102</v>
      </c>
      <c r="H77" s="91" t="s">
        <v>88</v>
      </c>
      <c r="I77" s="92" t="s">
        <v>159</v>
      </c>
      <c r="N77" s="91"/>
      <c r="O77" s="92" t="s">
        <v>109</v>
      </c>
      <c r="P77" s="93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47" t="s">
        <v>0</v>
      </c>
      <c r="B78" s="47" t="s">
        <v>94</v>
      </c>
      <c r="C78" s="47" t="s">
        <v>102</v>
      </c>
      <c r="H78" s="91" t="s">
        <v>88</v>
      </c>
      <c r="I78" s="92" t="s">
        <v>160</v>
      </c>
      <c r="N78" s="91"/>
      <c r="O78" s="92" t="s">
        <v>109</v>
      </c>
      <c r="P78" s="93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47" t="s">
        <v>0</v>
      </c>
      <c r="B79" s="47" t="s">
        <v>94</v>
      </c>
      <c r="C79" s="47" t="s">
        <v>102</v>
      </c>
      <c r="H79" s="91" t="s">
        <v>88</v>
      </c>
      <c r="I79" s="92" t="s">
        <v>161</v>
      </c>
      <c r="N79" s="91"/>
      <c r="O79" s="92" t="s">
        <v>109</v>
      </c>
      <c r="P79" s="93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47" t="s">
        <v>0</v>
      </c>
      <c r="B80" s="47" t="s">
        <v>94</v>
      </c>
      <c r="C80" s="47" t="s">
        <v>102</v>
      </c>
      <c r="H80" s="91" t="s">
        <v>88</v>
      </c>
      <c r="I80" s="92" t="s">
        <v>162</v>
      </c>
      <c r="N80" s="91"/>
      <c r="O80" s="92" t="s">
        <v>109</v>
      </c>
      <c r="P80" s="93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47" t="s">
        <v>0</v>
      </c>
      <c r="B81" s="47" t="s">
        <v>94</v>
      </c>
      <c r="C81" s="47" t="s">
        <v>102</v>
      </c>
      <c r="H81" s="91" t="s">
        <v>88</v>
      </c>
      <c r="I81" s="92" t="s">
        <v>163</v>
      </c>
      <c r="N81" s="91"/>
      <c r="O81" s="92" t="s">
        <v>109</v>
      </c>
      <c r="P81" s="93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47" t="s">
        <v>0</v>
      </c>
      <c r="B82" s="47" t="s">
        <v>94</v>
      </c>
      <c r="C82" s="47" t="s">
        <v>102</v>
      </c>
      <c r="H82" s="91" t="s">
        <v>88</v>
      </c>
      <c r="I82" s="92" t="s">
        <v>164</v>
      </c>
      <c r="N82" s="91"/>
      <c r="O82" s="92" t="s">
        <v>109</v>
      </c>
      <c r="P82" s="93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47" t="s">
        <v>0</v>
      </c>
      <c r="B83" s="47" t="s">
        <v>94</v>
      </c>
      <c r="C83" s="47" t="s">
        <v>102</v>
      </c>
      <c r="H83" s="91" t="s">
        <v>90</v>
      </c>
      <c r="I83" s="92" t="s">
        <v>165</v>
      </c>
      <c r="N83" s="91"/>
      <c r="O83" s="92" t="s">
        <v>166</v>
      </c>
      <c r="P83" s="93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95" t="s">
        <v>0</v>
      </c>
      <c r="B84" s="95" t="s">
        <v>13</v>
      </c>
      <c r="C84" s="95" t="s">
        <v>167</v>
      </c>
      <c r="H84" s="96" t="s">
        <v>87</v>
      </c>
      <c r="I84" s="95" t="s">
        <v>168</v>
      </c>
      <c r="N84" s="96"/>
      <c r="O84" s="97"/>
      <c r="P84" s="93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95" t="s">
        <v>0</v>
      </c>
      <c r="B85" s="95" t="s">
        <v>13</v>
      </c>
      <c r="C85" s="95" t="s">
        <v>167</v>
      </c>
      <c r="H85" s="96" t="s">
        <v>87</v>
      </c>
      <c r="I85" s="95" t="s">
        <v>169</v>
      </c>
      <c r="N85" s="96" t="s">
        <v>107</v>
      </c>
      <c r="O85" s="97"/>
      <c r="P85" s="93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95" t="s">
        <v>0</v>
      </c>
      <c r="B86" s="95" t="s">
        <v>13</v>
      </c>
      <c r="C86" s="95" t="s">
        <v>167</v>
      </c>
      <c r="H86" s="96" t="s">
        <v>88</v>
      </c>
      <c r="I86" s="95" t="s">
        <v>170</v>
      </c>
      <c r="N86" s="96"/>
      <c r="O86" s="97" t="s">
        <v>171</v>
      </c>
      <c r="P86" s="93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95" t="s">
        <v>0</v>
      </c>
      <c r="B87" s="95" t="s">
        <v>13</v>
      </c>
      <c r="C87" s="95" t="s">
        <v>167</v>
      </c>
      <c r="H87" s="96" t="s">
        <v>88</v>
      </c>
      <c r="I87" s="95" t="s">
        <v>172</v>
      </c>
      <c r="N87" s="96"/>
      <c r="O87" s="97" t="s">
        <v>171</v>
      </c>
      <c r="P87" s="93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95" t="s">
        <v>0</v>
      </c>
      <c r="B88" s="95" t="s">
        <v>13</v>
      </c>
      <c r="C88" s="95" t="s">
        <v>167</v>
      </c>
      <c r="H88" s="96" t="s">
        <v>88</v>
      </c>
      <c r="I88" s="95" t="s">
        <v>173</v>
      </c>
      <c r="N88" s="96"/>
      <c r="O88" s="97" t="s">
        <v>171</v>
      </c>
      <c r="P88" s="93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95" t="s">
        <v>0</v>
      </c>
      <c r="B89" s="95" t="s">
        <v>13</v>
      </c>
      <c r="C89" s="95" t="s">
        <v>167</v>
      </c>
      <c r="H89" s="96" t="s">
        <v>88</v>
      </c>
      <c r="I89" s="95" t="s">
        <v>174</v>
      </c>
      <c r="N89" s="96"/>
      <c r="O89" s="97" t="s">
        <v>171</v>
      </c>
      <c r="P89" s="93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95" t="s">
        <v>0</v>
      </c>
      <c r="B90" s="95" t="s">
        <v>13</v>
      </c>
      <c r="C90" s="95" t="s">
        <v>167</v>
      </c>
      <c r="H90" s="96" t="s">
        <v>88</v>
      </c>
      <c r="I90" s="95" t="s">
        <v>175</v>
      </c>
      <c r="N90" s="96"/>
      <c r="O90" s="97" t="s">
        <v>171</v>
      </c>
      <c r="P90" s="93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95" t="s">
        <v>0</v>
      </c>
      <c r="B91" s="95" t="s">
        <v>13</v>
      </c>
      <c r="C91" s="95" t="s">
        <v>167</v>
      </c>
      <c r="H91" s="96" t="s">
        <v>88</v>
      </c>
      <c r="I91" s="95" t="s">
        <v>176</v>
      </c>
      <c r="N91" s="96"/>
      <c r="O91" s="97" t="s">
        <v>171</v>
      </c>
      <c r="P91" s="93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95" t="s">
        <v>0</v>
      </c>
      <c r="B92" s="95" t="s">
        <v>13</v>
      </c>
      <c r="C92" s="95" t="s">
        <v>167</v>
      </c>
      <c r="H92" s="96" t="s">
        <v>90</v>
      </c>
      <c r="I92" s="95" t="s">
        <v>177</v>
      </c>
      <c r="N92" s="96"/>
      <c r="O92" s="97" t="s">
        <v>166</v>
      </c>
      <c r="P92" s="93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95" t="s">
        <v>0</v>
      </c>
      <c r="B93" s="95" t="s">
        <v>14</v>
      </c>
      <c r="C93" s="95" t="s">
        <v>178</v>
      </c>
      <c r="H93" s="96" t="s">
        <v>87</v>
      </c>
      <c r="I93" s="95" t="s">
        <v>179</v>
      </c>
      <c r="N93" s="96"/>
      <c r="O93" s="97"/>
      <c r="P93" s="93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95" t="s">
        <v>0</v>
      </c>
      <c r="B94" s="95" t="s">
        <v>14</v>
      </c>
      <c r="C94" s="95" t="s">
        <v>178</v>
      </c>
      <c r="H94" s="96" t="s">
        <v>87</v>
      </c>
      <c r="I94" s="95" t="s">
        <v>180</v>
      </c>
      <c r="N94" s="96" t="s">
        <v>105</v>
      </c>
      <c r="O94" s="97"/>
      <c r="P94" s="93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95" t="s">
        <v>0</v>
      </c>
      <c r="B95" s="95" t="s">
        <v>14</v>
      </c>
      <c r="C95" s="95" t="s">
        <v>178</v>
      </c>
      <c r="H95" s="96" t="s">
        <v>88</v>
      </c>
      <c r="I95" s="95" t="s">
        <v>181</v>
      </c>
      <c r="N95" s="96"/>
      <c r="O95" s="97" t="s">
        <v>109</v>
      </c>
      <c r="P95" s="93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95" t="s">
        <v>0</v>
      </c>
      <c r="B96" s="95" t="s">
        <v>14</v>
      </c>
      <c r="C96" s="95" t="s">
        <v>178</v>
      </c>
      <c r="H96" s="96" t="s">
        <v>88</v>
      </c>
      <c r="I96" s="95" t="s">
        <v>182</v>
      </c>
      <c r="N96" s="96"/>
      <c r="O96" s="97" t="s">
        <v>109</v>
      </c>
      <c r="P96" s="93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95" t="s">
        <v>0</v>
      </c>
      <c r="B97" s="95" t="s">
        <v>14</v>
      </c>
      <c r="C97" s="95" t="s">
        <v>178</v>
      </c>
      <c r="H97" s="96" t="s">
        <v>88</v>
      </c>
      <c r="I97" s="95" t="s">
        <v>183</v>
      </c>
      <c r="N97" s="96"/>
      <c r="O97" s="97" t="s">
        <v>109</v>
      </c>
      <c r="P97" s="93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95" t="s">
        <v>0</v>
      </c>
      <c r="B98" s="95" t="s">
        <v>14</v>
      </c>
      <c r="C98" s="95" t="s">
        <v>178</v>
      </c>
      <c r="H98" s="96" t="s">
        <v>88</v>
      </c>
      <c r="I98" s="95" t="s">
        <v>184</v>
      </c>
      <c r="N98" s="96"/>
      <c r="O98" s="97" t="s">
        <v>109</v>
      </c>
      <c r="P98" s="93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95" t="s">
        <v>0</v>
      </c>
      <c r="B99" s="95" t="s">
        <v>14</v>
      </c>
      <c r="C99" s="95" t="s">
        <v>178</v>
      </c>
      <c r="H99" s="96" t="s">
        <v>88</v>
      </c>
      <c r="I99" s="95" t="s">
        <v>185</v>
      </c>
      <c r="N99" s="96"/>
      <c r="O99" s="97" t="s">
        <v>109</v>
      </c>
      <c r="P99" s="93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95" t="s">
        <v>0</v>
      </c>
      <c r="B100" s="95" t="s">
        <v>14</v>
      </c>
      <c r="C100" s="95" t="s">
        <v>178</v>
      </c>
      <c r="H100" s="96" t="s">
        <v>88</v>
      </c>
      <c r="I100" s="95" t="s">
        <v>186</v>
      </c>
      <c r="N100" s="96"/>
      <c r="O100" s="97" t="s">
        <v>109</v>
      </c>
      <c r="P100" s="93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95" t="s">
        <v>0</v>
      </c>
      <c r="B101" s="95" t="s">
        <v>14</v>
      </c>
      <c r="C101" s="95" t="s">
        <v>178</v>
      </c>
      <c r="H101" s="96" t="s">
        <v>88</v>
      </c>
      <c r="I101" s="95" t="s">
        <v>187</v>
      </c>
      <c r="N101" s="96"/>
      <c r="O101" s="97" t="s">
        <v>109</v>
      </c>
      <c r="P101" s="93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95" t="s">
        <v>0</v>
      </c>
      <c r="B102" s="95" t="s">
        <v>14</v>
      </c>
      <c r="C102" s="95" t="s">
        <v>178</v>
      </c>
      <c r="H102" s="96" t="s">
        <v>88</v>
      </c>
      <c r="I102" s="95" t="s">
        <v>188</v>
      </c>
      <c r="N102" s="96"/>
      <c r="O102" s="97" t="s">
        <v>109</v>
      </c>
      <c r="P102" s="93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95" t="s">
        <v>0</v>
      </c>
      <c r="B103" s="95" t="s">
        <v>14</v>
      </c>
      <c r="C103" s="95" t="s">
        <v>178</v>
      </c>
      <c r="H103" s="96" t="s">
        <v>88</v>
      </c>
      <c r="I103" s="95" t="s">
        <v>189</v>
      </c>
      <c r="N103" s="96"/>
      <c r="O103" s="97" t="s">
        <v>109</v>
      </c>
      <c r="P103" s="93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95" t="s">
        <v>0</v>
      </c>
      <c r="B104" s="95" t="s">
        <v>14</v>
      </c>
      <c r="C104" s="95" t="s">
        <v>178</v>
      </c>
      <c r="H104" s="96" t="s">
        <v>88</v>
      </c>
      <c r="I104" s="95" t="s">
        <v>190</v>
      </c>
      <c r="N104" s="96" t="s">
        <v>105</v>
      </c>
      <c r="O104" s="97" t="s">
        <v>109</v>
      </c>
      <c r="P104" s="93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95" t="s">
        <v>0</v>
      </c>
      <c r="B105" s="95" t="s">
        <v>14</v>
      </c>
      <c r="C105" s="95" t="s">
        <v>178</v>
      </c>
      <c r="H105" s="96" t="s">
        <v>88</v>
      </c>
      <c r="I105" s="95" t="s">
        <v>191</v>
      </c>
      <c r="N105" s="96" t="s">
        <v>107</v>
      </c>
      <c r="O105" s="97" t="s">
        <v>109</v>
      </c>
      <c r="P105" s="93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95" t="s">
        <v>0</v>
      </c>
      <c r="B106" s="95" t="s">
        <v>14</v>
      </c>
      <c r="C106" s="95" t="s">
        <v>178</v>
      </c>
      <c r="H106" s="96" t="s">
        <v>90</v>
      </c>
      <c r="I106" s="95" t="s">
        <v>192</v>
      </c>
      <c r="N106" s="96"/>
      <c r="O106" s="97" t="s">
        <v>166</v>
      </c>
      <c r="P106" s="93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95" t="s">
        <v>0</v>
      </c>
      <c r="B107" s="95" t="s">
        <v>15</v>
      </c>
      <c r="C107" s="95" t="s">
        <v>193</v>
      </c>
      <c r="H107" s="96" t="s">
        <v>88</v>
      </c>
      <c r="I107" s="95" t="s">
        <v>194</v>
      </c>
      <c r="N107" s="96"/>
      <c r="O107" s="97" t="s">
        <v>195</v>
      </c>
      <c r="P107" s="93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95" t="s">
        <v>0</v>
      </c>
      <c r="B108" s="95" t="s">
        <v>15</v>
      </c>
      <c r="C108" s="95" t="s">
        <v>193</v>
      </c>
      <c r="H108" s="96" t="s">
        <v>88</v>
      </c>
      <c r="I108" s="95" t="s">
        <v>196</v>
      </c>
      <c r="N108" s="96"/>
      <c r="O108" s="97" t="s">
        <v>195</v>
      </c>
      <c r="P108" s="93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95" t="s">
        <v>0</v>
      </c>
      <c r="B109" s="95" t="s">
        <v>15</v>
      </c>
      <c r="C109" s="95" t="s">
        <v>193</v>
      </c>
      <c r="H109" s="96" t="s">
        <v>88</v>
      </c>
      <c r="I109" s="95" t="s">
        <v>197</v>
      </c>
      <c r="N109" s="96"/>
      <c r="O109" s="97" t="s">
        <v>195</v>
      </c>
      <c r="P109" s="93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95" t="s">
        <v>0</v>
      </c>
      <c r="B110" s="95" t="s">
        <v>15</v>
      </c>
      <c r="C110" s="95" t="s">
        <v>193</v>
      </c>
      <c r="H110" s="96" t="s">
        <v>88</v>
      </c>
      <c r="I110" s="95" t="s">
        <v>198</v>
      </c>
      <c r="N110" s="96"/>
      <c r="O110" s="97" t="s">
        <v>195</v>
      </c>
      <c r="P110" s="93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95" t="s">
        <v>0</v>
      </c>
      <c r="B111" s="95" t="s">
        <v>15</v>
      </c>
      <c r="C111" s="95" t="s">
        <v>193</v>
      </c>
      <c r="H111" s="96" t="s">
        <v>88</v>
      </c>
      <c r="I111" s="95" t="s">
        <v>199</v>
      </c>
      <c r="N111" s="96"/>
      <c r="O111" s="97" t="s">
        <v>195</v>
      </c>
      <c r="P111" s="93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95" t="s">
        <v>0</v>
      </c>
      <c r="B112" s="95" t="s">
        <v>15</v>
      </c>
      <c r="C112" s="95" t="s">
        <v>193</v>
      </c>
      <c r="H112" s="96" t="s">
        <v>88</v>
      </c>
      <c r="I112" s="95" t="s">
        <v>200</v>
      </c>
      <c r="N112" s="96"/>
      <c r="O112" s="97" t="s">
        <v>195</v>
      </c>
      <c r="P112" s="93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95" t="s">
        <v>1</v>
      </c>
      <c r="B113" s="95" t="s">
        <v>19</v>
      </c>
      <c r="C113" s="95" t="s">
        <v>201</v>
      </c>
      <c r="H113" s="96" t="s">
        <v>87</v>
      </c>
      <c r="I113" s="95" t="s">
        <v>202</v>
      </c>
      <c r="N113" s="96"/>
      <c r="O113" s="97"/>
      <c r="P113" s="93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95" t="s">
        <v>1</v>
      </c>
      <c r="B114" s="95" t="s">
        <v>19</v>
      </c>
      <c r="C114" s="95" t="s">
        <v>201</v>
      </c>
      <c r="H114" s="96" t="s">
        <v>88</v>
      </c>
      <c r="I114" s="95" t="s">
        <v>203</v>
      </c>
      <c r="N114" s="96"/>
      <c r="O114" s="97" t="s">
        <v>109</v>
      </c>
      <c r="P114" s="93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95" t="s">
        <v>1</v>
      </c>
      <c r="B115" s="95" t="s">
        <v>19</v>
      </c>
      <c r="C115" s="95" t="s">
        <v>201</v>
      </c>
      <c r="H115" s="96" t="s">
        <v>88</v>
      </c>
      <c r="I115" s="95" t="s">
        <v>204</v>
      </c>
      <c r="N115" s="96"/>
      <c r="O115" s="97" t="s">
        <v>109</v>
      </c>
      <c r="P115" s="93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95" t="s">
        <v>1</v>
      </c>
      <c r="B116" s="95" t="s">
        <v>19</v>
      </c>
      <c r="C116" s="95" t="s">
        <v>201</v>
      </c>
      <c r="H116" s="96" t="s">
        <v>88</v>
      </c>
      <c r="I116" s="95" t="s">
        <v>205</v>
      </c>
      <c r="N116" s="96"/>
      <c r="O116" s="97" t="s">
        <v>109</v>
      </c>
      <c r="P116" s="93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95" t="s">
        <v>1</v>
      </c>
      <c r="B117" s="95" t="s">
        <v>19</v>
      </c>
      <c r="C117" s="95" t="s">
        <v>201</v>
      </c>
      <c r="H117" s="96" t="s">
        <v>88</v>
      </c>
      <c r="I117" s="95" t="s">
        <v>206</v>
      </c>
      <c r="N117" s="96"/>
      <c r="O117" s="97" t="s">
        <v>109</v>
      </c>
      <c r="P117" s="93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95" t="s">
        <v>1</v>
      </c>
      <c r="B118" s="95" t="s">
        <v>19</v>
      </c>
      <c r="C118" s="95" t="s">
        <v>201</v>
      </c>
      <c r="H118" s="96" t="s">
        <v>88</v>
      </c>
      <c r="I118" s="95" t="s">
        <v>207</v>
      </c>
      <c r="N118" s="96"/>
      <c r="O118" s="97" t="s">
        <v>109</v>
      </c>
      <c r="P118" s="93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95" t="s">
        <v>1</v>
      </c>
      <c r="B119" s="95" t="s">
        <v>19</v>
      </c>
      <c r="C119" s="95" t="s">
        <v>201</v>
      </c>
      <c r="H119" s="96" t="s">
        <v>88</v>
      </c>
      <c r="I119" s="95" t="s">
        <v>208</v>
      </c>
      <c r="N119" s="96"/>
      <c r="O119" s="97" t="s">
        <v>109</v>
      </c>
      <c r="P119" s="93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95" t="s">
        <v>1</v>
      </c>
      <c r="B120" s="95" t="s">
        <v>19</v>
      </c>
      <c r="C120" s="95" t="s">
        <v>201</v>
      </c>
      <c r="H120" s="96" t="s">
        <v>88</v>
      </c>
      <c r="I120" s="95" t="s">
        <v>209</v>
      </c>
      <c r="N120" s="96"/>
      <c r="O120" s="97" t="s">
        <v>109</v>
      </c>
      <c r="P120" s="93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95" t="s">
        <v>1</v>
      </c>
      <c r="B121" s="95" t="s">
        <v>19</v>
      </c>
      <c r="C121" s="95" t="s">
        <v>201</v>
      </c>
      <c r="H121" s="96" t="s">
        <v>88</v>
      </c>
      <c r="I121" s="95" t="s">
        <v>210</v>
      </c>
      <c r="N121" s="96"/>
      <c r="O121" s="97" t="s">
        <v>109</v>
      </c>
      <c r="P121" s="93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95" t="s">
        <v>1</v>
      </c>
      <c r="B122" s="95" t="s">
        <v>19</v>
      </c>
      <c r="C122" s="95" t="s">
        <v>201</v>
      </c>
      <c r="H122" s="96" t="s">
        <v>88</v>
      </c>
      <c r="I122" s="95" t="s">
        <v>211</v>
      </c>
      <c r="N122" s="96"/>
      <c r="O122" s="97" t="s">
        <v>109</v>
      </c>
      <c r="P122" s="93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95" t="s">
        <v>1</v>
      </c>
      <c r="B123" s="95" t="s">
        <v>19</v>
      </c>
      <c r="C123" s="95" t="s">
        <v>201</v>
      </c>
      <c r="H123" s="96" t="s">
        <v>88</v>
      </c>
      <c r="I123" s="95" t="s">
        <v>212</v>
      </c>
      <c r="N123" s="96"/>
      <c r="O123" s="97" t="s">
        <v>109</v>
      </c>
      <c r="P123" s="93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95" t="s">
        <v>1</v>
      </c>
      <c r="B124" s="95" t="s">
        <v>19</v>
      </c>
      <c r="C124" s="95" t="s">
        <v>201</v>
      </c>
      <c r="H124" s="91" t="s">
        <v>88</v>
      </c>
      <c r="I124" s="1" t="s">
        <v>213</v>
      </c>
      <c r="N124" s="98"/>
      <c r="O124" s="97" t="s">
        <v>109</v>
      </c>
      <c r="P124" s="93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95" t="s">
        <v>1</v>
      </c>
      <c r="B125" s="95" t="s">
        <v>19</v>
      </c>
      <c r="C125" s="95" t="s">
        <v>201</v>
      </c>
      <c r="H125" s="91" t="s">
        <v>88</v>
      </c>
      <c r="I125" s="1" t="s">
        <v>214</v>
      </c>
      <c r="N125" s="98"/>
      <c r="O125" s="97" t="s">
        <v>109</v>
      </c>
      <c r="P125" s="93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95" t="s">
        <v>1</v>
      </c>
      <c r="B126" s="95" t="s">
        <v>19</v>
      </c>
      <c r="C126" s="95" t="s">
        <v>201</v>
      </c>
      <c r="H126" s="91" t="s">
        <v>88</v>
      </c>
      <c r="I126" s="1" t="s">
        <v>215</v>
      </c>
      <c r="N126" s="98"/>
      <c r="O126" s="97" t="s">
        <v>109</v>
      </c>
      <c r="P126" s="93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95" t="s">
        <v>1</v>
      </c>
      <c r="B127" s="95" t="s">
        <v>19</v>
      </c>
      <c r="C127" s="95" t="s">
        <v>201</v>
      </c>
      <c r="H127" s="96" t="s">
        <v>88</v>
      </c>
      <c r="I127" s="95" t="s">
        <v>216</v>
      </c>
      <c r="N127" s="99" t="s">
        <v>105</v>
      </c>
      <c r="O127" s="97" t="s">
        <v>109</v>
      </c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95" t="s">
        <v>1</v>
      </c>
      <c r="B128" s="95" t="s">
        <v>19</v>
      </c>
      <c r="C128" s="95" t="s">
        <v>201</v>
      </c>
      <c r="H128" s="96" t="s">
        <v>90</v>
      </c>
      <c r="I128" s="100" t="s">
        <v>217</v>
      </c>
      <c r="N128" s="96"/>
      <c r="O128" s="97" t="s">
        <v>166</v>
      </c>
      <c r="P128" s="93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95" t="s">
        <v>1</v>
      </c>
      <c r="B129" s="95" t="s">
        <v>20</v>
      </c>
      <c r="C129" s="95" t="s">
        <v>218</v>
      </c>
      <c r="H129" s="96" t="s">
        <v>88</v>
      </c>
      <c r="I129" s="95" t="s">
        <v>219</v>
      </c>
      <c r="N129" s="96"/>
      <c r="O129" s="97" t="s">
        <v>171</v>
      </c>
      <c r="P129" s="93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95" t="s">
        <v>1</v>
      </c>
      <c r="B130" s="95" t="s">
        <v>20</v>
      </c>
      <c r="C130" s="95" t="s">
        <v>218</v>
      </c>
      <c r="H130" s="96" t="s">
        <v>88</v>
      </c>
      <c r="I130" s="95" t="s">
        <v>220</v>
      </c>
      <c r="N130" s="96"/>
      <c r="O130" s="97" t="s">
        <v>171</v>
      </c>
      <c r="P130" s="93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95" t="s">
        <v>1</v>
      </c>
      <c r="B131" s="95" t="s">
        <v>20</v>
      </c>
      <c r="C131" s="95" t="s">
        <v>218</v>
      </c>
      <c r="H131" s="96" t="s">
        <v>88</v>
      </c>
      <c r="I131" s="95" t="s">
        <v>221</v>
      </c>
      <c r="N131" s="96"/>
      <c r="O131" s="97" t="s">
        <v>171</v>
      </c>
      <c r="P131" s="93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95" t="s">
        <v>1</v>
      </c>
      <c r="B132" s="95" t="s">
        <v>20</v>
      </c>
      <c r="C132" s="95" t="s">
        <v>218</v>
      </c>
      <c r="H132" s="96" t="s">
        <v>88</v>
      </c>
      <c r="I132" s="95" t="s">
        <v>222</v>
      </c>
      <c r="N132" s="96"/>
      <c r="O132" s="97" t="s">
        <v>171</v>
      </c>
      <c r="P132" s="93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95" t="s">
        <v>1</v>
      </c>
      <c r="B133" s="95" t="s">
        <v>20</v>
      </c>
      <c r="C133" s="95" t="s">
        <v>218</v>
      </c>
      <c r="H133" s="96" t="s">
        <v>88</v>
      </c>
      <c r="I133" s="95" t="s">
        <v>223</v>
      </c>
      <c r="N133" s="96"/>
      <c r="O133" s="97" t="s">
        <v>171</v>
      </c>
      <c r="P133" s="93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95" t="s">
        <v>1</v>
      </c>
      <c r="B134" s="95" t="s">
        <v>20</v>
      </c>
      <c r="C134" s="95" t="s">
        <v>218</v>
      </c>
      <c r="H134" s="96" t="s">
        <v>88</v>
      </c>
      <c r="I134" s="95" t="s">
        <v>224</v>
      </c>
      <c r="N134" s="96"/>
      <c r="O134" s="97" t="s">
        <v>171</v>
      </c>
      <c r="P134" s="93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95" t="s">
        <v>1</v>
      </c>
      <c r="B135" s="95" t="s">
        <v>20</v>
      </c>
      <c r="C135" s="95" t="s">
        <v>218</v>
      </c>
      <c r="H135" s="96" t="s">
        <v>88</v>
      </c>
      <c r="I135" s="95" t="s">
        <v>225</v>
      </c>
      <c r="N135" s="96"/>
      <c r="O135" s="97" t="s">
        <v>171</v>
      </c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95" t="s">
        <v>1</v>
      </c>
      <c r="B136" s="95" t="s">
        <v>20</v>
      </c>
      <c r="C136" s="95" t="s">
        <v>218</v>
      </c>
      <c r="H136" s="96" t="s">
        <v>88</v>
      </c>
      <c r="I136" s="95" t="s">
        <v>226</v>
      </c>
      <c r="N136" s="96"/>
      <c r="O136" s="97" t="s">
        <v>171</v>
      </c>
      <c r="P136" s="93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95" t="s">
        <v>1</v>
      </c>
      <c r="B137" s="95" t="s">
        <v>20</v>
      </c>
      <c r="C137" s="95" t="s">
        <v>218</v>
      </c>
      <c r="H137" s="96" t="s">
        <v>88</v>
      </c>
      <c r="I137" s="95" t="s">
        <v>227</v>
      </c>
      <c r="N137" s="96"/>
      <c r="O137" s="97" t="s">
        <v>171</v>
      </c>
      <c r="P137" s="93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95" t="s">
        <v>1</v>
      </c>
      <c r="B138" s="95" t="s">
        <v>20</v>
      </c>
      <c r="C138" s="95" t="s">
        <v>218</v>
      </c>
      <c r="H138" s="96" t="s">
        <v>88</v>
      </c>
      <c r="I138" s="100" t="s">
        <v>215</v>
      </c>
      <c r="N138" s="96"/>
      <c r="O138" s="97" t="s">
        <v>171</v>
      </c>
      <c r="P138" s="93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95" t="s">
        <v>1</v>
      </c>
      <c r="B139" s="95" t="s">
        <v>20</v>
      </c>
      <c r="C139" s="95" t="s">
        <v>218</v>
      </c>
      <c r="H139" s="96" t="s">
        <v>88</v>
      </c>
      <c r="I139" s="100" t="s">
        <v>213</v>
      </c>
      <c r="N139" s="96"/>
      <c r="O139" s="97" t="s">
        <v>171</v>
      </c>
      <c r="P139" s="93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95" t="s">
        <v>1</v>
      </c>
      <c r="B140" s="95" t="s">
        <v>20</v>
      </c>
      <c r="C140" s="95" t="s">
        <v>218</v>
      </c>
      <c r="H140" s="96" t="s">
        <v>88</v>
      </c>
      <c r="I140" s="100" t="s">
        <v>228</v>
      </c>
      <c r="N140" s="96"/>
      <c r="O140" s="97" t="s">
        <v>171</v>
      </c>
      <c r="P140" s="93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95" t="s">
        <v>1</v>
      </c>
      <c r="B141" s="95" t="s">
        <v>20</v>
      </c>
      <c r="C141" s="95" t="s">
        <v>218</v>
      </c>
      <c r="H141" s="96" t="s">
        <v>88</v>
      </c>
      <c r="I141" s="100" t="s">
        <v>229</v>
      </c>
      <c r="N141" s="96"/>
      <c r="O141" s="97" t="s">
        <v>171</v>
      </c>
      <c r="P141" s="93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95" t="s">
        <v>1</v>
      </c>
      <c r="B142" s="95" t="s">
        <v>20</v>
      </c>
      <c r="C142" s="95" t="s">
        <v>218</v>
      </c>
      <c r="H142" s="96" t="s">
        <v>88</v>
      </c>
      <c r="I142" s="95" t="s">
        <v>227</v>
      </c>
      <c r="N142" s="99" t="s">
        <v>105</v>
      </c>
      <c r="O142" s="97" t="s">
        <v>171</v>
      </c>
      <c r="P142" s="93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95" t="s">
        <v>1</v>
      </c>
      <c r="B143" s="95" t="s">
        <v>20</v>
      </c>
      <c r="C143" s="95" t="s">
        <v>218</v>
      </c>
      <c r="H143" s="96" t="s">
        <v>90</v>
      </c>
      <c r="I143" s="100" t="s">
        <v>230</v>
      </c>
      <c r="N143" s="96"/>
      <c r="O143" s="97" t="s">
        <v>166</v>
      </c>
      <c r="P143" s="93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95" t="s">
        <v>1</v>
      </c>
      <c r="B144" s="95" t="s">
        <v>21</v>
      </c>
      <c r="C144" s="95" t="s">
        <v>231</v>
      </c>
      <c r="H144" s="96" t="s">
        <v>87</v>
      </c>
      <c r="I144" s="95" t="s">
        <v>232</v>
      </c>
      <c r="N144" s="96"/>
      <c r="O144" s="97"/>
      <c r="P144" s="93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95" t="s">
        <v>1</v>
      </c>
      <c r="B145" s="95" t="s">
        <v>21</v>
      </c>
      <c r="C145" s="95" t="s">
        <v>231</v>
      </c>
      <c r="H145" s="96" t="s">
        <v>87</v>
      </c>
      <c r="I145" s="95" t="s">
        <v>233</v>
      </c>
      <c r="N145" s="99" t="s">
        <v>105</v>
      </c>
      <c r="O145" s="97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95" t="s">
        <v>1</v>
      </c>
      <c r="B146" s="95" t="s">
        <v>21</v>
      </c>
      <c r="C146" s="95" t="s">
        <v>231</v>
      </c>
      <c r="H146" s="96" t="s">
        <v>87</v>
      </c>
      <c r="I146" s="95" t="s">
        <v>234</v>
      </c>
      <c r="N146" s="99" t="s">
        <v>107</v>
      </c>
      <c r="O146" s="97"/>
      <c r="P146" s="93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95" t="s">
        <v>1</v>
      </c>
      <c r="B147" s="95" t="s">
        <v>21</v>
      </c>
      <c r="C147" s="95" t="s">
        <v>231</v>
      </c>
      <c r="H147" s="96" t="s">
        <v>88</v>
      </c>
      <c r="I147" s="95" t="s">
        <v>235</v>
      </c>
      <c r="N147" s="96"/>
      <c r="O147" s="97" t="s">
        <v>109</v>
      </c>
      <c r="P147" s="93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95" t="s">
        <v>1</v>
      </c>
      <c r="B148" s="95" t="s">
        <v>21</v>
      </c>
      <c r="C148" s="95" t="s">
        <v>231</v>
      </c>
      <c r="H148" s="96" t="s">
        <v>88</v>
      </c>
      <c r="I148" s="95" t="s">
        <v>236</v>
      </c>
      <c r="N148" s="96"/>
      <c r="O148" s="97" t="s">
        <v>109</v>
      </c>
      <c r="P148" s="93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95" t="s">
        <v>1</v>
      </c>
      <c r="B149" s="95" t="s">
        <v>21</v>
      </c>
      <c r="C149" s="95" t="s">
        <v>231</v>
      </c>
      <c r="H149" s="96" t="s">
        <v>88</v>
      </c>
      <c r="I149" s="95" t="s">
        <v>237</v>
      </c>
      <c r="N149" s="96"/>
      <c r="O149" s="97" t="s">
        <v>109</v>
      </c>
      <c r="P149" s="93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95" t="s">
        <v>1</v>
      </c>
      <c r="B150" s="95" t="s">
        <v>21</v>
      </c>
      <c r="C150" s="95" t="s">
        <v>231</v>
      </c>
      <c r="H150" s="96" t="s">
        <v>88</v>
      </c>
      <c r="I150" s="95" t="s">
        <v>238</v>
      </c>
      <c r="N150" s="96"/>
      <c r="O150" s="97" t="s">
        <v>109</v>
      </c>
      <c r="P150" s="93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95" t="s">
        <v>1</v>
      </c>
      <c r="B151" s="95" t="s">
        <v>21</v>
      </c>
      <c r="C151" s="95" t="s">
        <v>231</v>
      </c>
      <c r="H151" s="96" t="s">
        <v>88</v>
      </c>
      <c r="I151" s="95" t="s">
        <v>239</v>
      </c>
      <c r="N151" s="96"/>
      <c r="O151" s="97" t="s">
        <v>109</v>
      </c>
      <c r="P151" s="93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95" t="s">
        <v>1</v>
      </c>
      <c r="B152" s="95" t="s">
        <v>21</v>
      </c>
      <c r="C152" s="95" t="s">
        <v>231</v>
      </c>
      <c r="H152" s="96" t="s">
        <v>88</v>
      </c>
      <c r="I152" s="95" t="s">
        <v>240</v>
      </c>
      <c r="N152" s="96"/>
      <c r="O152" s="97" t="s">
        <v>109</v>
      </c>
      <c r="P152" s="93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95" t="s">
        <v>1</v>
      </c>
      <c r="B153" s="95" t="s">
        <v>21</v>
      </c>
      <c r="C153" s="95" t="s">
        <v>231</v>
      </c>
      <c r="H153" s="96" t="s">
        <v>88</v>
      </c>
      <c r="I153" s="95" t="s">
        <v>241</v>
      </c>
      <c r="N153" s="96"/>
      <c r="O153" s="97" t="s">
        <v>109</v>
      </c>
      <c r="P153" s="93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95" t="s">
        <v>1</v>
      </c>
      <c r="B154" s="95" t="s">
        <v>21</v>
      </c>
      <c r="C154" s="95" t="s">
        <v>231</v>
      </c>
      <c r="H154" s="96" t="s">
        <v>88</v>
      </c>
      <c r="I154" s="95" t="s">
        <v>242</v>
      </c>
      <c r="N154" s="96"/>
      <c r="O154" s="97" t="s">
        <v>109</v>
      </c>
      <c r="P154" s="93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95" t="s">
        <v>1</v>
      </c>
      <c r="B155" s="95" t="s">
        <v>21</v>
      </c>
      <c r="C155" s="95" t="s">
        <v>231</v>
      </c>
      <c r="H155" s="96" t="s">
        <v>88</v>
      </c>
      <c r="I155" s="95" t="s">
        <v>243</v>
      </c>
      <c r="N155" s="96"/>
      <c r="O155" s="97" t="s">
        <v>109</v>
      </c>
      <c r="P155" s="93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95" t="s">
        <v>1</v>
      </c>
      <c r="B156" s="95" t="s">
        <v>21</v>
      </c>
      <c r="C156" s="95" t="s">
        <v>231</v>
      </c>
      <c r="H156" s="96" t="s">
        <v>88</v>
      </c>
      <c r="I156" s="95" t="s">
        <v>244</v>
      </c>
      <c r="N156" s="96"/>
      <c r="O156" s="97" t="s">
        <v>109</v>
      </c>
      <c r="P156" s="93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95" t="s">
        <v>1</v>
      </c>
      <c r="B157" s="95" t="s">
        <v>21</v>
      </c>
      <c r="C157" s="95" t="s">
        <v>231</v>
      </c>
      <c r="H157" s="96" t="s">
        <v>88</v>
      </c>
      <c r="I157" s="100" t="s">
        <v>245</v>
      </c>
      <c r="N157" s="96"/>
      <c r="O157" s="97" t="s">
        <v>109</v>
      </c>
      <c r="P157" s="93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95" t="s">
        <v>1</v>
      </c>
      <c r="B158" s="95" t="s">
        <v>21</v>
      </c>
      <c r="C158" s="95" t="s">
        <v>231</v>
      </c>
      <c r="H158" s="96" t="s">
        <v>88</v>
      </c>
      <c r="I158" s="100" t="s">
        <v>246</v>
      </c>
      <c r="N158" s="96"/>
      <c r="O158" s="97" t="s">
        <v>109</v>
      </c>
      <c r="P158" s="93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95" t="s">
        <v>1</v>
      </c>
      <c r="B159" s="95" t="s">
        <v>21</v>
      </c>
      <c r="C159" s="95" t="s">
        <v>231</v>
      </c>
      <c r="H159" s="96" t="s">
        <v>88</v>
      </c>
      <c r="I159" s="100" t="s">
        <v>247</v>
      </c>
      <c r="N159" s="96"/>
      <c r="O159" s="97" t="s">
        <v>109</v>
      </c>
      <c r="P159" s="93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95" t="s">
        <v>1</v>
      </c>
      <c r="B160" s="95" t="s">
        <v>21</v>
      </c>
      <c r="C160" s="95" t="s">
        <v>231</v>
      </c>
      <c r="H160" s="96" t="s">
        <v>88</v>
      </c>
      <c r="I160" s="100" t="s">
        <v>248</v>
      </c>
      <c r="N160" s="96"/>
      <c r="O160" s="97" t="s">
        <v>109</v>
      </c>
      <c r="P160" s="93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95" t="s">
        <v>1</v>
      </c>
      <c r="B161" s="95" t="s">
        <v>21</v>
      </c>
      <c r="C161" s="95" t="s">
        <v>231</v>
      </c>
      <c r="H161" s="96" t="s">
        <v>88</v>
      </c>
      <c r="I161" s="100" t="s">
        <v>249</v>
      </c>
      <c r="N161" s="96"/>
      <c r="O161" s="97" t="s">
        <v>109</v>
      </c>
      <c r="P161" s="93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95" t="s">
        <v>1</v>
      </c>
      <c r="B162" s="95" t="s">
        <v>21</v>
      </c>
      <c r="C162" s="95" t="s">
        <v>231</v>
      </c>
      <c r="H162" s="96" t="s">
        <v>88</v>
      </c>
      <c r="I162" s="100" t="s">
        <v>250</v>
      </c>
      <c r="N162" s="96"/>
      <c r="O162" s="97" t="s">
        <v>109</v>
      </c>
      <c r="P162" s="93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95" t="s">
        <v>1</v>
      </c>
      <c r="B163" s="95" t="s">
        <v>21</v>
      </c>
      <c r="C163" s="95" t="s">
        <v>231</v>
      </c>
      <c r="H163" s="96" t="s">
        <v>88</v>
      </c>
      <c r="I163" s="100" t="s">
        <v>251</v>
      </c>
      <c r="N163" s="96"/>
      <c r="O163" s="97" t="s">
        <v>109</v>
      </c>
      <c r="P163" s="93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95" t="s">
        <v>1</v>
      </c>
      <c r="B164" s="95" t="s">
        <v>21</v>
      </c>
      <c r="C164" s="95" t="s">
        <v>231</v>
      </c>
      <c r="H164" s="96" t="s">
        <v>88</v>
      </c>
      <c r="I164" s="100" t="s">
        <v>252</v>
      </c>
      <c r="N164" s="96"/>
      <c r="O164" s="97" t="s">
        <v>109</v>
      </c>
      <c r="P164" s="93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95" t="s">
        <v>1</v>
      </c>
      <c r="B165" s="95" t="s">
        <v>21</v>
      </c>
      <c r="C165" s="95" t="s">
        <v>231</v>
      </c>
      <c r="H165" s="96" t="s">
        <v>90</v>
      </c>
      <c r="I165" s="100" t="s">
        <v>253</v>
      </c>
      <c r="N165" s="96"/>
      <c r="O165" s="97" t="s">
        <v>166</v>
      </c>
      <c r="P165" s="93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95" t="s">
        <v>1</v>
      </c>
      <c r="B166" s="95" t="s">
        <v>22</v>
      </c>
      <c r="C166" s="95" t="s">
        <v>254</v>
      </c>
      <c r="H166" s="96" t="s">
        <v>87</v>
      </c>
      <c r="I166" s="95" t="s">
        <v>255</v>
      </c>
      <c r="N166" s="96"/>
      <c r="O166" s="97"/>
      <c r="P166" s="93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95" t="s">
        <v>1</v>
      </c>
      <c r="B167" s="95" t="s">
        <v>22</v>
      </c>
      <c r="C167" s="95" t="s">
        <v>254</v>
      </c>
      <c r="H167" s="96" t="s">
        <v>87</v>
      </c>
      <c r="I167" s="95" t="s">
        <v>256</v>
      </c>
      <c r="N167" s="96"/>
      <c r="O167" s="97"/>
      <c r="P167" s="93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95" t="s">
        <v>1</v>
      </c>
      <c r="B168" s="95" t="s">
        <v>22</v>
      </c>
      <c r="C168" s="95" t="s">
        <v>254</v>
      </c>
      <c r="H168" s="96" t="s">
        <v>87</v>
      </c>
      <c r="I168" s="95" t="s">
        <v>257</v>
      </c>
      <c r="N168" s="96"/>
      <c r="O168" s="97"/>
      <c r="P168" s="93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95" t="s">
        <v>1</v>
      </c>
      <c r="B169" s="95" t="s">
        <v>22</v>
      </c>
      <c r="C169" s="95" t="s">
        <v>254</v>
      </c>
      <c r="H169" s="96" t="s">
        <v>87</v>
      </c>
      <c r="I169" s="95" t="s">
        <v>258</v>
      </c>
      <c r="N169" s="96"/>
      <c r="O169" s="97"/>
      <c r="P169" s="93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95" t="s">
        <v>1</v>
      </c>
      <c r="B170" s="95" t="s">
        <v>22</v>
      </c>
      <c r="C170" s="95" t="s">
        <v>254</v>
      </c>
      <c r="H170" s="96" t="s">
        <v>87</v>
      </c>
      <c r="I170" s="95" t="s">
        <v>259</v>
      </c>
      <c r="N170" s="96"/>
      <c r="O170" s="97"/>
      <c r="P170" s="93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95" t="s">
        <v>1</v>
      </c>
      <c r="B171" s="95" t="s">
        <v>22</v>
      </c>
      <c r="C171" s="95" t="s">
        <v>254</v>
      </c>
      <c r="H171" s="96" t="s">
        <v>87</v>
      </c>
      <c r="I171" s="95" t="s">
        <v>260</v>
      </c>
      <c r="N171" s="96"/>
      <c r="O171" s="97"/>
      <c r="P171" s="93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95" t="s">
        <v>1</v>
      </c>
      <c r="B172" s="95" t="s">
        <v>22</v>
      </c>
      <c r="C172" s="95" t="s">
        <v>254</v>
      </c>
      <c r="H172" s="96" t="s">
        <v>88</v>
      </c>
      <c r="I172" s="95" t="s">
        <v>261</v>
      </c>
      <c r="N172" s="96"/>
      <c r="O172" s="97" t="s">
        <v>171</v>
      </c>
      <c r="P172" s="93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95" t="s">
        <v>1</v>
      </c>
      <c r="B173" s="95" t="s">
        <v>22</v>
      </c>
      <c r="C173" s="95" t="s">
        <v>254</v>
      </c>
      <c r="H173" s="96" t="s">
        <v>88</v>
      </c>
      <c r="I173" s="95" t="s">
        <v>262</v>
      </c>
      <c r="N173" s="96"/>
      <c r="O173" s="97" t="s">
        <v>171</v>
      </c>
      <c r="P173" s="93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95" t="s">
        <v>1</v>
      </c>
      <c r="B174" s="95" t="s">
        <v>22</v>
      </c>
      <c r="C174" s="95" t="s">
        <v>254</v>
      </c>
      <c r="H174" s="96" t="s">
        <v>88</v>
      </c>
      <c r="I174" s="95" t="s">
        <v>263</v>
      </c>
      <c r="N174" s="96"/>
      <c r="O174" s="97" t="s">
        <v>171</v>
      </c>
      <c r="P174" s="93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95" t="s">
        <v>1</v>
      </c>
      <c r="B175" s="95" t="s">
        <v>22</v>
      </c>
      <c r="C175" s="95" t="s">
        <v>254</v>
      </c>
      <c r="H175" s="96" t="s">
        <v>88</v>
      </c>
      <c r="I175" s="95" t="s">
        <v>264</v>
      </c>
      <c r="N175" s="96"/>
      <c r="O175" s="97" t="s">
        <v>171</v>
      </c>
      <c r="P175" s="93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95" t="s">
        <v>1</v>
      </c>
      <c r="B176" s="95" t="s">
        <v>22</v>
      </c>
      <c r="C176" s="95" t="s">
        <v>254</v>
      </c>
      <c r="H176" s="96" t="s">
        <v>88</v>
      </c>
      <c r="I176" s="100" t="s">
        <v>265</v>
      </c>
      <c r="N176" s="96"/>
      <c r="O176" s="97" t="s">
        <v>171</v>
      </c>
      <c r="P176" s="93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95" t="s">
        <v>1</v>
      </c>
      <c r="B177" s="95" t="s">
        <v>22</v>
      </c>
      <c r="C177" s="95" t="s">
        <v>254</v>
      </c>
      <c r="H177" s="96" t="s">
        <v>88</v>
      </c>
      <c r="I177" s="100" t="s">
        <v>266</v>
      </c>
      <c r="N177" s="96"/>
      <c r="O177" s="97" t="s">
        <v>171</v>
      </c>
      <c r="P177" s="93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95" t="s">
        <v>1</v>
      </c>
      <c r="B178" s="95" t="s">
        <v>22</v>
      </c>
      <c r="C178" s="95" t="s">
        <v>254</v>
      </c>
      <c r="H178" s="96" t="s">
        <v>88</v>
      </c>
      <c r="I178" s="100" t="s">
        <v>267</v>
      </c>
      <c r="N178" s="96"/>
      <c r="O178" s="97" t="s">
        <v>171</v>
      </c>
      <c r="P178" s="93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95" t="s">
        <v>1</v>
      </c>
      <c r="B179" s="95" t="s">
        <v>22</v>
      </c>
      <c r="C179" s="95" t="s">
        <v>254</v>
      </c>
      <c r="H179" s="96" t="s">
        <v>88</v>
      </c>
      <c r="I179" s="100" t="s">
        <v>268</v>
      </c>
      <c r="N179" s="96"/>
      <c r="O179" s="97" t="s">
        <v>171</v>
      </c>
      <c r="P179" s="93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95" t="s">
        <v>1</v>
      </c>
      <c r="B180" s="95" t="s">
        <v>22</v>
      </c>
      <c r="C180" s="95" t="s">
        <v>254</v>
      </c>
      <c r="H180" s="96" t="s">
        <v>88</v>
      </c>
      <c r="I180" s="100" t="s">
        <v>136</v>
      </c>
      <c r="N180" s="96"/>
      <c r="O180" s="97" t="s">
        <v>171</v>
      </c>
      <c r="P180" s="93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95" t="s">
        <v>1</v>
      </c>
      <c r="B181" s="95" t="s">
        <v>22</v>
      </c>
      <c r="C181" s="95" t="s">
        <v>254</v>
      </c>
      <c r="H181" s="96" t="s">
        <v>88</v>
      </c>
      <c r="I181" s="100" t="s">
        <v>269</v>
      </c>
      <c r="N181" s="96"/>
      <c r="O181" s="97" t="s">
        <v>171</v>
      </c>
      <c r="P181" s="93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95" t="s">
        <v>1</v>
      </c>
      <c r="B182" s="95" t="s">
        <v>22</v>
      </c>
      <c r="C182" s="95" t="s">
        <v>254</v>
      </c>
      <c r="H182" s="96" t="s">
        <v>88</v>
      </c>
      <c r="I182" s="100" t="s">
        <v>270</v>
      </c>
      <c r="N182" s="96"/>
      <c r="O182" s="97" t="s">
        <v>171</v>
      </c>
      <c r="P182" s="93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95" t="s">
        <v>1</v>
      </c>
      <c r="B183" s="95" t="s">
        <v>22</v>
      </c>
      <c r="C183" s="95" t="s">
        <v>254</v>
      </c>
      <c r="H183" s="96" t="s">
        <v>88</v>
      </c>
      <c r="I183" s="100" t="s">
        <v>271</v>
      </c>
      <c r="N183" s="96"/>
      <c r="O183" s="97" t="s">
        <v>171</v>
      </c>
      <c r="P183" s="93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95" t="s">
        <v>1</v>
      </c>
      <c r="B184" s="95" t="s">
        <v>22</v>
      </c>
      <c r="C184" s="95" t="s">
        <v>254</v>
      </c>
      <c r="H184" s="96" t="s">
        <v>90</v>
      </c>
      <c r="I184" s="100" t="s">
        <v>272</v>
      </c>
      <c r="N184" s="96"/>
      <c r="O184" s="97" t="s">
        <v>166</v>
      </c>
      <c r="P184" s="93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95" t="s">
        <v>2</v>
      </c>
      <c r="B185" s="95" t="s">
        <v>23</v>
      </c>
      <c r="C185" s="95" t="s">
        <v>273</v>
      </c>
      <c r="H185" s="96" t="s">
        <v>87</v>
      </c>
      <c r="I185" s="100" t="s">
        <v>274</v>
      </c>
      <c r="N185" s="96"/>
      <c r="O185" s="97"/>
      <c r="P185" s="93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95" t="s">
        <v>2</v>
      </c>
      <c r="B186" s="95" t="s">
        <v>23</v>
      </c>
      <c r="C186" s="95" t="s">
        <v>273</v>
      </c>
      <c r="H186" s="96" t="s">
        <v>87</v>
      </c>
      <c r="I186" s="100" t="s">
        <v>275</v>
      </c>
      <c r="N186" s="96"/>
      <c r="O186" s="97"/>
      <c r="P186" s="93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95" t="s">
        <v>2</v>
      </c>
      <c r="B187" s="95" t="s">
        <v>23</v>
      </c>
      <c r="C187" s="95" t="s">
        <v>273</v>
      </c>
      <c r="H187" s="96" t="s">
        <v>88</v>
      </c>
      <c r="I187" s="100" t="s">
        <v>276</v>
      </c>
      <c r="N187" s="96"/>
      <c r="O187" s="97" t="s">
        <v>195</v>
      </c>
      <c r="P187" s="93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95" t="s">
        <v>2</v>
      </c>
      <c r="B188" s="95" t="s">
        <v>23</v>
      </c>
      <c r="C188" s="95" t="s">
        <v>273</v>
      </c>
      <c r="H188" s="96" t="s">
        <v>88</v>
      </c>
      <c r="I188" s="100" t="s">
        <v>277</v>
      </c>
      <c r="N188" s="96"/>
      <c r="O188" s="97" t="s">
        <v>195</v>
      </c>
      <c r="P188" s="93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95" t="s">
        <v>2</v>
      </c>
      <c r="B189" s="95" t="s">
        <v>23</v>
      </c>
      <c r="C189" s="95" t="s">
        <v>273</v>
      </c>
      <c r="H189" s="96" t="s">
        <v>88</v>
      </c>
      <c r="I189" s="100" t="s">
        <v>278</v>
      </c>
      <c r="N189" s="96"/>
      <c r="O189" s="97" t="s">
        <v>195</v>
      </c>
      <c r="P189" s="93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95" t="s">
        <v>2</v>
      </c>
      <c r="B190" s="95" t="s">
        <v>23</v>
      </c>
      <c r="C190" s="95" t="s">
        <v>273</v>
      </c>
      <c r="H190" s="96" t="s">
        <v>88</v>
      </c>
      <c r="I190" s="100" t="s">
        <v>279</v>
      </c>
      <c r="N190" s="96"/>
      <c r="O190" s="97" t="s">
        <v>195</v>
      </c>
      <c r="P190" s="93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95" t="s">
        <v>2</v>
      </c>
      <c r="B191" s="95" t="s">
        <v>23</v>
      </c>
      <c r="C191" s="95" t="s">
        <v>273</v>
      </c>
      <c r="H191" s="96" t="s">
        <v>88</v>
      </c>
      <c r="I191" s="100" t="s">
        <v>280</v>
      </c>
      <c r="N191" s="96"/>
      <c r="O191" s="97" t="s">
        <v>195</v>
      </c>
      <c r="P191" s="93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95" t="s">
        <v>2</v>
      </c>
      <c r="B192" s="95" t="s">
        <v>23</v>
      </c>
      <c r="C192" s="95" t="s">
        <v>273</v>
      </c>
      <c r="H192" s="96" t="s">
        <v>88</v>
      </c>
      <c r="I192" s="100" t="s">
        <v>281</v>
      </c>
      <c r="N192" s="96"/>
      <c r="O192" s="97" t="s">
        <v>195</v>
      </c>
      <c r="P192" s="93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95" t="s">
        <v>2</v>
      </c>
      <c r="B193" s="95" t="s">
        <v>23</v>
      </c>
      <c r="C193" s="95" t="s">
        <v>273</v>
      </c>
      <c r="H193" s="96" t="s">
        <v>88</v>
      </c>
      <c r="I193" s="100" t="s">
        <v>282</v>
      </c>
      <c r="N193" s="96"/>
      <c r="O193" s="97" t="s">
        <v>195</v>
      </c>
      <c r="P193" s="93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95" t="s">
        <v>2</v>
      </c>
      <c r="B194" s="95" t="s">
        <v>23</v>
      </c>
      <c r="C194" s="95" t="s">
        <v>273</v>
      </c>
      <c r="H194" s="96" t="s">
        <v>88</v>
      </c>
      <c r="I194" s="100" t="s">
        <v>283</v>
      </c>
      <c r="N194" s="96"/>
      <c r="O194" s="97" t="s">
        <v>195</v>
      </c>
      <c r="P194" s="93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95" t="s">
        <v>2</v>
      </c>
      <c r="B195" s="95" t="s">
        <v>23</v>
      </c>
      <c r="C195" s="95" t="s">
        <v>273</v>
      </c>
      <c r="H195" s="96" t="s">
        <v>88</v>
      </c>
      <c r="I195" s="100" t="s">
        <v>284</v>
      </c>
      <c r="N195" s="96"/>
      <c r="O195" s="97" t="s">
        <v>195</v>
      </c>
      <c r="P195" s="93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95" t="s">
        <v>2</v>
      </c>
      <c r="B196" s="95" t="s">
        <v>23</v>
      </c>
      <c r="C196" s="95" t="s">
        <v>273</v>
      </c>
      <c r="H196" s="96" t="s">
        <v>90</v>
      </c>
      <c r="I196" s="100" t="s">
        <v>285</v>
      </c>
      <c r="N196" s="96"/>
      <c r="O196" s="97" t="s">
        <v>166</v>
      </c>
      <c r="P196" s="93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95" t="s">
        <v>2</v>
      </c>
      <c r="B197" s="95" t="s">
        <v>24</v>
      </c>
      <c r="C197" s="95" t="s">
        <v>286</v>
      </c>
      <c r="H197" s="96" t="s">
        <v>87</v>
      </c>
      <c r="I197" s="100" t="s">
        <v>287</v>
      </c>
      <c r="N197" s="96"/>
      <c r="O197" s="97"/>
      <c r="P197" s="93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95" t="s">
        <v>2</v>
      </c>
      <c r="B198" s="95" t="s">
        <v>24</v>
      </c>
      <c r="C198" s="95" t="s">
        <v>286</v>
      </c>
      <c r="H198" s="96" t="s">
        <v>87</v>
      </c>
      <c r="I198" s="100" t="s">
        <v>288</v>
      </c>
      <c r="N198" s="96"/>
      <c r="O198" s="97"/>
      <c r="P198" s="93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95" t="s">
        <v>2</v>
      </c>
      <c r="B199" s="95" t="s">
        <v>24</v>
      </c>
      <c r="C199" s="95" t="s">
        <v>286</v>
      </c>
      <c r="H199" s="96" t="s">
        <v>87</v>
      </c>
      <c r="I199" s="100" t="s">
        <v>289</v>
      </c>
      <c r="N199" s="96"/>
      <c r="O199" s="97"/>
      <c r="P199" s="93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95" t="s">
        <v>2</v>
      </c>
      <c r="B200" s="95" t="s">
        <v>24</v>
      </c>
      <c r="C200" s="95" t="s">
        <v>286</v>
      </c>
      <c r="H200" s="96" t="s">
        <v>88</v>
      </c>
      <c r="I200" s="100" t="s">
        <v>290</v>
      </c>
      <c r="N200" s="96"/>
      <c r="O200" s="97" t="s">
        <v>291</v>
      </c>
      <c r="P200" s="93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95" t="s">
        <v>2</v>
      </c>
      <c r="B201" s="95" t="s">
        <v>24</v>
      </c>
      <c r="C201" s="95" t="s">
        <v>286</v>
      </c>
      <c r="H201" s="96" t="s">
        <v>88</v>
      </c>
      <c r="I201" s="100" t="s">
        <v>292</v>
      </c>
      <c r="N201" s="96"/>
      <c r="O201" s="97" t="s">
        <v>291</v>
      </c>
      <c r="P201" s="93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95" t="s">
        <v>2</v>
      </c>
      <c r="B202" s="95" t="s">
        <v>24</v>
      </c>
      <c r="C202" s="95" t="s">
        <v>286</v>
      </c>
      <c r="H202" s="96" t="s">
        <v>88</v>
      </c>
      <c r="I202" s="100" t="s">
        <v>293</v>
      </c>
      <c r="N202" s="96"/>
      <c r="O202" s="97" t="s">
        <v>291</v>
      </c>
      <c r="P202" s="93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95" t="s">
        <v>2</v>
      </c>
      <c r="B203" s="95" t="s">
        <v>24</v>
      </c>
      <c r="C203" s="95" t="s">
        <v>286</v>
      </c>
      <c r="H203" s="96" t="s">
        <v>88</v>
      </c>
      <c r="I203" s="100" t="s">
        <v>294</v>
      </c>
      <c r="N203" s="96"/>
      <c r="O203" s="97" t="s">
        <v>291</v>
      </c>
      <c r="P203" s="93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95" t="s">
        <v>2</v>
      </c>
      <c r="B204" s="95" t="s">
        <v>24</v>
      </c>
      <c r="C204" s="95" t="s">
        <v>286</v>
      </c>
      <c r="H204" s="96" t="s">
        <v>88</v>
      </c>
      <c r="I204" s="100" t="s">
        <v>295</v>
      </c>
      <c r="N204" s="96"/>
      <c r="O204" s="97" t="s">
        <v>291</v>
      </c>
      <c r="P204" s="93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95" t="s">
        <v>2</v>
      </c>
      <c r="B205" s="95" t="s">
        <v>24</v>
      </c>
      <c r="C205" s="95" t="s">
        <v>286</v>
      </c>
      <c r="H205" s="96" t="s">
        <v>88</v>
      </c>
      <c r="I205" s="100" t="s">
        <v>296</v>
      </c>
      <c r="N205" s="96"/>
      <c r="O205" s="97" t="s">
        <v>291</v>
      </c>
      <c r="P205" s="93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95" t="s">
        <v>2</v>
      </c>
      <c r="B206" s="95" t="s">
        <v>24</v>
      </c>
      <c r="C206" s="95" t="s">
        <v>286</v>
      </c>
      <c r="H206" s="96" t="s">
        <v>88</v>
      </c>
      <c r="I206" s="100" t="s">
        <v>297</v>
      </c>
      <c r="N206" s="96"/>
      <c r="O206" s="97" t="s">
        <v>291</v>
      </c>
      <c r="P206" s="93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95" t="s">
        <v>2</v>
      </c>
      <c r="B207" s="95" t="s">
        <v>24</v>
      </c>
      <c r="C207" s="95" t="s">
        <v>286</v>
      </c>
      <c r="H207" s="96" t="s">
        <v>88</v>
      </c>
      <c r="I207" s="100" t="s">
        <v>298</v>
      </c>
      <c r="N207" s="96"/>
      <c r="O207" s="97" t="s">
        <v>291</v>
      </c>
      <c r="P207" s="93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95" t="s">
        <v>2</v>
      </c>
      <c r="B208" s="95" t="s">
        <v>25</v>
      </c>
      <c r="C208" s="95" t="s">
        <v>299</v>
      </c>
      <c r="H208" s="96" t="s">
        <v>87</v>
      </c>
      <c r="I208" s="100" t="s">
        <v>300</v>
      </c>
      <c r="N208" s="96"/>
      <c r="O208" s="97"/>
      <c r="P208" s="93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95" t="s">
        <v>2</v>
      </c>
      <c r="B209" s="95" t="s">
        <v>25</v>
      </c>
      <c r="C209" s="95" t="s">
        <v>299</v>
      </c>
      <c r="H209" s="96" t="s">
        <v>88</v>
      </c>
      <c r="I209" s="100" t="s">
        <v>301</v>
      </c>
      <c r="N209" s="96"/>
      <c r="O209" s="97" t="s">
        <v>109</v>
      </c>
      <c r="P209" s="93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95" t="s">
        <v>2</v>
      </c>
      <c r="B210" s="95" t="s">
        <v>25</v>
      </c>
      <c r="C210" s="95" t="s">
        <v>299</v>
      </c>
      <c r="H210" s="96" t="s">
        <v>88</v>
      </c>
      <c r="I210" s="100" t="s">
        <v>302</v>
      </c>
      <c r="N210" s="96"/>
      <c r="O210" s="97" t="s">
        <v>109</v>
      </c>
      <c r="P210" s="93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95" t="s">
        <v>2</v>
      </c>
      <c r="B211" s="95" t="s">
        <v>25</v>
      </c>
      <c r="C211" s="95" t="s">
        <v>299</v>
      </c>
      <c r="H211" s="96" t="s">
        <v>88</v>
      </c>
      <c r="I211" s="100" t="s">
        <v>303</v>
      </c>
      <c r="N211" s="96"/>
      <c r="O211" s="97" t="s">
        <v>109</v>
      </c>
      <c r="P211" s="93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95" t="s">
        <v>2</v>
      </c>
      <c r="B212" s="95" t="s">
        <v>25</v>
      </c>
      <c r="C212" s="95" t="s">
        <v>299</v>
      </c>
      <c r="H212" s="96" t="s">
        <v>88</v>
      </c>
      <c r="I212" s="100" t="s">
        <v>304</v>
      </c>
      <c r="N212" s="96"/>
      <c r="O212" s="97" t="s">
        <v>109</v>
      </c>
      <c r="P212" s="93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95" t="s">
        <v>2</v>
      </c>
      <c r="B213" s="95" t="s">
        <v>25</v>
      </c>
      <c r="C213" s="95" t="s">
        <v>299</v>
      </c>
      <c r="H213" s="96" t="s">
        <v>88</v>
      </c>
      <c r="I213" s="100" t="s">
        <v>305</v>
      </c>
      <c r="N213" s="96"/>
      <c r="O213" s="97" t="s">
        <v>109</v>
      </c>
      <c r="P213" s="93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95" t="s">
        <v>2</v>
      </c>
      <c r="B214" s="95" t="s">
        <v>25</v>
      </c>
      <c r="C214" s="95" t="s">
        <v>299</v>
      </c>
      <c r="H214" s="96" t="s">
        <v>88</v>
      </c>
      <c r="I214" s="100" t="s">
        <v>306</v>
      </c>
      <c r="N214" s="96"/>
      <c r="O214" s="97" t="s">
        <v>109</v>
      </c>
      <c r="P214" s="93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95" t="s">
        <v>2</v>
      </c>
      <c r="B215" s="95" t="s">
        <v>25</v>
      </c>
      <c r="C215" s="95" t="s">
        <v>299</v>
      </c>
      <c r="H215" s="96" t="s">
        <v>88</v>
      </c>
      <c r="I215" s="100" t="s">
        <v>307</v>
      </c>
      <c r="N215" s="96"/>
      <c r="O215" s="97" t="s">
        <v>109</v>
      </c>
      <c r="P215" s="93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95" t="s">
        <v>2</v>
      </c>
      <c r="B216" s="95" t="s">
        <v>25</v>
      </c>
      <c r="C216" s="95" t="s">
        <v>299</v>
      </c>
      <c r="H216" s="96" t="s">
        <v>88</v>
      </c>
      <c r="I216" s="100" t="s">
        <v>308</v>
      </c>
      <c r="N216" s="96"/>
      <c r="O216" s="97" t="s">
        <v>109</v>
      </c>
      <c r="P216" s="93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95" t="s">
        <v>2</v>
      </c>
      <c r="B217" s="95" t="s">
        <v>25</v>
      </c>
      <c r="C217" s="95" t="s">
        <v>299</v>
      </c>
      <c r="H217" s="96" t="s">
        <v>88</v>
      </c>
      <c r="I217" s="100" t="s">
        <v>309</v>
      </c>
      <c r="N217" s="96"/>
      <c r="O217" s="97" t="s">
        <v>109</v>
      </c>
      <c r="P217" s="93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95" t="s">
        <v>2</v>
      </c>
      <c r="B218" s="95" t="s">
        <v>25</v>
      </c>
      <c r="C218" s="95" t="s">
        <v>299</v>
      </c>
      <c r="H218" s="96" t="s">
        <v>88</v>
      </c>
      <c r="I218" s="100" t="s">
        <v>310</v>
      </c>
      <c r="N218" s="96"/>
      <c r="O218" s="97" t="s">
        <v>109</v>
      </c>
      <c r="P218" s="93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95" t="s">
        <v>2</v>
      </c>
      <c r="B219" s="95" t="s">
        <v>25</v>
      </c>
      <c r="C219" s="95" t="s">
        <v>299</v>
      </c>
      <c r="H219" s="96" t="s">
        <v>88</v>
      </c>
      <c r="I219" s="100" t="s">
        <v>311</v>
      </c>
      <c r="N219" s="96"/>
      <c r="O219" s="97" t="s">
        <v>109</v>
      </c>
      <c r="P219" s="93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95" t="s">
        <v>2</v>
      </c>
      <c r="B220" s="95" t="s">
        <v>25</v>
      </c>
      <c r="C220" s="95" t="s">
        <v>299</v>
      </c>
      <c r="H220" s="96" t="s">
        <v>88</v>
      </c>
      <c r="I220" s="100" t="s">
        <v>312</v>
      </c>
      <c r="N220" s="96"/>
      <c r="O220" s="97" t="s">
        <v>109</v>
      </c>
      <c r="P220" s="93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95" t="s">
        <v>2</v>
      </c>
      <c r="B221" s="95" t="s">
        <v>25</v>
      </c>
      <c r="C221" s="95" t="s">
        <v>299</v>
      </c>
      <c r="H221" s="96" t="s">
        <v>88</v>
      </c>
      <c r="I221" s="100" t="s">
        <v>313</v>
      </c>
      <c r="N221" s="96"/>
      <c r="O221" s="97" t="s">
        <v>109</v>
      </c>
      <c r="P221" s="93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95" t="s">
        <v>2</v>
      </c>
      <c r="B222" s="95" t="s">
        <v>25</v>
      </c>
      <c r="C222" s="95" t="s">
        <v>299</v>
      </c>
      <c r="H222" s="96" t="s">
        <v>88</v>
      </c>
      <c r="I222" s="100" t="s">
        <v>314</v>
      </c>
      <c r="N222" s="96"/>
      <c r="O222" s="97" t="s">
        <v>109</v>
      </c>
      <c r="P222" s="93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95" t="s">
        <v>2</v>
      </c>
      <c r="B223" s="95" t="s">
        <v>25</v>
      </c>
      <c r="C223" s="95" t="s">
        <v>299</v>
      </c>
      <c r="H223" s="96" t="s">
        <v>88</v>
      </c>
      <c r="I223" s="100" t="s">
        <v>315</v>
      </c>
      <c r="N223" s="96"/>
      <c r="O223" s="97" t="s">
        <v>109</v>
      </c>
      <c r="P223" s="93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95" t="s">
        <v>2</v>
      </c>
      <c r="B224" s="95" t="s">
        <v>25</v>
      </c>
      <c r="C224" s="95" t="s">
        <v>299</v>
      </c>
      <c r="H224" s="96" t="s">
        <v>88</v>
      </c>
      <c r="I224" s="100" t="s">
        <v>316</v>
      </c>
      <c r="N224" s="96"/>
      <c r="O224" s="97" t="s">
        <v>109</v>
      </c>
      <c r="P224" s="93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95" t="s">
        <v>2</v>
      </c>
      <c r="B225" s="95" t="s">
        <v>25</v>
      </c>
      <c r="C225" s="95" t="s">
        <v>299</v>
      </c>
      <c r="H225" s="96" t="s">
        <v>88</v>
      </c>
      <c r="I225" s="100" t="s">
        <v>317</v>
      </c>
      <c r="N225" s="96"/>
      <c r="O225" s="97" t="s">
        <v>109</v>
      </c>
      <c r="P225" s="93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95" t="s">
        <v>2</v>
      </c>
      <c r="B226" s="95" t="s">
        <v>25</v>
      </c>
      <c r="C226" s="95" t="s">
        <v>299</v>
      </c>
      <c r="H226" s="96" t="s">
        <v>88</v>
      </c>
      <c r="I226" s="100" t="s">
        <v>318</v>
      </c>
      <c r="N226" s="96"/>
      <c r="O226" s="97" t="s">
        <v>109</v>
      </c>
      <c r="P226" s="93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95" t="s">
        <v>2</v>
      </c>
      <c r="B227" s="95" t="s">
        <v>25</v>
      </c>
      <c r="C227" s="95" t="s">
        <v>299</v>
      </c>
      <c r="H227" s="96" t="s">
        <v>88</v>
      </c>
      <c r="I227" s="100" t="s">
        <v>319</v>
      </c>
      <c r="N227" s="96"/>
      <c r="O227" s="97" t="s">
        <v>109</v>
      </c>
      <c r="P227" s="93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95" t="s">
        <v>2</v>
      </c>
      <c r="B228" s="95" t="s">
        <v>25</v>
      </c>
      <c r="C228" s="95" t="s">
        <v>299</v>
      </c>
      <c r="H228" s="96" t="s">
        <v>88</v>
      </c>
      <c r="I228" s="100" t="s">
        <v>320</v>
      </c>
      <c r="N228" s="96"/>
      <c r="O228" s="97" t="s">
        <v>109</v>
      </c>
      <c r="P228" s="93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95" t="s">
        <v>2</v>
      </c>
      <c r="B229" s="95" t="s">
        <v>25</v>
      </c>
      <c r="C229" s="95" t="s">
        <v>299</v>
      </c>
      <c r="H229" s="96" t="s">
        <v>88</v>
      </c>
      <c r="I229" s="100" t="s">
        <v>321</v>
      </c>
      <c r="N229" s="96"/>
      <c r="O229" s="97" t="s">
        <v>109</v>
      </c>
      <c r="P229" s="93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95" t="s">
        <v>2</v>
      </c>
      <c r="B230" s="95" t="s">
        <v>25</v>
      </c>
      <c r="C230" s="95" t="s">
        <v>299</v>
      </c>
      <c r="H230" s="96" t="s">
        <v>88</v>
      </c>
      <c r="I230" s="100" t="s">
        <v>322</v>
      </c>
      <c r="N230" s="96"/>
      <c r="O230" s="97" t="s">
        <v>109</v>
      </c>
      <c r="P230" s="93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95" t="s">
        <v>2</v>
      </c>
      <c r="B231" s="95" t="s">
        <v>25</v>
      </c>
      <c r="C231" s="95" t="s">
        <v>299</v>
      </c>
      <c r="H231" s="96" t="s">
        <v>88</v>
      </c>
      <c r="I231" s="100" t="s">
        <v>323</v>
      </c>
      <c r="N231" s="96"/>
      <c r="O231" s="97" t="s">
        <v>109</v>
      </c>
      <c r="P231" s="93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95" t="s">
        <v>2</v>
      </c>
      <c r="B232" s="95" t="s">
        <v>25</v>
      </c>
      <c r="C232" s="95" t="s">
        <v>299</v>
      </c>
      <c r="H232" s="96" t="s">
        <v>88</v>
      </c>
      <c r="I232" s="100" t="s">
        <v>324</v>
      </c>
      <c r="N232" s="96"/>
      <c r="O232" s="97" t="s">
        <v>109</v>
      </c>
      <c r="P232" s="93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95" t="s">
        <v>2</v>
      </c>
      <c r="B233" s="95" t="s">
        <v>25</v>
      </c>
      <c r="C233" s="95" t="s">
        <v>299</v>
      </c>
      <c r="H233" s="96" t="s">
        <v>88</v>
      </c>
      <c r="I233" s="100" t="s">
        <v>325</v>
      </c>
      <c r="N233" s="96"/>
      <c r="O233" s="97" t="s">
        <v>109</v>
      </c>
      <c r="P233" s="93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95" t="s">
        <v>2</v>
      </c>
      <c r="B234" s="95" t="s">
        <v>25</v>
      </c>
      <c r="C234" s="95" t="s">
        <v>299</v>
      </c>
      <c r="H234" s="96" t="s">
        <v>88</v>
      </c>
      <c r="I234" s="100" t="s">
        <v>326</v>
      </c>
      <c r="N234" s="96"/>
      <c r="O234" s="97" t="s">
        <v>109</v>
      </c>
      <c r="P234" s="93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95" t="s">
        <v>2</v>
      </c>
      <c r="B235" s="95" t="s">
        <v>25</v>
      </c>
      <c r="C235" s="95" t="s">
        <v>299</v>
      </c>
      <c r="H235" s="96" t="s">
        <v>88</v>
      </c>
      <c r="I235" s="100" t="s">
        <v>327</v>
      </c>
      <c r="N235" s="96"/>
      <c r="O235" s="97" t="s">
        <v>109</v>
      </c>
      <c r="P235" s="93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95" t="s">
        <v>2</v>
      </c>
      <c r="B236" s="95" t="s">
        <v>25</v>
      </c>
      <c r="C236" s="95" t="s">
        <v>299</v>
      </c>
      <c r="H236" s="96" t="s">
        <v>88</v>
      </c>
      <c r="I236" s="100" t="s">
        <v>328</v>
      </c>
      <c r="N236" s="96"/>
      <c r="O236" s="97" t="s">
        <v>109</v>
      </c>
      <c r="P236" s="93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95" t="s">
        <v>2</v>
      </c>
      <c r="B237" s="95" t="s">
        <v>25</v>
      </c>
      <c r="C237" s="95" t="s">
        <v>299</v>
      </c>
      <c r="H237" s="96" t="s">
        <v>88</v>
      </c>
      <c r="I237" s="100" t="s">
        <v>329</v>
      </c>
      <c r="N237" s="96"/>
      <c r="O237" s="97" t="s">
        <v>109</v>
      </c>
      <c r="P237" s="93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95" t="s">
        <v>2</v>
      </c>
      <c r="B238" s="95" t="s">
        <v>25</v>
      </c>
      <c r="C238" s="95" t="s">
        <v>299</v>
      </c>
      <c r="H238" s="96" t="s">
        <v>88</v>
      </c>
      <c r="I238" s="100" t="s">
        <v>330</v>
      </c>
      <c r="N238" s="96"/>
      <c r="O238" s="97" t="s">
        <v>109</v>
      </c>
      <c r="P238" s="93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95" t="s">
        <v>2</v>
      </c>
      <c r="B239" s="95" t="s">
        <v>25</v>
      </c>
      <c r="C239" s="95" t="s">
        <v>299</v>
      </c>
      <c r="H239" s="96" t="s">
        <v>88</v>
      </c>
      <c r="I239" s="100" t="s">
        <v>331</v>
      </c>
      <c r="N239" s="96"/>
      <c r="O239" s="97" t="s">
        <v>109</v>
      </c>
      <c r="P239" s="93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95" t="s">
        <v>2</v>
      </c>
      <c r="B240" s="95" t="s">
        <v>25</v>
      </c>
      <c r="C240" s="95" t="s">
        <v>299</v>
      </c>
      <c r="H240" s="96" t="s">
        <v>88</v>
      </c>
      <c r="I240" s="100" t="s">
        <v>332</v>
      </c>
      <c r="N240" s="96"/>
      <c r="O240" s="97" t="s">
        <v>109</v>
      </c>
      <c r="P240" s="93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95" t="s">
        <v>2</v>
      </c>
      <c r="B241" s="95" t="s">
        <v>25</v>
      </c>
      <c r="C241" s="95" t="s">
        <v>299</v>
      </c>
      <c r="H241" s="96" t="s">
        <v>88</v>
      </c>
      <c r="I241" s="100" t="s">
        <v>333</v>
      </c>
      <c r="N241" s="96"/>
      <c r="O241" s="97" t="s">
        <v>109</v>
      </c>
      <c r="P241" s="93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95" t="s">
        <v>2</v>
      </c>
      <c r="B242" s="95" t="s">
        <v>25</v>
      </c>
      <c r="C242" s="95" t="s">
        <v>299</v>
      </c>
      <c r="H242" s="96" t="s">
        <v>88</v>
      </c>
      <c r="I242" s="100" t="s">
        <v>334</v>
      </c>
      <c r="N242" s="96"/>
      <c r="O242" s="97" t="s">
        <v>109</v>
      </c>
      <c r="P242" s="93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95" t="s">
        <v>2</v>
      </c>
      <c r="B243" s="95" t="s">
        <v>25</v>
      </c>
      <c r="C243" s="95" t="s">
        <v>299</v>
      </c>
      <c r="H243" s="96" t="s">
        <v>90</v>
      </c>
      <c r="I243" s="100" t="s">
        <v>335</v>
      </c>
      <c r="N243" s="96"/>
      <c r="O243" s="97" t="s">
        <v>166</v>
      </c>
      <c r="P243" s="93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95" t="s">
        <v>2</v>
      </c>
      <c r="B244" s="95" t="s">
        <v>26</v>
      </c>
      <c r="C244" s="95" t="s">
        <v>336</v>
      </c>
      <c r="H244" s="96" t="s">
        <v>87</v>
      </c>
      <c r="I244" s="100" t="s">
        <v>337</v>
      </c>
      <c r="N244" s="96"/>
      <c r="O244" s="97"/>
      <c r="P244" s="93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95" t="s">
        <v>2</v>
      </c>
      <c r="B245" s="95" t="s">
        <v>26</v>
      </c>
      <c r="C245" s="95" t="s">
        <v>336</v>
      </c>
      <c r="H245" s="96" t="s">
        <v>88</v>
      </c>
      <c r="I245" s="100" t="s">
        <v>338</v>
      </c>
      <c r="N245" s="96"/>
      <c r="O245" s="97" t="s">
        <v>109</v>
      </c>
      <c r="P245" s="93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95" t="s">
        <v>2</v>
      </c>
      <c r="B246" s="95" t="s">
        <v>26</v>
      </c>
      <c r="C246" s="95" t="s">
        <v>336</v>
      </c>
      <c r="H246" s="96" t="s">
        <v>88</v>
      </c>
      <c r="I246" s="100" t="s">
        <v>339</v>
      </c>
      <c r="N246" s="96"/>
      <c r="O246" s="97" t="s">
        <v>109</v>
      </c>
      <c r="P246" s="93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95" t="s">
        <v>2</v>
      </c>
      <c r="B247" s="95" t="s">
        <v>26</v>
      </c>
      <c r="C247" s="95" t="s">
        <v>336</v>
      </c>
      <c r="H247" s="96" t="s">
        <v>88</v>
      </c>
      <c r="I247" s="100" t="s">
        <v>340</v>
      </c>
      <c r="N247" s="96"/>
      <c r="O247" s="97" t="s">
        <v>109</v>
      </c>
      <c r="P247" s="93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95" t="s">
        <v>2</v>
      </c>
      <c r="B248" s="95" t="s">
        <v>26</v>
      </c>
      <c r="C248" s="95" t="s">
        <v>336</v>
      </c>
      <c r="H248" s="96" t="s">
        <v>88</v>
      </c>
      <c r="I248" s="100" t="s">
        <v>341</v>
      </c>
      <c r="N248" s="96"/>
      <c r="O248" s="97" t="s">
        <v>109</v>
      </c>
      <c r="P248" s="93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95" t="s">
        <v>2</v>
      </c>
      <c r="B249" s="95" t="s">
        <v>26</v>
      </c>
      <c r="C249" s="95" t="s">
        <v>336</v>
      </c>
      <c r="H249" s="96" t="s">
        <v>88</v>
      </c>
      <c r="I249" s="100" t="s">
        <v>342</v>
      </c>
      <c r="N249" s="96"/>
      <c r="O249" s="97" t="s">
        <v>109</v>
      </c>
      <c r="P249" s="93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95" t="s">
        <v>2</v>
      </c>
      <c r="B250" s="95" t="s">
        <v>26</v>
      </c>
      <c r="C250" s="95" t="s">
        <v>336</v>
      </c>
      <c r="H250" s="96" t="s">
        <v>88</v>
      </c>
      <c r="I250" s="100" t="s">
        <v>343</v>
      </c>
      <c r="N250" s="96"/>
      <c r="O250" s="97" t="s">
        <v>109</v>
      </c>
      <c r="P250" s="93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95" t="s">
        <v>2</v>
      </c>
      <c r="B251" s="95" t="s">
        <v>26</v>
      </c>
      <c r="C251" s="95" t="s">
        <v>336</v>
      </c>
      <c r="H251" s="96" t="s">
        <v>88</v>
      </c>
      <c r="I251" s="100" t="s">
        <v>344</v>
      </c>
      <c r="N251" s="96"/>
      <c r="O251" s="97" t="s">
        <v>109</v>
      </c>
      <c r="P251" s="93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95" t="s">
        <v>2</v>
      </c>
      <c r="B252" s="95" t="s">
        <v>26</v>
      </c>
      <c r="C252" s="95" t="s">
        <v>336</v>
      </c>
      <c r="H252" s="96" t="s">
        <v>88</v>
      </c>
      <c r="I252" s="100" t="s">
        <v>345</v>
      </c>
      <c r="N252" s="96"/>
      <c r="O252" s="97" t="s">
        <v>109</v>
      </c>
      <c r="P252" s="93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95" t="s">
        <v>2</v>
      </c>
      <c r="B253" s="95" t="s">
        <v>26</v>
      </c>
      <c r="C253" s="95" t="s">
        <v>336</v>
      </c>
      <c r="H253" s="96" t="s">
        <v>88</v>
      </c>
      <c r="I253" s="100" t="s">
        <v>346</v>
      </c>
      <c r="N253" s="96"/>
      <c r="O253" s="97" t="s">
        <v>109</v>
      </c>
      <c r="P253" s="93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95" t="s">
        <v>2</v>
      </c>
      <c r="B254" s="95" t="s">
        <v>26</v>
      </c>
      <c r="C254" s="95" t="s">
        <v>336</v>
      </c>
      <c r="H254" s="96" t="s">
        <v>88</v>
      </c>
      <c r="I254" s="100" t="s">
        <v>297</v>
      </c>
      <c r="N254" s="96"/>
      <c r="O254" s="97" t="s">
        <v>109</v>
      </c>
      <c r="P254" s="93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95" t="s">
        <v>2</v>
      </c>
      <c r="B255" s="95" t="s">
        <v>26</v>
      </c>
      <c r="C255" s="95" t="s">
        <v>336</v>
      </c>
      <c r="H255" s="96" t="s">
        <v>88</v>
      </c>
      <c r="I255" s="100" t="s">
        <v>347</v>
      </c>
      <c r="N255" s="96"/>
      <c r="O255" s="97" t="s">
        <v>109</v>
      </c>
      <c r="P255" s="93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95" t="s">
        <v>2</v>
      </c>
      <c r="B256" s="95" t="s">
        <v>26</v>
      </c>
      <c r="C256" s="95" t="s">
        <v>336</v>
      </c>
      <c r="H256" s="96" t="s">
        <v>88</v>
      </c>
      <c r="I256" s="100" t="s">
        <v>283</v>
      </c>
      <c r="N256" s="96"/>
      <c r="O256" s="97" t="s">
        <v>109</v>
      </c>
      <c r="P256" s="93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95" t="s">
        <v>2</v>
      </c>
      <c r="B257" s="95" t="s">
        <v>26</v>
      </c>
      <c r="C257" s="95" t="s">
        <v>336</v>
      </c>
      <c r="H257" s="96" t="s">
        <v>88</v>
      </c>
      <c r="I257" s="100" t="s">
        <v>284</v>
      </c>
      <c r="N257" s="96"/>
      <c r="O257" s="97" t="s">
        <v>109</v>
      </c>
      <c r="P257" s="93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95" t="s">
        <v>2</v>
      </c>
      <c r="B258" s="95" t="s">
        <v>26</v>
      </c>
      <c r="C258" s="95" t="s">
        <v>336</v>
      </c>
      <c r="H258" s="96" t="s">
        <v>88</v>
      </c>
      <c r="I258" s="100" t="s">
        <v>348</v>
      </c>
      <c r="N258" s="96"/>
      <c r="O258" s="97" t="s">
        <v>109</v>
      </c>
      <c r="P258" s="93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95" t="s">
        <v>2</v>
      </c>
      <c r="B259" s="95" t="s">
        <v>26</v>
      </c>
      <c r="C259" s="95" t="s">
        <v>336</v>
      </c>
      <c r="H259" s="96" t="s">
        <v>88</v>
      </c>
      <c r="I259" s="100" t="s">
        <v>298</v>
      </c>
      <c r="N259" s="96"/>
      <c r="O259" s="97" t="s">
        <v>109</v>
      </c>
      <c r="P259" s="93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95" t="s">
        <v>2</v>
      </c>
      <c r="B260" s="95" t="s">
        <v>26</v>
      </c>
      <c r="C260" s="95" t="s">
        <v>336</v>
      </c>
      <c r="H260" s="96" t="s">
        <v>90</v>
      </c>
      <c r="I260" s="100" t="s">
        <v>349</v>
      </c>
      <c r="N260" s="96"/>
      <c r="O260" s="97" t="s">
        <v>166</v>
      </c>
      <c r="P260" s="93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95" t="s">
        <v>2</v>
      </c>
      <c r="B261" s="95" t="s">
        <v>27</v>
      </c>
      <c r="C261" s="95" t="s">
        <v>350</v>
      </c>
      <c r="H261" s="96" t="s">
        <v>87</v>
      </c>
      <c r="I261" s="100" t="s">
        <v>351</v>
      </c>
      <c r="N261" s="96"/>
      <c r="O261" s="97"/>
      <c r="P261" s="93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95" t="s">
        <v>2</v>
      </c>
      <c r="B262" s="95" t="s">
        <v>27</v>
      </c>
      <c r="C262" s="95" t="s">
        <v>350</v>
      </c>
      <c r="H262" s="96" t="s">
        <v>88</v>
      </c>
      <c r="I262" s="100" t="s">
        <v>352</v>
      </c>
      <c r="N262" s="96"/>
      <c r="O262" s="97" t="s">
        <v>109</v>
      </c>
      <c r="P262" s="93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95" t="s">
        <v>2</v>
      </c>
      <c r="B263" s="95" t="s">
        <v>27</v>
      </c>
      <c r="C263" s="95" t="s">
        <v>350</v>
      </c>
      <c r="H263" s="96" t="s">
        <v>88</v>
      </c>
      <c r="I263" s="100" t="s">
        <v>353</v>
      </c>
      <c r="N263" s="96"/>
      <c r="O263" s="97" t="s">
        <v>109</v>
      </c>
      <c r="P263" s="93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95" t="s">
        <v>2</v>
      </c>
      <c r="B264" s="95" t="s">
        <v>27</v>
      </c>
      <c r="C264" s="95" t="s">
        <v>350</v>
      </c>
      <c r="H264" s="96" t="s">
        <v>88</v>
      </c>
      <c r="I264" s="100" t="s">
        <v>354</v>
      </c>
      <c r="N264" s="96"/>
      <c r="O264" s="97" t="s">
        <v>109</v>
      </c>
      <c r="P264" s="93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95" t="s">
        <v>2</v>
      </c>
      <c r="B265" s="95" t="s">
        <v>27</v>
      </c>
      <c r="C265" s="95" t="s">
        <v>350</v>
      </c>
      <c r="H265" s="96" t="s">
        <v>88</v>
      </c>
      <c r="I265" s="100" t="s">
        <v>355</v>
      </c>
      <c r="N265" s="96"/>
      <c r="O265" s="97" t="s">
        <v>109</v>
      </c>
      <c r="P265" s="93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95" t="s">
        <v>2</v>
      </c>
      <c r="B266" s="95" t="s">
        <v>27</v>
      </c>
      <c r="C266" s="95" t="s">
        <v>350</v>
      </c>
      <c r="H266" s="96" t="s">
        <v>88</v>
      </c>
      <c r="I266" s="100" t="s">
        <v>356</v>
      </c>
      <c r="N266" s="96"/>
      <c r="O266" s="97" t="s">
        <v>109</v>
      </c>
      <c r="P266" s="93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95" t="s">
        <v>2</v>
      </c>
      <c r="B267" s="95" t="s">
        <v>27</v>
      </c>
      <c r="C267" s="95" t="s">
        <v>350</v>
      </c>
      <c r="H267" s="96" t="s">
        <v>88</v>
      </c>
      <c r="I267" s="100" t="s">
        <v>357</v>
      </c>
      <c r="N267" s="96"/>
      <c r="O267" s="97" t="s">
        <v>109</v>
      </c>
      <c r="P267" s="93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95" t="s">
        <v>2</v>
      </c>
      <c r="B268" s="95" t="s">
        <v>27</v>
      </c>
      <c r="C268" s="95" t="s">
        <v>350</v>
      </c>
      <c r="H268" s="96" t="s">
        <v>88</v>
      </c>
      <c r="I268" s="100" t="s">
        <v>358</v>
      </c>
      <c r="N268" s="96"/>
      <c r="O268" s="97" t="s">
        <v>109</v>
      </c>
      <c r="P268" s="93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95" t="s">
        <v>2</v>
      </c>
      <c r="B269" s="95" t="s">
        <v>27</v>
      </c>
      <c r="C269" s="95" t="s">
        <v>350</v>
      </c>
      <c r="H269" s="96" t="s">
        <v>88</v>
      </c>
      <c r="I269" s="100" t="s">
        <v>359</v>
      </c>
      <c r="N269" s="96"/>
      <c r="O269" s="97" t="s">
        <v>109</v>
      </c>
      <c r="P269" s="93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95" t="s">
        <v>2</v>
      </c>
      <c r="B270" s="95" t="s">
        <v>27</v>
      </c>
      <c r="C270" s="95" t="s">
        <v>350</v>
      </c>
      <c r="H270" s="96" t="s">
        <v>88</v>
      </c>
      <c r="I270" s="100" t="s">
        <v>325</v>
      </c>
      <c r="N270" s="96"/>
      <c r="O270" s="97" t="s">
        <v>109</v>
      </c>
      <c r="P270" s="93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95" t="s">
        <v>2</v>
      </c>
      <c r="B271" s="95" t="s">
        <v>27</v>
      </c>
      <c r="C271" s="95" t="s">
        <v>350</v>
      </c>
      <c r="H271" s="96" t="s">
        <v>90</v>
      </c>
      <c r="I271" s="100" t="s">
        <v>360</v>
      </c>
      <c r="N271" s="96"/>
      <c r="O271" s="97" t="s">
        <v>166</v>
      </c>
      <c r="P271" s="93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95" t="s">
        <v>3</v>
      </c>
      <c r="B272" s="95" t="s">
        <v>28</v>
      </c>
      <c r="C272" s="95" t="s">
        <v>361</v>
      </c>
      <c r="H272" s="96" t="s">
        <v>87</v>
      </c>
      <c r="I272" s="100" t="s">
        <v>362</v>
      </c>
      <c r="N272" s="101"/>
      <c r="O272" s="97"/>
      <c r="P272" s="93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95" t="s">
        <v>3</v>
      </c>
      <c r="B273" s="95" t="s">
        <v>28</v>
      </c>
      <c r="C273" s="95" t="s">
        <v>361</v>
      </c>
      <c r="H273" s="96" t="s">
        <v>87</v>
      </c>
      <c r="I273" s="100" t="s">
        <v>363</v>
      </c>
      <c r="N273" s="101"/>
      <c r="O273" s="97"/>
      <c r="P273" s="93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95" t="s">
        <v>3</v>
      </c>
      <c r="B274" s="95" t="s">
        <v>28</v>
      </c>
      <c r="C274" s="95" t="s">
        <v>361</v>
      </c>
      <c r="H274" s="96" t="s">
        <v>87</v>
      </c>
      <c r="I274" s="100" t="s">
        <v>364</v>
      </c>
      <c r="N274" s="101"/>
      <c r="O274" s="97"/>
      <c r="P274" s="93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95" t="s">
        <v>3</v>
      </c>
      <c r="B275" s="95" t="s">
        <v>28</v>
      </c>
      <c r="C275" s="95" t="s">
        <v>361</v>
      </c>
      <c r="H275" s="96" t="s">
        <v>87</v>
      </c>
      <c r="I275" s="100" t="s">
        <v>365</v>
      </c>
      <c r="N275" s="101"/>
      <c r="O275" s="97"/>
      <c r="P275" s="93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95" t="s">
        <v>3</v>
      </c>
      <c r="B276" s="95" t="s">
        <v>28</v>
      </c>
      <c r="C276" s="95" t="s">
        <v>361</v>
      </c>
      <c r="H276" s="96" t="s">
        <v>88</v>
      </c>
      <c r="I276" s="100" t="s">
        <v>366</v>
      </c>
      <c r="N276" s="101"/>
      <c r="O276" s="97" t="s">
        <v>171</v>
      </c>
      <c r="P276" s="93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95" t="s">
        <v>3</v>
      </c>
      <c r="B277" s="95" t="s">
        <v>28</v>
      </c>
      <c r="C277" s="95" t="s">
        <v>361</v>
      </c>
      <c r="H277" s="96" t="s">
        <v>88</v>
      </c>
      <c r="I277" s="100" t="s">
        <v>367</v>
      </c>
      <c r="N277" s="101"/>
      <c r="O277" s="97" t="s">
        <v>171</v>
      </c>
      <c r="P277" s="93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95" t="s">
        <v>3</v>
      </c>
      <c r="B278" s="95" t="s">
        <v>28</v>
      </c>
      <c r="C278" s="95" t="s">
        <v>361</v>
      </c>
      <c r="H278" s="96" t="s">
        <v>88</v>
      </c>
      <c r="I278" s="100" t="s">
        <v>368</v>
      </c>
      <c r="N278" s="101"/>
      <c r="O278" s="97" t="s">
        <v>171</v>
      </c>
      <c r="P278" s="93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95" t="s">
        <v>3</v>
      </c>
      <c r="B279" s="95" t="s">
        <v>28</v>
      </c>
      <c r="C279" s="95" t="s">
        <v>361</v>
      </c>
      <c r="H279" s="96" t="s">
        <v>88</v>
      </c>
      <c r="I279" s="100" t="s">
        <v>369</v>
      </c>
      <c r="N279" s="101"/>
      <c r="O279" s="97" t="s">
        <v>171</v>
      </c>
      <c r="P279" s="93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95" t="s">
        <v>3</v>
      </c>
      <c r="B280" s="95" t="s">
        <v>28</v>
      </c>
      <c r="C280" s="95" t="s">
        <v>361</v>
      </c>
      <c r="H280" s="96" t="s">
        <v>88</v>
      </c>
      <c r="I280" s="100" t="s">
        <v>370</v>
      </c>
      <c r="N280" s="101"/>
      <c r="O280" s="97" t="s">
        <v>171</v>
      </c>
      <c r="P280" s="93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95" t="s">
        <v>3</v>
      </c>
      <c r="B281" s="95" t="s">
        <v>28</v>
      </c>
      <c r="C281" s="95" t="s">
        <v>361</v>
      </c>
      <c r="H281" s="96" t="s">
        <v>88</v>
      </c>
      <c r="I281" s="100" t="s">
        <v>371</v>
      </c>
      <c r="N281" s="101"/>
      <c r="O281" s="97" t="s">
        <v>171</v>
      </c>
      <c r="P281" s="93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95" t="s">
        <v>3</v>
      </c>
      <c r="B282" s="95" t="s">
        <v>28</v>
      </c>
      <c r="C282" s="95" t="s">
        <v>361</v>
      </c>
      <c r="H282" s="96" t="s">
        <v>88</v>
      </c>
      <c r="I282" s="100" t="s">
        <v>372</v>
      </c>
      <c r="N282" s="101"/>
      <c r="O282" s="97" t="s">
        <v>171</v>
      </c>
      <c r="P282" s="93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95" t="s">
        <v>3</v>
      </c>
      <c r="B283" s="95" t="s">
        <v>28</v>
      </c>
      <c r="C283" s="95" t="s">
        <v>361</v>
      </c>
      <c r="H283" s="96" t="s">
        <v>88</v>
      </c>
      <c r="I283" s="100" t="s">
        <v>373</v>
      </c>
      <c r="N283" s="101"/>
      <c r="O283" s="97" t="s">
        <v>171</v>
      </c>
      <c r="P283" s="93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95" t="s">
        <v>3</v>
      </c>
      <c r="B284" s="95" t="s">
        <v>28</v>
      </c>
      <c r="C284" s="95" t="s">
        <v>361</v>
      </c>
      <c r="H284" s="96" t="s">
        <v>88</v>
      </c>
      <c r="I284" s="100" t="s">
        <v>374</v>
      </c>
      <c r="N284" s="101"/>
      <c r="O284" s="97" t="s">
        <v>171</v>
      </c>
      <c r="P284" s="93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95" t="s">
        <v>3</v>
      </c>
      <c r="B285" s="95" t="s">
        <v>28</v>
      </c>
      <c r="C285" s="95" t="s">
        <v>361</v>
      </c>
      <c r="H285" s="96" t="s">
        <v>88</v>
      </c>
      <c r="I285" s="100" t="s">
        <v>375</v>
      </c>
      <c r="N285" s="101"/>
      <c r="O285" s="97" t="s">
        <v>171</v>
      </c>
      <c r="P285" s="93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95" t="s">
        <v>3</v>
      </c>
      <c r="B286" s="95" t="s">
        <v>28</v>
      </c>
      <c r="C286" s="95" t="s">
        <v>361</v>
      </c>
      <c r="H286" s="96" t="s">
        <v>88</v>
      </c>
      <c r="I286" s="100" t="s">
        <v>376</v>
      </c>
      <c r="N286" s="101"/>
      <c r="O286" s="97" t="s">
        <v>171</v>
      </c>
      <c r="P286" s="93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95" t="s">
        <v>3</v>
      </c>
      <c r="B287" s="95" t="s">
        <v>28</v>
      </c>
      <c r="C287" s="95" t="s">
        <v>361</v>
      </c>
      <c r="H287" s="96" t="s">
        <v>88</v>
      </c>
      <c r="I287" s="100" t="s">
        <v>377</v>
      </c>
      <c r="N287" s="101"/>
      <c r="O287" s="97" t="s">
        <v>171</v>
      </c>
      <c r="P287" s="93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95" t="s">
        <v>3</v>
      </c>
      <c r="B288" s="95" t="s">
        <v>28</v>
      </c>
      <c r="C288" s="95" t="s">
        <v>361</v>
      </c>
      <c r="H288" s="96" t="s">
        <v>88</v>
      </c>
      <c r="I288" s="100" t="s">
        <v>378</v>
      </c>
      <c r="N288" s="101"/>
      <c r="O288" s="97" t="s">
        <v>171</v>
      </c>
      <c r="P288" s="93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95" t="s">
        <v>3</v>
      </c>
      <c r="B289" s="95" t="s">
        <v>28</v>
      </c>
      <c r="C289" s="95" t="s">
        <v>361</v>
      </c>
      <c r="H289" s="96" t="s">
        <v>90</v>
      </c>
      <c r="I289" s="100" t="s">
        <v>379</v>
      </c>
      <c r="N289" s="96"/>
      <c r="O289" s="97" t="s">
        <v>166</v>
      </c>
      <c r="P289" s="93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95" t="s">
        <v>3</v>
      </c>
      <c r="B290" s="95" t="s">
        <v>29</v>
      </c>
      <c r="C290" s="95" t="s">
        <v>380</v>
      </c>
      <c r="H290" s="96" t="s">
        <v>88</v>
      </c>
      <c r="I290" s="100" t="s">
        <v>381</v>
      </c>
      <c r="N290" s="101"/>
      <c r="O290" s="97" t="s">
        <v>171</v>
      </c>
      <c r="P290" s="93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95" t="s">
        <v>3</v>
      </c>
      <c r="B291" s="95" t="s">
        <v>29</v>
      </c>
      <c r="C291" s="95" t="s">
        <v>380</v>
      </c>
      <c r="H291" s="96" t="s">
        <v>88</v>
      </c>
      <c r="I291" s="100" t="s">
        <v>382</v>
      </c>
      <c r="N291" s="101"/>
      <c r="O291" s="97" t="s">
        <v>171</v>
      </c>
      <c r="P291" s="93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95" t="s">
        <v>3</v>
      </c>
      <c r="B292" s="95" t="s">
        <v>29</v>
      </c>
      <c r="C292" s="95" t="s">
        <v>380</v>
      </c>
      <c r="H292" s="96" t="s">
        <v>88</v>
      </c>
      <c r="I292" s="100" t="s">
        <v>383</v>
      </c>
      <c r="N292" s="101"/>
      <c r="O292" s="97" t="s">
        <v>171</v>
      </c>
      <c r="P292" s="93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95" t="s">
        <v>3</v>
      </c>
      <c r="B293" s="95" t="s">
        <v>29</v>
      </c>
      <c r="C293" s="95" t="s">
        <v>380</v>
      </c>
      <c r="H293" s="96" t="s">
        <v>88</v>
      </c>
      <c r="I293" s="100" t="s">
        <v>384</v>
      </c>
      <c r="N293" s="101"/>
      <c r="O293" s="97" t="s">
        <v>171</v>
      </c>
      <c r="P293" s="93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95" t="s">
        <v>3</v>
      </c>
      <c r="B294" s="95" t="s">
        <v>29</v>
      </c>
      <c r="C294" s="95" t="s">
        <v>380</v>
      </c>
      <c r="H294" s="96" t="s">
        <v>88</v>
      </c>
      <c r="I294" s="100" t="s">
        <v>385</v>
      </c>
      <c r="N294" s="101"/>
      <c r="O294" s="97" t="s">
        <v>171</v>
      </c>
      <c r="P294" s="93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95" t="s">
        <v>3</v>
      </c>
      <c r="B295" s="95" t="s">
        <v>29</v>
      </c>
      <c r="C295" s="95" t="s">
        <v>380</v>
      </c>
      <c r="H295" s="96" t="s">
        <v>88</v>
      </c>
      <c r="I295" s="100" t="s">
        <v>386</v>
      </c>
      <c r="N295" s="101"/>
      <c r="O295" s="97" t="s">
        <v>171</v>
      </c>
      <c r="P295" s="93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95" t="s">
        <v>3</v>
      </c>
      <c r="B296" s="95" t="s">
        <v>29</v>
      </c>
      <c r="C296" s="95" t="s">
        <v>380</v>
      </c>
      <c r="H296" s="96" t="s">
        <v>90</v>
      </c>
      <c r="I296" s="100" t="s">
        <v>387</v>
      </c>
      <c r="N296" s="101"/>
      <c r="O296" s="97" t="s">
        <v>166</v>
      </c>
      <c r="P296" s="93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95" t="s">
        <v>3</v>
      </c>
      <c r="B297" s="95" t="s">
        <v>30</v>
      </c>
      <c r="C297" s="95" t="s">
        <v>388</v>
      </c>
      <c r="H297" s="96" t="s">
        <v>87</v>
      </c>
      <c r="I297" s="100" t="s">
        <v>389</v>
      </c>
      <c r="N297" s="101"/>
      <c r="O297" s="97"/>
      <c r="P297" s="93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95" t="s">
        <v>3</v>
      </c>
      <c r="B298" s="95" t="s">
        <v>30</v>
      </c>
      <c r="C298" s="95" t="s">
        <v>388</v>
      </c>
      <c r="H298" s="96" t="s">
        <v>87</v>
      </c>
      <c r="I298" s="100" t="s">
        <v>390</v>
      </c>
      <c r="N298" s="101"/>
      <c r="O298" s="97"/>
      <c r="P298" s="93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95" t="s">
        <v>3</v>
      </c>
      <c r="B299" s="95" t="s">
        <v>30</v>
      </c>
      <c r="C299" s="95" t="s">
        <v>388</v>
      </c>
      <c r="H299" s="96" t="s">
        <v>87</v>
      </c>
      <c r="I299" s="100" t="s">
        <v>391</v>
      </c>
      <c r="N299" s="101"/>
      <c r="O299" s="97"/>
      <c r="P299" s="93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95" t="s">
        <v>3</v>
      </c>
      <c r="B300" s="95" t="s">
        <v>30</v>
      </c>
      <c r="C300" s="95" t="s">
        <v>388</v>
      </c>
      <c r="H300" s="96" t="s">
        <v>87</v>
      </c>
      <c r="I300" s="100" t="s">
        <v>392</v>
      </c>
      <c r="N300" s="102" t="s">
        <v>107</v>
      </c>
      <c r="O300" s="97"/>
      <c r="P300" s="93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95" t="s">
        <v>3</v>
      </c>
      <c r="B301" s="95" t="s">
        <v>30</v>
      </c>
      <c r="C301" s="95" t="s">
        <v>388</v>
      </c>
      <c r="H301" s="96" t="s">
        <v>88</v>
      </c>
      <c r="I301" s="100" t="s">
        <v>393</v>
      </c>
      <c r="N301" s="101"/>
      <c r="O301" s="97" t="s">
        <v>109</v>
      </c>
      <c r="P301" s="93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95" t="s">
        <v>3</v>
      </c>
      <c r="B302" s="95" t="s">
        <v>30</v>
      </c>
      <c r="C302" s="95" t="s">
        <v>388</v>
      </c>
      <c r="H302" s="96" t="s">
        <v>88</v>
      </c>
      <c r="I302" s="100" t="s">
        <v>394</v>
      </c>
      <c r="N302" s="101"/>
      <c r="O302" s="97" t="s">
        <v>109</v>
      </c>
      <c r="P302" s="93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95" t="s">
        <v>3</v>
      </c>
      <c r="B303" s="95" t="s">
        <v>30</v>
      </c>
      <c r="C303" s="95" t="s">
        <v>388</v>
      </c>
      <c r="H303" s="96" t="s">
        <v>88</v>
      </c>
      <c r="I303" s="100" t="s">
        <v>395</v>
      </c>
      <c r="N303" s="101"/>
      <c r="O303" s="97" t="s">
        <v>109</v>
      </c>
      <c r="P303" s="93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95" t="s">
        <v>3</v>
      </c>
      <c r="B304" s="95" t="s">
        <v>30</v>
      </c>
      <c r="C304" s="95" t="s">
        <v>388</v>
      </c>
      <c r="H304" s="96" t="s">
        <v>88</v>
      </c>
      <c r="I304" s="100" t="s">
        <v>396</v>
      </c>
      <c r="N304" s="101"/>
      <c r="O304" s="97" t="s">
        <v>109</v>
      </c>
      <c r="P304" s="93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95" t="s">
        <v>3</v>
      </c>
      <c r="B305" s="95" t="s">
        <v>30</v>
      </c>
      <c r="C305" s="95" t="s">
        <v>388</v>
      </c>
      <c r="H305" s="96" t="s">
        <v>88</v>
      </c>
      <c r="I305" s="100" t="s">
        <v>397</v>
      </c>
      <c r="N305" s="101"/>
      <c r="O305" s="97" t="s">
        <v>109</v>
      </c>
      <c r="P305" s="93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95" t="s">
        <v>3</v>
      </c>
      <c r="B306" s="95" t="s">
        <v>30</v>
      </c>
      <c r="C306" s="95" t="s">
        <v>388</v>
      </c>
      <c r="H306" s="96" t="s">
        <v>88</v>
      </c>
      <c r="I306" s="100" t="s">
        <v>398</v>
      </c>
      <c r="N306" s="101"/>
      <c r="O306" s="97" t="s">
        <v>109</v>
      </c>
      <c r="P306" s="93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95" t="s">
        <v>3</v>
      </c>
      <c r="B307" s="95" t="s">
        <v>30</v>
      </c>
      <c r="C307" s="95" t="s">
        <v>388</v>
      </c>
      <c r="H307" s="96" t="s">
        <v>88</v>
      </c>
      <c r="I307" s="100" t="s">
        <v>399</v>
      </c>
      <c r="N307" s="101"/>
      <c r="O307" s="97" t="s">
        <v>109</v>
      </c>
      <c r="P307" s="93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95" t="s">
        <v>3</v>
      </c>
      <c r="B308" s="95" t="s">
        <v>30</v>
      </c>
      <c r="C308" s="95" t="s">
        <v>388</v>
      </c>
      <c r="H308" s="96" t="s">
        <v>88</v>
      </c>
      <c r="I308" s="100" t="s">
        <v>400</v>
      </c>
      <c r="N308" s="101"/>
      <c r="O308" s="97" t="s">
        <v>109</v>
      </c>
      <c r="P308" s="93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95" t="s">
        <v>3</v>
      </c>
      <c r="B309" s="95" t="s">
        <v>30</v>
      </c>
      <c r="C309" s="95" t="s">
        <v>388</v>
      </c>
      <c r="H309" s="96" t="s">
        <v>88</v>
      </c>
      <c r="I309" s="1" t="s">
        <v>401</v>
      </c>
      <c r="N309" s="101"/>
      <c r="O309" s="97" t="s">
        <v>109</v>
      </c>
      <c r="P309" s="93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95" t="s">
        <v>3</v>
      </c>
      <c r="B310" s="95" t="s">
        <v>30</v>
      </c>
      <c r="C310" s="95" t="s">
        <v>388</v>
      </c>
      <c r="H310" s="96" t="s">
        <v>88</v>
      </c>
      <c r="I310" s="1" t="s">
        <v>402</v>
      </c>
      <c r="N310" s="101"/>
      <c r="O310" s="97" t="s">
        <v>109</v>
      </c>
      <c r="P310" s="93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95" t="s">
        <v>3</v>
      </c>
      <c r="B311" s="95" t="s">
        <v>30</v>
      </c>
      <c r="C311" s="95" t="s">
        <v>388</v>
      </c>
      <c r="H311" s="96" t="s">
        <v>88</v>
      </c>
      <c r="I311" s="1" t="s">
        <v>403</v>
      </c>
      <c r="N311" s="101"/>
      <c r="O311" s="97" t="s">
        <v>109</v>
      </c>
      <c r="P311" s="93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95" t="s">
        <v>3</v>
      </c>
      <c r="B312" s="95" t="s">
        <v>30</v>
      </c>
      <c r="C312" s="95" t="s">
        <v>388</v>
      </c>
      <c r="H312" s="96" t="s">
        <v>88</v>
      </c>
      <c r="I312" s="1" t="s">
        <v>404</v>
      </c>
      <c r="N312" s="101"/>
      <c r="O312" s="97" t="s">
        <v>109</v>
      </c>
      <c r="P312" s="93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95" t="s">
        <v>3</v>
      </c>
      <c r="B313" s="95" t="s">
        <v>30</v>
      </c>
      <c r="C313" s="95" t="s">
        <v>388</v>
      </c>
      <c r="H313" s="96" t="s">
        <v>88</v>
      </c>
      <c r="I313" s="1" t="s">
        <v>405</v>
      </c>
      <c r="N313" s="101"/>
      <c r="O313" s="97" t="s">
        <v>109</v>
      </c>
      <c r="P313" s="93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95" t="s">
        <v>3</v>
      </c>
      <c r="B314" s="95" t="s">
        <v>30</v>
      </c>
      <c r="C314" s="95" t="s">
        <v>388</v>
      </c>
      <c r="H314" s="96" t="s">
        <v>88</v>
      </c>
      <c r="I314" s="1" t="s">
        <v>406</v>
      </c>
      <c r="N314" s="101"/>
      <c r="O314" s="97" t="s">
        <v>109</v>
      </c>
      <c r="P314" s="93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95" t="s">
        <v>3</v>
      </c>
      <c r="B315" s="95" t="s">
        <v>30</v>
      </c>
      <c r="C315" s="95" t="s">
        <v>388</v>
      </c>
      <c r="H315" s="96" t="s">
        <v>88</v>
      </c>
      <c r="I315" s="1" t="s">
        <v>407</v>
      </c>
      <c r="N315" s="101"/>
      <c r="O315" s="97" t="s">
        <v>109</v>
      </c>
      <c r="P315" s="93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95" t="s">
        <v>3</v>
      </c>
      <c r="B316" s="95" t="s">
        <v>30</v>
      </c>
      <c r="C316" s="95" t="s">
        <v>388</v>
      </c>
      <c r="H316" s="96" t="s">
        <v>88</v>
      </c>
      <c r="I316" s="1" t="s">
        <v>408</v>
      </c>
      <c r="N316" s="101"/>
      <c r="O316" s="97" t="s">
        <v>109</v>
      </c>
      <c r="P316" s="93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95" t="s">
        <v>3</v>
      </c>
      <c r="B317" s="95" t="s">
        <v>30</v>
      </c>
      <c r="C317" s="95" t="s">
        <v>388</v>
      </c>
      <c r="H317" s="96" t="s">
        <v>88</v>
      </c>
      <c r="I317" s="1" t="s">
        <v>409</v>
      </c>
      <c r="N317" s="101"/>
      <c r="O317" s="97" t="s">
        <v>109</v>
      </c>
      <c r="P317" s="93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95" t="s">
        <v>3</v>
      </c>
      <c r="B318" s="95" t="s">
        <v>30</v>
      </c>
      <c r="C318" s="95" t="s">
        <v>388</v>
      </c>
      <c r="H318" s="96" t="s">
        <v>88</v>
      </c>
      <c r="I318" s="1" t="s">
        <v>410</v>
      </c>
      <c r="N318" s="101"/>
      <c r="O318" s="97" t="s">
        <v>109</v>
      </c>
      <c r="P318" s="93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95" t="s">
        <v>3</v>
      </c>
      <c r="B319" s="95" t="s">
        <v>30</v>
      </c>
      <c r="C319" s="95" t="s">
        <v>388</v>
      </c>
      <c r="H319" s="96" t="s">
        <v>88</v>
      </c>
      <c r="I319" s="1" t="s">
        <v>411</v>
      </c>
      <c r="N319" s="101"/>
      <c r="O319" s="97" t="s">
        <v>109</v>
      </c>
      <c r="P319" s="93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95" t="s">
        <v>3</v>
      </c>
      <c r="B320" s="95" t="s">
        <v>30</v>
      </c>
      <c r="C320" s="95" t="s">
        <v>388</v>
      </c>
      <c r="H320" s="96" t="s">
        <v>88</v>
      </c>
      <c r="I320" s="1" t="s">
        <v>412</v>
      </c>
      <c r="N320" s="101"/>
      <c r="O320" s="97" t="s">
        <v>109</v>
      </c>
      <c r="P320" s="93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95" t="s">
        <v>3</v>
      </c>
      <c r="B321" s="95" t="s">
        <v>30</v>
      </c>
      <c r="C321" s="95" t="s">
        <v>388</v>
      </c>
      <c r="H321" s="96" t="s">
        <v>88</v>
      </c>
      <c r="I321" s="1" t="s">
        <v>413</v>
      </c>
      <c r="N321" s="101"/>
      <c r="O321" s="97" t="s">
        <v>109</v>
      </c>
      <c r="P321" s="93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95" t="s">
        <v>3</v>
      </c>
      <c r="B322" s="95" t="s">
        <v>30</v>
      </c>
      <c r="C322" s="95" t="s">
        <v>388</v>
      </c>
      <c r="H322" s="96" t="s">
        <v>88</v>
      </c>
      <c r="I322" s="1" t="s">
        <v>414</v>
      </c>
      <c r="N322" s="101"/>
      <c r="O322" s="97" t="s">
        <v>109</v>
      </c>
      <c r="P322" s="93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95" t="s">
        <v>3</v>
      </c>
      <c r="B323" s="95" t="s">
        <v>30</v>
      </c>
      <c r="C323" s="95" t="s">
        <v>388</v>
      </c>
      <c r="H323" s="96" t="s">
        <v>88</v>
      </c>
      <c r="I323" s="1" t="s">
        <v>415</v>
      </c>
      <c r="N323" s="101"/>
      <c r="O323" s="97" t="s">
        <v>109</v>
      </c>
      <c r="P323" s="93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95" t="s">
        <v>3</v>
      </c>
      <c r="B324" s="95" t="s">
        <v>30</v>
      </c>
      <c r="C324" s="95" t="s">
        <v>388</v>
      </c>
      <c r="H324" s="96" t="s">
        <v>88</v>
      </c>
      <c r="I324" s="1" t="s">
        <v>416</v>
      </c>
      <c r="N324" s="101"/>
      <c r="O324" s="97" t="s">
        <v>109</v>
      </c>
      <c r="P324" s="93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95" t="s">
        <v>3</v>
      </c>
      <c r="B325" s="95" t="s">
        <v>30</v>
      </c>
      <c r="C325" s="95" t="s">
        <v>388</v>
      </c>
      <c r="H325" s="96" t="s">
        <v>88</v>
      </c>
      <c r="I325" s="1" t="s">
        <v>417</v>
      </c>
      <c r="N325" s="101"/>
      <c r="O325" s="97" t="s">
        <v>109</v>
      </c>
      <c r="P325" s="93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95" t="s">
        <v>3</v>
      </c>
      <c r="B326" s="95" t="s">
        <v>30</v>
      </c>
      <c r="C326" s="95" t="s">
        <v>388</v>
      </c>
      <c r="H326" s="96" t="s">
        <v>88</v>
      </c>
      <c r="I326" s="1" t="s">
        <v>418</v>
      </c>
      <c r="N326" s="101"/>
      <c r="O326" s="97" t="s">
        <v>109</v>
      </c>
      <c r="P326" s="93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95" t="s">
        <v>3</v>
      </c>
      <c r="B327" s="95" t="s">
        <v>30</v>
      </c>
      <c r="C327" s="95" t="s">
        <v>388</v>
      </c>
      <c r="H327" s="96" t="s">
        <v>88</v>
      </c>
      <c r="I327" s="1" t="s">
        <v>419</v>
      </c>
      <c r="N327" s="101"/>
      <c r="O327" s="97" t="s">
        <v>109</v>
      </c>
      <c r="P327" s="93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95" t="s">
        <v>3</v>
      </c>
      <c r="B328" s="95" t="s">
        <v>30</v>
      </c>
      <c r="C328" s="95" t="s">
        <v>388</v>
      </c>
      <c r="H328" s="96" t="s">
        <v>88</v>
      </c>
      <c r="I328" s="1" t="s">
        <v>420</v>
      </c>
      <c r="N328" s="101"/>
      <c r="O328" s="97" t="s">
        <v>109</v>
      </c>
      <c r="P328" s="93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95" t="s">
        <v>3</v>
      </c>
      <c r="B329" s="95" t="s">
        <v>30</v>
      </c>
      <c r="C329" s="95" t="s">
        <v>388</v>
      </c>
      <c r="H329" s="96" t="s">
        <v>88</v>
      </c>
      <c r="I329" s="1" t="s">
        <v>421</v>
      </c>
      <c r="N329" s="101"/>
      <c r="O329" s="97" t="s">
        <v>109</v>
      </c>
      <c r="P329" s="93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95" t="s">
        <v>3</v>
      </c>
      <c r="B330" s="95" t="s">
        <v>30</v>
      </c>
      <c r="C330" s="95" t="s">
        <v>388</v>
      </c>
      <c r="H330" s="96" t="s">
        <v>88</v>
      </c>
      <c r="I330" s="1" t="s">
        <v>422</v>
      </c>
      <c r="N330" s="101"/>
      <c r="O330" s="97" t="s">
        <v>109</v>
      </c>
      <c r="P330" s="93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95" t="s">
        <v>3</v>
      </c>
      <c r="B331" s="95" t="s">
        <v>30</v>
      </c>
      <c r="C331" s="95" t="s">
        <v>388</v>
      </c>
      <c r="H331" s="96" t="s">
        <v>88</v>
      </c>
      <c r="I331" s="1" t="s">
        <v>423</v>
      </c>
      <c r="N331" s="101"/>
      <c r="O331" s="97" t="s">
        <v>109</v>
      </c>
      <c r="P331" s="93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95" t="s">
        <v>3</v>
      </c>
      <c r="B332" s="95" t="s">
        <v>30</v>
      </c>
      <c r="C332" s="95" t="s">
        <v>388</v>
      </c>
      <c r="H332" s="96" t="s">
        <v>88</v>
      </c>
      <c r="I332" s="1" t="s">
        <v>424</v>
      </c>
      <c r="N332" s="101"/>
      <c r="O332" s="97" t="s">
        <v>109</v>
      </c>
      <c r="P332" s="93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95" t="s">
        <v>3</v>
      </c>
      <c r="B333" s="95" t="s">
        <v>30</v>
      </c>
      <c r="C333" s="95" t="s">
        <v>388</v>
      </c>
      <c r="H333" s="96" t="s">
        <v>88</v>
      </c>
      <c r="I333" s="1" t="s">
        <v>425</v>
      </c>
      <c r="N333" s="101"/>
      <c r="O333" s="97" t="s">
        <v>109</v>
      </c>
      <c r="P333" s="93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95" t="s">
        <v>3</v>
      </c>
      <c r="B334" s="95" t="s">
        <v>30</v>
      </c>
      <c r="C334" s="95" t="s">
        <v>388</v>
      </c>
      <c r="H334" s="96" t="s">
        <v>88</v>
      </c>
      <c r="I334" s="1" t="s">
        <v>426</v>
      </c>
      <c r="N334" s="101"/>
      <c r="O334" s="97" t="s">
        <v>109</v>
      </c>
      <c r="P334" s="93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95" t="s">
        <v>3</v>
      </c>
      <c r="B335" s="95" t="s">
        <v>30</v>
      </c>
      <c r="C335" s="95" t="s">
        <v>388</v>
      </c>
      <c r="H335" s="96" t="s">
        <v>90</v>
      </c>
      <c r="I335" s="100" t="s">
        <v>427</v>
      </c>
      <c r="N335" s="96"/>
      <c r="O335" s="97" t="s">
        <v>166</v>
      </c>
      <c r="P335" s="93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95" t="s">
        <v>3</v>
      </c>
      <c r="B336" s="95" t="s">
        <v>31</v>
      </c>
      <c r="C336" s="95" t="s">
        <v>428</v>
      </c>
      <c r="H336" s="96" t="s">
        <v>88</v>
      </c>
      <c r="I336" s="100" t="s">
        <v>429</v>
      </c>
      <c r="N336" s="101"/>
      <c r="O336" s="97" t="s">
        <v>171</v>
      </c>
      <c r="P336" s="93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95" t="s">
        <v>3</v>
      </c>
      <c r="B337" s="95" t="s">
        <v>31</v>
      </c>
      <c r="C337" s="95" t="s">
        <v>428</v>
      </c>
      <c r="H337" s="96" t="s">
        <v>88</v>
      </c>
      <c r="I337" s="100" t="s">
        <v>430</v>
      </c>
      <c r="N337" s="101"/>
      <c r="O337" s="97" t="s">
        <v>171</v>
      </c>
      <c r="P337" s="93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95" t="s">
        <v>3</v>
      </c>
      <c r="B338" s="95" t="s">
        <v>31</v>
      </c>
      <c r="C338" s="95" t="s">
        <v>428</v>
      </c>
      <c r="H338" s="96" t="s">
        <v>88</v>
      </c>
      <c r="I338" s="100" t="s">
        <v>431</v>
      </c>
      <c r="N338" s="101"/>
      <c r="O338" s="97" t="s">
        <v>171</v>
      </c>
      <c r="P338" s="93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95" t="s">
        <v>3</v>
      </c>
      <c r="B339" s="95" t="s">
        <v>31</v>
      </c>
      <c r="C339" s="95" t="s">
        <v>428</v>
      </c>
      <c r="H339" s="96" t="s">
        <v>88</v>
      </c>
      <c r="I339" s="100" t="s">
        <v>432</v>
      </c>
      <c r="N339" s="101"/>
      <c r="O339" s="97" t="s">
        <v>171</v>
      </c>
      <c r="P339" s="93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95" t="s">
        <v>3</v>
      </c>
      <c r="B340" s="95" t="s">
        <v>31</v>
      </c>
      <c r="C340" s="95" t="s">
        <v>428</v>
      </c>
      <c r="H340" s="96" t="s">
        <v>88</v>
      </c>
      <c r="I340" s="100" t="s">
        <v>433</v>
      </c>
      <c r="N340" s="101"/>
      <c r="O340" s="97" t="s">
        <v>171</v>
      </c>
      <c r="P340" s="93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95" t="s">
        <v>3</v>
      </c>
      <c r="B341" s="95" t="s">
        <v>31</v>
      </c>
      <c r="C341" s="95" t="s">
        <v>428</v>
      </c>
      <c r="H341" s="96" t="s">
        <v>88</v>
      </c>
      <c r="I341" s="100" t="s">
        <v>434</v>
      </c>
      <c r="N341" s="101"/>
      <c r="O341" s="97" t="s">
        <v>171</v>
      </c>
      <c r="P341" s="93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95" t="s">
        <v>3</v>
      </c>
      <c r="B342" s="95" t="s">
        <v>31</v>
      </c>
      <c r="C342" s="95" t="s">
        <v>428</v>
      </c>
      <c r="H342" s="96" t="s">
        <v>88</v>
      </c>
      <c r="I342" s="100" t="s">
        <v>435</v>
      </c>
      <c r="N342" s="101"/>
      <c r="O342" s="97" t="s">
        <v>171</v>
      </c>
      <c r="P342" s="93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95" t="s">
        <v>3</v>
      </c>
      <c r="B343" s="95" t="s">
        <v>31</v>
      </c>
      <c r="C343" s="95" t="s">
        <v>428</v>
      </c>
      <c r="H343" s="96" t="s">
        <v>88</v>
      </c>
      <c r="I343" s="1" t="s">
        <v>436</v>
      </c>
      <c r="N343" s="101"/>
      <c r="O343" s="97" t="s">
        <v>171</v>
      </c>
      <c r="P343" s="93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95" t="s">
        <v>3</v>
      </c>
      <c r="B344" s="95" t="s">
        <v>31</v>
      </c>
      <c r="C344" s="95" t="s">
        <v>428</v>
      </c>
      <c r="H344" s="96" t="s">
        <v>88</v>
      </c>
      <c r="I344" s="1" t="s">
        <v>437</v>
      </c>
      <c r="N344" s="101"/>
      <c r="O344" s="97" t="s">
        <v>171</v>
      </c>
      <c r="P344" s="93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95" t="s">
        <v>3</v>
      </c>
      <c r="B345" s="95" t="s">
        <v>31</v>
      </c>
      <c r="C345" s="95" t="s">
        <v>428</v>
      </c>
      <c r="H345" s="96" t="s">
        <v>88</v>
      </c>
      <c r="I345" s="1" t="s">
        <v>438</v>
      </c>
      <c r="N345" s="101"/>
      <c r="O345" s="97" t="s">
        <v>171</v>
      </c>
      <c r="P345" s="93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95" t="s">
        <v>3</v>
      </c>
      <c r="B346" s="95" t="s">
        <v>31</v>
      </c>
      <c r="C346" s="95" t="s">
        <v>428</v>
      </c>
      <c r="H346" s="96" t="s">
        <v>88</v>
      </c>
      <c r="I346" s="1" t="s">
        <v>439</v>
      </c>
      <c r="N346" s="101"/>
      <c r="O346" s="97" t="s">
        <v>171</v>
      </c>
      <c r="P346" s="93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95" t="s">
        <v>3</v>
      </c>
      <c r="B347" s="95" t="s">
        <v>31</v>
      </c>
      <c r="C347" s="95" t="s">
        <v>428</v>
      </c>
      <c r="H347" s="96" t="s">
        <v>88</v>
      </c>
      <c r="I347" s="1" t="s">
        <v>440</v>
      </c>
      <c r="N347" s="101"/>
      <c r="O347" s="97" t="s">
        <v>171</v>
      </c>
      <c r="P347" s="93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95" t="s">
        <v>3</v>
      </c>
      <c r="B348" s="95" t="s">
        <v>31</v>
      </c>
      <c r="C348" s="95" t="s">
        <v>428</v>
      </c>
      <c r="H348" s="96" t="s">
        <v>88</v>
      </c>
      <c r="I348" s="1" t="s">
        <v>441</v>
      </c>
      <c r="N348" s="101"/>
      <c r="O348" s="97" t="s">
        <v>171</v>
      </c>
      <c r="P348" s="93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95" t="s">
        <v>3</v>
      </c>
      <c r="B349" s="95" t="s">
        <v>31</v>
      </c>
      <c r="C349" s="95" t="s">
        <v>428</v>
      </c>
      <c r="H349" s="96" t="s">
        <v>88</v>
      </c>
      <c r="I349" s="1" t="s">
        <v>442</v>
      </c>
      <c r="N349" s="101"/>
      <c r="O349" s="97" t="s">
        <v>171</v>
      </c>
      <c r="P349" s="93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95" t="s">
        <v>3</v>
      </c>
      <c r="B350" s="95" t="s">
        <v>31</v>
      </c>
      <c r="C350" s="95" t="s">
        <v>428</v>
      </c>
      <c r="H350" s="96" t="s">
        <v>88</v>
      </c>
      <c r="I350" s="1" t="s">
        <v>443</v>
      </c>
      <c r="N350" s="101"/>
      <c r="O350" s="97" t="s">
        <v>171</v>
      </c>
      <c r="P350" s="93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95" t="s">
        <v>3</v>
      </c>
      <c r="B351" s="95" t="s">
        <v>31</v>
      </c>
      <c r="C351" s="95" t="s">
        <v>428</v>
      </c>
      <c r="H351" s="96" t="s">
        <v>88</v>
      </c>
      <c r="I351" s="1" t="s">
        <v>444</v>
      </c>
      <c r="N351" s="101"/>
      <c r="O351" s="97" t="s">
        <v>171</v>
      </c>
      <c r="P351" s="93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95" t="s">
        <v>3</v>
      </c>
      <c r="B352" s="95" t="s">
        <v>31</v>
      </c>
      <c r="C352" s="95" t="s">
        <v>428</v>
      </c>
      <c r="H352" s="96" t="s">
        <v>88</v>
      </c>
      <c r="I352" s="1" t="s">
        <v>445</v>
      </c>
      <c r="N352" s="101"/>
      <c r="O352" s="97" t="s">
        <v>171</v>
      </c>
      <c r="P352" s="93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95" t="s">
        <v>3</v>
      </c>
      <c r="B353" s="95" t="s">
        <v>31</v>
      </c>
      <c r="C353" s="95" t="s">
        <v>428</v>
      </c>
      <c r="H353" s="96" t="s">
        <v>88</v>
      </c>
      <c r="I353" s="1" t="s">
        <v>446</v>
      </c>
      <c r="N353" s="101"/>
      <c r="O353" s="97" t="s">
        <v>171</v>
      </c>
      <c r="P353" s="93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95" t="s">
        <v>3</v>
      </c>
      <c r="B354" s="95" t="s">
        <v>31</v>
      </c>
      <c r="C354" s="95" t="s">
        <v>428</v>
      </c>
      <c r="H354" s="96" t="s">
        <v>88</v>
      </c>
      <c r="I354" s="1" t="s">
        <v>447</v>
      </c>
      <c r="N354" s="101"/>
      <c r="O354" s="97" t="s">
        <v>171</v>
      </c>
      <c r="P354" s="93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95" t="s">
        <v>3</v>
      </c>
      <c r="B355" s="95" t="s">
        <v>31</v>
      </c>
      <c r="C355" s="95" t="s">
        <v>428</v>
      </c>
      <c r="H355" s="96" t="s">
        <v>88</v>
      </c>
      <c r="I355" s="1" t="s">
        <v>448</v>
      </c>
      <c r="N355" s="101"/>
      <c r="O355" s="97" t="s">
        <v>171</v>
      </c>
      <c r="P355" s="93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95" t="s">
        <v>3</v>
      </c>
      <c r="B356" s="95" t="s">
        <v>31</v>
      </c>
      <c r="C356" s="95" t="s">
        <v>428</v>
      </c>
      <c r="H356" s="96" t="s">
        <v>90</v>
      </c>
      <c r="I356" s="100" t="s">
        <v>449</v>
      </c>
      <c r="N356" s="96"/>
      <c r="O356" s="97" t="s">
        <v>166</v>
      </c>
      <c r="P356" s="93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95" t="s">
        <v>3</v>
      </c>
      <c r="B357" s="95" t="s">
        <v>32</v>
      </c>
      <c r="C357" s="95" t="s">
        <v>450</v>
      </c>
      <c r="H357" s="96" t="s">
        <v>87</v>
      </c>
      <c r="I357" s="100" t="s">
        <v>451</v>
      </c>
      <c r="N357" s="101"/>
      <c r="O357" s="97"/>
      <c r="P357" s="93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95" t="s">
        <v>3</v>
      </c>
      <c r="B358" s="95" t="s">
        <v>32</v>
      </c>
      <c r="C358" s="95" t="s">
        <v>450</v>
      </c>
      <c r="H358" s="96" t="s">
        <v>87</v>
      </c>
      <c r="I358" s="100" t="s">
        <v>452</v>
      </c>
      <c r="N358" s="101"/>
      <c r="O358" s="97"/>
      <c r="P358" s="93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95" t="s">
        <v>3</v>
      </c>
      <c r="B359" s="95" t="s">
        <v>32</v>
      </c>
      <c r="C359" s="95" t="s">
        <v>450</v>
      </c>
      <c r="H359" s="96" t="s">
        <v>88</v>
      </c>
      <c r="I359" s="100" t="s">
        <v>453</v>
      </c>
      <c r="N359" s="101"/>
      <c r="O359" s="97" t="s">
        <v>109</v>
      </c>
      <c r="P359" s="93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95" t="s">
        <v>3</v>
      </c>
      <c r="B360" s="95" t="s">
        <v>32</v>
      </c>
      <c r="C360" s="95" t="s">
        <v>450</v>
      </c>
      <c r="H360" s="96" t="s">
        <v>88</v>
      </c>
      <c r="I360" s="100" t="s">
        <v>454</v>
      </c>
      <c r="N360" s="101"/>
      <c r="O360" s="97" t="s">
        <v>109</v>
      </c>
      <c r="P360" s="93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95" t="s">
        <v>3</v>
      </c>
      <c r="B361" s="95" t="s">
        <v>32</v>
      </c>
      <c r="C361" s="95" t="s">
        <v>450</v>
      </c>
      <c r="H361" s="96" t="s">
        <v>88</v>
      </c>
      <c r="I361" s="100" t="s">
        <v>455</v>
      </c>
      <c r="N361" s="101"/>
      <c r="O361" s="97" t="s">
        <v>109</v>
      </c>
      <c r="P361" s="93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95" t="s">
        <v>3</v>
      </c>
      <c r="B362" s="95" t="s">
        <v>32</v>
      </c>
      <c r="C362" s="95" t="s">
        <v>450</v>
      </c>
      <c r="H362" s="96" t="s">
        <v>88</v>
      </c>
      <c r="I362" s="100" t="s">
        <v>456</v>
      </c>
      <c r="N362" s="101"/>
      <c r="O362" s="97" t="s">
        <v>109</v>
      </c>
      <c r="P362" s="93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95" t="s">
        <v>3</v>
      </c>
      <c r="B363" s="95" t="s">
        <v>32</v>
      </c>
      <c r="C363" s="95" t="s">
        <v>450</v>
      </c>
      <c r="H363" s="96" t="s">
        <v>88</v>
      </c>
      <c r="I363" s="100" t="s">
        <v>457</v>
      </c>
      <c r="N363" s="101"/>
      <c r="O363" s="97" t="s">
        <v>109</v>
      </c>
      <c r="P363" s="93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95" t="s">
        <v>3</v>
      </c>
      <c r="B364" s="95" t="s">
        <v>32</v>
      </c>
      <c r="C364" s="95" t="s">
        <v>450</v>
      </c>
      <c r="H364" s="96" t="s">
        <v>88</v>
      </c>
      <c r="I364" s="100" t="s">
        <v>458</v>
      </c>
      <c r="N364" s="101"/>
      <c r="O364" s="97" t="s">
        <v>109</v>
      </c>
      <c r="P364" s="93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95" t="s">
        <v>3</v>
      </c>
      <c r="B365" s="95" t="s">
        <v>32</v>
      </c>
      <c r="C365" s="95" t="s">
        <v>450</v>
      </c>
      <c r="H365" s="96" t="s">
        <v>88</v>
      </c>
      <c r="I365" s="100" t="s">
        <v>459</v>
      </c>
      <c r="N365" s="101"/>
      <c r="O365" s="97" t="s">
        <v>109</v>
      </c>
      <c r="P365" s="93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95" t="s">
        <v>3</v>
      </c>
      <c r="B366" s="95" t="s">
        <v>32</v>
      </c>
      <c r="C366" s="95" t="s">
        <v>450</v>
      </c>
      <c r="H366" s="96" t="s">
        <v>88</v>
      </c>
      <c r="I366" s="100" t="s">
        <v>460</v>
      </c>
      <c r="N366" s="101"/>
      <c r="O366" s="97" t="s">
        <v>109</v>
      </c>
      <c r="P366" s="93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95" t="s">
        <v>3</v>
      </c>
      <c r="B367" s="95" t="s">
        <v>32</v>
      </c>
      <c r="C367" s="95" t="s">
        <v>450</v>
      </c>
      <c r="H367" s="96" t="s">
        <v>88</v>
      </c>
      <c r="I367" s="100" t="s">
        <v>461</v>
      </c>
      <c r="N367" s="101"/>
      <c r="O367" s="97" t="s">
        <v>109</v>
      </c>
      <c r="P367" s="93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95" t="s">
        <v>3</v>
      </c>
      <c r="B368" s="95" t="s">
        <v>32</v>
      </c>
      <c r="C368" s="95" t="s">
        <v>450</v>
      </c>
      <c r="H368" s="96" t="s">
        <v>88</v>
      </c>
      <c r="I368" s="100" t="s">
        <v>462</v>
      </c>
      <c r="N368" s="101"/>
      <c r="O368" s="97" t="s">
        <v>109</v>
      </c>
      <c r="P368" s="93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95" t="s">
        <v>3</v>
      </c>
      <c r="B369" s="95" t="s">
        <v>32</v>
      </c>
      <c r="C369" s="95" t="s">
        <v>450</v>
      </c>
      <c r="H369" s="96" t="s">
        <v>88</v>
      </c>
      <c r="I369" s="100" t="s">
        <v>463</v>
      </c>
      <c r="N369" s="101"/>
      <c r="O369" s="97" t="s">
        <v>109</v>
      </c>
      <c r="P369" s="93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95" t="s">
        <v>3</v>
      </c>
      <c r="B370" s="95" t="s">
        <v>32</v>
      </c>
      <c r="C370" s="95" t="s">
        <v>450</v>
      </c>
      <c r="H370" s="96" t="s">
        <v>90</v>
      </c>
      <c r="I370" s="100" t="s">
        <v>464</v>
      </c>
      <c r="N370" s="96"/>
      <c r="O370" s="97" t="s">
        <v>166</v>
      </c>
      <c r="P370" s="93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</sheetData>
  <autoFilter ref="$A$23:$Q$370"/>
  <mergeCells count="699">
    <mergeCell ref="C287:G287"/>
    <mergeCell ref="C288:G288"/>
    <mergeCell ref="C289:G289"/>
    <mergeCell ref="I283:M283"/>
    <mergeCell ref="I284:M284"/>
    <mergeCell ref="C285:G285"/>
    <mergeCell ref="I285:M285"/>
    <mergeCell ref="C286:G286"/>
    <mergeCell ref="I286:M286"/>
    <mergeCell ref="I287:M287"/>
    <mergeCell ref="C292:G292"/>
    <mergeCell ref="C293:G293"/>
    <mergeCell ref="C294:G294"/>
    <mergeCell ref="I288:M288"/>
    <mergeCell ref="I289:M289"/>
    <mergeCell ref="C290:G290"/>
    <mergeCell ref="I290:M290"/>
    <mergeCell ref="C291:G291"/>
    <mergeCell ref="I291:M291"/>
    <mergeCell ref="I292:M292"/>
    <mergeCell ref="C297:G297"/>
    <mergeCell ref="C298:G298"/>
    <mergeCell ref="C299:G299"/>
    <mergeCell ref="I293:M293"/>
    <mergeCell ref="I294:M294"/>
    <mergeCell ref="C295:G295"/>
    <mergeCell ref="I295:M295"/>
    <mergeCell ref="C296:G296"/>
    <mergeCell ref="I296:M296"/>
    <mergeCell ref="I297:M297"/>
    <mergeCell ref="C302:G302"/>
    <mergeCell ref="C303:G303"/>
    <mergeCell ref="C304:G304"/>
    <mergeCell ref="I298:M298"/>
    <mergeCell ref="I299:M299"/>
    <mergeCell ref="C300:G300"/>
    <mergeCell ref="I300:M300"/>
    <mergeCell ref="C301:G301"/>
    <mergeCell ref="I301:M301"/>
    <mergeCell ref="I302:M302"/>
    <mergeCell ref="C307:G307"/>
    <mergeCell ref="C308:G308"/>
    <mergeCell ref="C309:G309"/>
    <mergeCell ref="I303:M303"/>
    <mergeCell ref="I304:M304"/>
    <mergeCell ref="C305:G305"/>
    <mergeCell ref="I305:M305"/>
    <mergeCell ref="C306:G306"/>
    <mergeCell ref="I306:M306"/>
    <mergeCell ref="I307:M307"/>
    <mergeCell ref="C312:G312"/>
    <mergeCell ref="C313:G313"/>
    <mergeCell ref="C314:G314"/>
    <mergeCell ref="I308:M308"/>
    <mergeCell ref="I309:M309"/>
    <mergeCell ref="C310:G310"/>
    <mergeCell ref="I310:M310"/>
    <mergeCell ref="C311:G311"/>
    <mergeCell ref="I311:M311"/>
    <mergeCell ref="I312:M312"/>
    <mergeCell ref="C317:G317"/>
    <mergeCell ref="C318:G318"/>
    <mergeCell ref="C319:G319"/>
    <mergeCell ref="I313:M313"/>
    <mergeCell ref="I314:M314"/>
    <mergeCell ref="C315:G315"/>
    <mergeCell ref="I315:M315"/>
    <mergeCell ref="C316:G316"/>
    <mergeCell ref="I316:M316"/>
    <mergeCell ref="I317:M317"/>
    <mergeCell ref="C357:G357"/>
    <mergeCell ref="C358:G358"/>
    <mergeCell ref="C359:G359"/>
    <mergeCell ref="I353:M353"/>
    <mergeCell ref="I354:M354"/>
    <mergeCell ref="C355:G355"/>
    <mergeCell ref="I355:M355"/>
    <mergeCell ref="C356:G356"/>
    <mergeCell ref="I356:M356"/>
    <mergeCell ref="I357:M357"/>
    <mergeCell ref="C362:G362"/>
    <mergeCell ref="C363:G363"/>
    <mergeCell ref="C364:G364"/>
    <mergeCell ref="I358:M358"/>
    <mergeCell ref="I359:M359"/>
    <mergeCell ref="C360:G360"/>
    <mergeCell ref="I360:M360"/>
    <mergeCell ref="C361:G361"/>
    <mergeCell ref="I361:M361"/>
    <mergeCell ref="I362:M362"/>
    <mergeCell ref="C367:G367"/>
    <mergeCell ref="C368:G368"/>
    <mergeCell ref="C369:G369"/>
    <mergeCell ref="I363:M363"/>
    <mergeCell ref="I364:M364"/>
    <mergeCell ref="C365:G365"/>
    <mergeCell ref="I365:M365"/>
    <mergeCell ref="C366:G366"/>
    <mergeCell ref="I366:M366"/>
    <mergeCell ref="I367:M367"/>
    <mergeCell ref="I24:M24"/>
    <mergeCell ref="I25:M25"/>
    <mergeCell ref="C1:J1"/>
    <mergeCell ref="C2:G2"/>
    <mergeCell ref="H2:L2"/>
    <mergeCell ref="C23:G23"/>
    <mergeCell ref="I23:M23"/>
    <mergeCell ref="C24:G24"/>
    <mergeCell ref="C25:G25"/>
    <mergeCell ref="C26:G26"/>
    <mergeCell ref="I26:M26"/>
    <mergeCell ref="C27:G27"/>
    <mergeCell ref="I27:M27"/>
    <mergeCell ref="C28:G28"/>
    <mergeCell ref="I28:M28"/>
    <mergeCell ref="I29:M29"/>
    <mergeCell ref="C29:G29"/>
    <mergeCell ref="C30:G30"/>
    <mergeCell ref="C31:G31"/>
    <mergeCell ref="C32:G32"/>
    <mergeCell ref="C33:G33"/>
    <mergeCell ref="C34:G34"/>
    <mergeCell ref="C35:G35"/>
    <mergeCell ref="I30:M30"/>
    <mergeCell ref="I31:M31"/>
    <mergeCell ref="I32:M32"/>
    <mergeCell ref="I33:M33"/>
    <mergeCell ref="I34:M34"/>
    <mergeCell ref="I35:M35"/>
    <mergeCell ref="I36:M36"/>
    <mergeCell ref="C36:G36"/>
    <mergeCell ref="C37:G37"/>
    <mergeCell ref="C38:G38"/>
    <mergeCell ref="C39:G39"/>
    <mergeCell ref="C40:G40"/>
    <mergeCell ref="C41:G41"/>
    <mergeCell ref="C42:G42"/>
    <mergeCell ref="I368:M368"/>
    <mergeCell ref="I369:M369"/>
    <mergeCell ref="C370:G370"/>
    <mergeCell ref="I370:M370"/>
    <mergeCell ref="C322:G322"/>
    <mergeCell ref="C323:G323"/>
    <mergeCell ref="C324:G324"/>
    <mergeCell ref="I318:M318"/>
    <mergeCell ref="I319:M319"/>
    <mergeCell ref="C320:G320"/>
    <mergeCell ref="I320:M320"/>
    <mergeCell ref="C321:G321"/>
    <mergeCell ref="I321:M321"/>
    <mergeCell ref="I322:M322"/>
    <mergeCell ref="C327:G327"/>
    <mergeCell ref="C328:G328"/>
    <mergeCell ref="C329:G329"/>
    <mergeCell ref="I323:M323"/>
    <mergeCell ref="I324:M324"/>
    <mergeCell ref="C325:G325"/>
    <mergeCell ref="I325:M325"/>
    <mergeCell ref="C326:G326"/>
    <mergeCell ref="I326:M326"/>
    <mergeCell ref="I327:M327"/>
    <mergeCell ref="C332:G332"/>
    <mergeCell ref="C333:G333"/>
    <mergeCell ref="C334:G334"/>
    <mergeCell ref="I328:M328"/>
    <mergeCell ref="I329:M329"/>
    <mergeCell ref="C330:G330"/>
    <mergeCell ref="I330:M330"/>
    <mergeCell ref="C331:G331"/>
    <mergeCell ref="I331:M331"/>
    <mergeCell ref="I332:M332"/>
    <mergeCell ref="C337:G337"/>
    <mergeCell ref="C338:G338"/>
    <mergeCell ref="C339:G339"/>
    <mergeCell ref="I333:M333"/>
    <mergeCell ref="I334:M334"/>
    <mergeCell ref="C335:G335"/>
    <mergeCell ref="I335:M335"/>
    <mergeCell ref="C336:G336"/>
    <mergeCell ref="I336:M336"/>
    <mergeCell ref="I337:M337"/>
    <mergeCell ref="C342:G342"/>
    <mergeCell ref="C343:G343"/>
    <mergeCell ref="C344:G344"/>
    <mergeCell ref="I338:M338"/>
    <mergeCell ref="I339:M339"/>
    <mergeCell ref="C340:G340"/>
    <mergeCell ref="I340:M340"/>
    <mergeCell ref="C341:G341"/>
    <mergeCell ref="I341:M341"/>
    <mergeCell ref="I342:M342"/>
    <mergeCell ref="C347:G347"/>
    <mergeCell ref="C348:G348"/>
    <mergeCell ref="C349:G349"/>
    <mergeCell ref="I343:M343"/>
    <mergeCell ref="I344:M344"/>
    <mergeCell ref="C345:G345"/>
    <mergeCell ref="I345:M345"/>
    <mergeCell ref="C346:G346"/>
    <mergeCell ref="I346:M346"/>
    <mergeCell ref="I347:M347"/>
    <mergeCell ref="C352:G352"/>
    <mergeCell ref="C353:G353"/>
    <mergeCell ref="C354:G354"/>
    <mergeCell ref="I348:M348"/>
    <mergeCell ref="I349:M349"/>
    <mergeCell ref="C350:G350"/>
    <mergeCell ref="I350:M350"/>
    <mergeCell ref="C351:G351"/>
    <mergeCell ref="I351:M351"/>
    <mergeCell ref="I352:M352"/>
    <mergeCell ref="I44:M44"/>
    <mergeCell ref="I45:M45"/>
    <mergeCell ref="I37:M37"/>
    <mergeCell ref="I38:M38"/>
    <mergeCell ref="I39:M39"/>
    <mergeCell ref="I40:M40"/>
    <mergeCell ref="I41:M41"/>
    <mergeCell ref="I42:M42"/>
    <mergeCell ref="I43:M43"/>
    <mergeCell ref="I47:M47"/>
    <mergeCell ref="I48:M48"/>
    <mergeCell ref="C43:G43"/>
    <mergeCell ref="C44:G44"/>
    <mergeCell ref="C45:G45"/>
    <mergeCell ref="C46:G46"/>
    <mergeCell ref="I46:M46"/>
    <mergeCell ref="C47:G47"/>
    <mergeCell ref="C48:G48"/>
    <mergeCell ref="C52:G52"/>
    <mergeCell ref="C53:G53"/>
    <mergeCell ref="C54:G54"/>
    <mergeCell ref="C49:G49"/>
    <mergeCell ref="I49:M49"/>
    <mergeCell ref="C50:G50"/>
    <mergeCell ref="I50:M50"/>
    <mergeCell ref="C51:G51"/>
    <mergeCell ref="I51:M51"/>
    <mergeCell ref="I52:M52"/>
    <mergeCell ref="C57:G57"/>
    <mergeCell ref="C58:G58"/>
    <mergeCell ref="C59:G59"/>
    <mergeCell ref="I53:M53"/>
    <mergeCell ref="I54:M54"/>
    <mergeCell ref="C55:G55"/>
    <mergeCell ref="I55:M55"/>
    <mergeCell ref="C56:G56"/>
    <mergeCell ref="I56:M56"/>
    <mergeCell ref="I57:M57"/>
    <mergeCell ref="C62:G62"/>
    <mergeCell ref="C63:G63"/>
    <mergeCell ref="C64:G64"/>
    <mergeCell ref="I58:M58"/>
    <mergeCell ref="I59:M59"/>
    <mergeCell ref="C60:G60"/>
    <mergeCell ref="I60:M60"/>
    <mergeCell ref="C61:G61"/>
    <mergeCell ref="I61:M61"/>
    <mergeCell ref="I62:M62"/>
    <mergeCell ref="C67:G67"/>
    <mergeCell ref="C68:G68"/>
    <mergeCell ref="C69:G69"/>
    <mergeCell ref="I63:M63"/>
    <mergeCell ref="I64:M64"/>
    <mergeCell ref="C65:G65"/>
    <mergeCell ref="I65:M65"/>
    <mergeCell ref="C66:G66"/>
    <mergeCell ref="I66:M66"/>
    <mergeCell ref="I67:M67"/>
    <mergeCell ref="C72:G72"/>
    <mergeCell ref="C73:G73"/>
    <mergeCell ref="C74:G74"/>
    <mergeCell ref="I68:M68"/>
    <mergeCell ref="I69:M69"/>
    <mergeCell ref="C70:G70"/>
    <mergeCell ref="I70:M70"/>
    <mergeCell ref="C71:G71"/>
    <mergeCell ref="I71:M71"/>
    <mergeCell ref="I72:M72"/>
    <mergeCell ref="C77:G77"/>
    <mergeCell ref="C78:G78"/>
    <mergeCell ref="C79:G79"/>
    <mergeCell ref="I73:M73"/>
    <mergeCell ref="I74:M74"/>
    <mergeCell ref="C75:G75"/>
    <mergeCell ref="I75:M75"/>
    <mergeCell ref="C76:G76"/>
    <mergeCell ref="I76:M76"/>
    <mergeCell ref="I77:M77"/>
    <mergeCell ref="C82:G82"/>
    <mergeCell ref="C83:G83"/>
    <mergeCell ref="C84:G84"/>
    <mergeCell ref="I78:M78"/>
    <mergeCell ref="I79:M79"/>
    <mergeCell ref="C80:G80"/>
    <mergeCell ref="I80:M80"/>
    <mergeCell ref="C81:G81"/>
    <mergeCell ref="I81:M81"/>
    <mergeCell ref="I82:M82"/>
    <mergeCell ref="C87:G87"/>
    <mergeCell ref="C88:G88"/>
    <mergeCell ref="C89:G89"/>
    <mergeCell ref="I83:M83"/>
    <mergeCell ref="I84:M84"/>
    <mergeCell ref="C85:G85"/>
    <mergeCell ref="I85:M85"/>
    <mergeCell ref="C86:G86"/>
    <mergeCell ref="I86:M86"/>
    <mergeCell ref="I87:M87"/>
    <mergeCell ref="C92:G92"/>
    <mergeCell ref="C93:G93"/>
    <mergeCell ref="C94:G94"/>
    <mergeCell ref="I88:M88"/>
    <mergeCell ref="I89:M89"/>
    <mergeCell ref="C90:G90"/>
    <mergeCell ref="I90:M90"/>
    <mergeCell ref="C91:G91"/>
    <mergeCell ref="I91:M91"/>
    <mergeCell ref="I92:M92"/>
    <mergeCell ref="C97:G97"/>
    <mergeCell ref="C98:G98"/>
    <mergeCell ref="C99:G99"/>
    <mergeCell ref="I93:M93"/>
    <mergeCell ref="I94:M94"/>
    <mergeCell ref="C95:G95"/>
    <mergeCell ref="I95:M95"/>
    <mergeCell ref="C96:G96"/>
    <mergeCell ref="I96:M96"/>
    <mergeCell ref="I97:M97"/>
    <mergeCell ref="C102:G102"/>
    <mergeCell ref="C103:G103"/>
    <mergeCell ref="C104:G104"/>
    <mergeCell ref="I98:M98"/>
    <mergeCell ref="I99:M99"/>
    <mergeCell ref="C100:G100"/>
    <mergeCell ref="I100:M100"/>
    <mergeCell ref="C101:G101"/>
    <mergeCell ref="I101:M101"/>
    <mergeCell ref="I102:M102"/>
    <mergeCell ref="C107:G107"/>
    <mergeCell ref="C108:G108"/>
    <mergeCell ref="C109:G109"/>
    <mergeCell ref="I103:M103"/>
    <mergeCell ref="I104:M104"/>
    <mergeCell ref="C105:G105"/>
    <mergeCell ref="I105:M105"/>
    <mergeCell ref="C106:G106"/>
    <mergeCell ref="I106:M106"/>
    <mergeCell ref="I107:M107"/>
    <mergeCell ref="C112:G112"/>
    <mergeCell ref="C113:G113"/>
    <mergeCell ref="C114:G114"/>
    <mergeCell ref="I108:M108"/>
    <mergeCell ref="I109:M109"/>
    <mergeCell ref="C110:G110"/>
    <mergeCell ref="I110:M110"/>
    <mergeCell ref="C111:G111"/>
    <mergeCell ref="I111:M111"/>
    <mergeCell ref="I112:M112"/>
    <mergeCell ref="C117:G117"/>
    <mergeCell ref="C118:G118"/>
    <mergeCell ref="C119:G119"/>
    <mergeCell ref="I113:M113"/>
    <mergeCell ref="I114:M114"/>
    <mergeCell ref="C115:G115"/>
    <mergeCell ref="I115:M115"/>
    <mergeCell ref="C116:G116"/>
    <mergeCell ref="I116:M116"/>
    <mergeCell ref="I117:M117"/>
    <mergeCell ref="C122:G122"/>
    <mergeCell ref="C123:G123"/>
    <mergeCell ref="C124:G124"/>
    <mergeCell ref="I118:M118"/>
    <mergeCell ref="I119:M119"/>
    <mergeCell ref="C120:G120"/>
    <mergeCell ref="I120:M120"/>
    <mergeCell ref="C121:G121"/>
    <mergeCell ref="I121:M121"/>
    <mergeCell ref="I122:M122"/>
    <mergeCell ref="C127:G127"/>
    <mergeCell ref="C128:G128"/>
    <mergeCell ref="C129:G129"/>
    <mergeCell ref="I123:M123"/>
    <mergeCell ref="I124:M124"/>
    <mergeCell ref="C125:G125"/>
    <mergeCell ref="I125:M125"/>
    <mergeCell ref="C126:G126"/>
    <mergeCell ref="I126:M126"/>
    <mergeCell ref="I127:M127"/>
    <mergeCell ref="C132:G132"/>
    <mergeCell ref="C133:G133"/>
    <mergeCell ref="C134:G134"/>
    <mergeCell ref="I128:M128"/>
    <mergeCell ref="I129:M129"/>
    <mergeCell ref="C130:G130"/>
    <mergeCell ref="I130:M130"/>
    <mergeCell ref="C131:G131"/>
    <mergeCell ref="I131:M131"/>
    <mergeCell ref="I132:M132"/>
    <mergeCell ref="C137:G137"/>
    <mergeCell ref="C138:G138"/>
    <mergeCell ref="C139:G139"/>
    <mergeCell ref="I133:M133"/>
    <mergeCell ref="I134:M134"/>
    <mergeCell ref="C135:G135"/>
    <mergeCell ref="I135:M135"/>
    <mergeCell ref="C136:G136"/>
    <mergeCell ref="I136:M136"/>
    <mergeCell ref="I137:M137"/>
    <mergeCell ref="C142:G142"/>
    <mergeCell ref="C143:G143"/>
    <mergeCell ref="C144:G144"/>
    <mergeCell ref="I138:M138"/>
    <mergeCell ref="I139:M139"/>
    <mergeCell ref="C140:G140"/>
    <mergeCell ref="I140:M140"/>
    <mergeCell ref="C141:G141"/>
    <mergeCell ref="I141:M141"/>
    <mergeCell ref="I142:M142"/>
    <mergeCell ref="C147:G147"/>
    <mergeCell ref="C148:G148"/>
    <mergeCell ref="C149:G149"/>
    <mergeCell ref="I143:M143"/>
    <mergeCell ref="I144:M144"/>
    <mergeCell ref="C145:G145"/>
    <mergeCell ref="I145:M145"/>
    <mergeCell ref="C146:G146"/>
    <mergeCell ref="I146:M146"/>
    <mergeCell ref="I147:M147"/>
    <mergeCell ref="C152:G152"/>
    <mergeCell ref="C153:G153"/>
    <mergeCell ref="C154:G154"/>
    <mergeCell ref="I148:M148"/>
    <mergeCell ref="I149:M149"/>
    <mergeCell ref="C150:G150"/>
    <mergeCell ref="I150:M150"/>
    <mergeCell ref="C151:G151"/>
    <mergeCell ref="I151:M151"/>
    <mergeCell ref="I152:M152"/>
    <mergeCell ref="C157:G157"/>
    <mergeCell ref="C158:G158"/>
    <mergeCell ref="C159:G159"/>
    <mergeCell ref="I153:M153"/>
    <mergeCell ref="I154:M154"/>
    <mergeCell ref="C155:G155"/>
    <mergeCell ref="I155:M155"/>
    <mergeCell ref="C156:G156"/>
    <mergeCell ref="I156:M156"/>
    <mergeCell ref="I157:M157"/>
    <mergeCell ref="C162:G162"/>
    <mergeCell ref="C163:G163"/>
    <mergeCell ref="C164:G164"/>
    <mergeCell ref="I158:M158"/>
    <mergeCell ref="I159:M159"/>
    <mergeCell ref="C160:G160"/>
    <mergeCell ref="I160:M160"/>
    <mergeCell ref="C161:G161"/>
    <mergeCell ref="I161:M161"/>
    <mergeCell ref="I162:M162"/>
    <mergeCell ref="C167:G167"/>
    <mergeCell ref="C168:G168"/>
    <mergeCell ref="C169:G169"/>
    <mergeCell ref="I163:M163"/>
    <mergeCell ref="I164:M164"/>
    <mergeCell ref="C165:G165"/>
    <mergeCell ref="I165:M165"/>
    <mergeCell ref="C166:G166"/>
    <mergeCell ref="I166:M166"/>
    <mergeCell ref="I167:M167"/>
    <mergeCell ref="C172:G172"/>
    <mergeCell ref="C173:G173"/>
    <mergeCell ref="C174:G174"/>
    <mergeCell ref="I168:M168"/>
    <mergeCell ref="I169:M169"/>
    <mergeCell ref="C170:G170"/>
    <mergeCell ref="I170:M170"/>
    <mergeCell ref="C171:G171"/>
    <mergeCell ref="I171:M171"/>
    <mergeCell ref="I172:M172"/>
    <mergeCell ref="C177:G177"/>
    <mergeCell ref="C178:G178"/>
    <mergeCell ref="C179:G179"/>
    <mergeCell ref="I173:M173"/>
    <mergeCell ref="I174:M174"/>
    <mergeCell ref="C175:G175"/>
    <mergeCell ref="I175:M175"/>
    <mergeCell ref="C176:G176"/>
    <mergeCell ref="I176:M176"/>
    <mergeCell ref="I177:M177"/>
    <mergeCell ref="C182:G182"/>
    <mergeCell ref="C183:G183"/>
    <mergeCell ref="C184:G184"/>
    <mergeCell ref="I178:M178"/>
    <mergeCell ref="I179:M179"/>
    <mergeCell ref="C180:G180"/>
    <mergeCell ref="I180:M180"/>
    <mergeCell ref="C181:G181"/>
    <mergeCell ref="I181:M181"/>
    <mergeCell ref="I182:M182"/>
    <mergeCell ref="C187:G187"/>
    <mergeCell ref="C188:G188"/>
    <mergeCell ref="C189:G189"/>
    <mergeCell ref="I183:M183"/>
    <mergeCell ref="I184:M184"/>
    <mergeCell ref="C185:G185"/>
    <mergeCell ref="I185:M185"/>
    <mergeCell ref="C186:G186"/>
    <mergeCell ref="I186:M186"/>
    <mergeCell ref="I187:M187"/>
    <mergeCell ref="C192:G192"/>
    <mergeCell ref="C193:G193"/>
    <mergeCell ref="C194:G194"/>
    <mergeCell ref="I188:M188"/>
    <mergeCell ref="I189:M189"/>
    <mergeCell ref="C190:G190"/>
    <mergeCell ref="I190:M190"/>
    <mergeCell ref="C191:G191"/>
    <mergeCell ref="I191:M191"/>
    <mergeCell ref="I192:M192"/>
    <mergeCell ref="C197:G197"/>
    <mergeCell ref="C198:G198"/>
    <mergeCell ref="C199:G199"/>
    <mergeCell ref="I193:M193"/>
    <mergeCell ref="I194:M194"/>
    <mergeCell ref="C195:G195"/>
    <mergeCell ref="I195:M195"/>
    <mergeCell ref="C196:G196"/>
    <mergeCell ref="I196:M196"/>
    <mergeCell ref="I197:M197"/>
    <mergeCell ref="C202:G202"/>
    <mergeCell ref="C203:G203"/>
    <mergeCell ref="C204:G204"/>
    <mergeCell ref="I198:M198"/>
    <mergeCell ref="I199:M199"/>
    <mergeCell ref="C200:G200"/>
    <mergeCell ref="I200:M200"/>
    <mergeCell ref="C201:G201"/>
    <mergeCell ref="I201:M201"/>
    <mergeCell ref="I202:M202"/>
    <mergeCell ref="C207:G207"/>
    <mergeCell ref="C208:G208"/>
    <mergeCell ref="C209:G209"/>
    <mergeCell ref="I203:M203"/>
    <mergeCell ref="I204:M204"/>
    <mergeCell ref="C205:G205"/>
    <mergeCell ref="I205:M205"/>
    <mergeCell ref="C206:G206"/>
    <mergeCell ref="I206:M206"/>
    <mergeCell ref="I207:M207"/>
    <mergeCell ref="C212:G212"/>
    <mergeCell ref="C213:G213"/>
    <mergeCell ref="C214:G214"/>
    <mergeCell ref="I208:M208"/>
    <mergeCell ref="I209:M209"/>
    <mergeCell ref="C210:G210"/>
    <mergeCell ref="I210:M210"/>
    <mergeCell ref="C211:G211"/>
    <mergeCell ref="I211:M211"/>
    <mergeCell ref="I212:M212"/>
    <mergeCell ref="C217:G217"/>
    <mergeCell ref="C218:G218"/>
    <mergeCell ref="C219:G219"/>
    <mergeCell ref="I213:M213"/>
    <mergeCell ref="I214:M214"/>
    <mergeCell ref="C215:G215"/>
    <mergeCell ref="I215:M215"/>
    <mergeCell ref="C216:G216"/>
    <mergeCell ref="I216:M216"/>
    <mergeCell ref="I217:M217"/>
    <mergeCell ref="C222:G222"/>
    <mergeCell ref="C223:G223"/>
    <mergeCell ref="C224:G224"/>
    <mergeCell ref="I218:M218"/>
    <mergeCell ref="I219:M219"/>
    <mergeCell ref="C220:G220"/>
    <mergeCell ref="I220:M220"/>
    <mergeCell ref="C221:G221"/>
    <mergeCell ref="I221:M221"/>
    <mergeCell ref="I222:M222"/>
    <mergeCell ref="C227:G227"/>
    <mergeCell ref="C228:G228"/>
    <mergeCell ref="C229:G229"/>
    <mergeCell ref="I223:M223"/>
    <mergeCell ref="I224:M224"/>
    <mergeCell ref="C225:G225"/>
    <mergeCell ref="I225:M225"/>
    <mergeCell ref="C226:G226"/>
    <mergeCell ref="I226:M226"/>
    <mergeCell ref="I227:M227"/>
    <mergeCell ref="C232:G232"/>
    <mergeCell ref="C233:G233"/>
    <mergeCell ref="C234:G234"/>
    <mergeCell ref="I228:M228"/>
    <mergeCell ref="I229:M229"/>
    <mergeCell ref="C230:G230"/>
    <mergeCell ref="I230:M230"/>
    <mergeCell ref="C231:G231"/>
    <mergeCell ref="I231:M231"/>
    <mergeCell ref="I232:M232"/>
    <mergeCell ref="C237:G237"/>
    <mergeCell ref="C238:G238"/>
    <mergeCell ref="C239:G239"/>
    <mergeCell ref="I233:M233"/>
    <mergeCell ref="I234:M234"/>
    <mergeCell ref="C235:G235"/>
    <mergeCell ref="I235:M235"/>
    <mergeCell ref="C236:G236"/>
    <mergeCell ref="I236:M236"/>
    <mergeCell ref="I237:M237"/>
    <mergeCell ref="C242:G242"/>
    <mergeCell ref="C243:G243"/>
    <mergeCell ref="C244:G244"/>
    <mergeCell ref="I238:M238"/>
    <mergeCell ref="I239:M239"/>
    <mergeCell ref="C240:G240"/>
    <mergeCell ref="I240:M240"/>
    <mergeCell ref="C241:G241"/>
    <mergeCell ref="I241:M241"/>
    <mergeCell ref="I242:M242"/>
    <mergeCell ref="C247:G247"/>
    <mergeCell ref="C248:G248"/>
    <mergeCell ref="C249:G249"/>
    <mergeCell ref="I243:M243"/>
    <mergeCell ref="I244:M244"/>
    <mergeCell ref="C245:G245"/>
    <mergeCell ref="I245:M245"/>
    <mergeCell ref="C246:G246"/>
    <mergeCell ref="I246:M246"/>
    <mergeCell ref="I247:M247"/>
    <mergeCell ref="C252:G252"/>
    <mergeCell ref="C253:G253"/>
    <mergeCell ref="C254:G254"/>
    <mergeCell ref="I248:M248"/>
    <mergeCell ref="I249:M249"/>
    <mergeCell ref="C250:G250"/>
    <mergeCell ref="I250:M250"/>
    <mergeCell ref="C251:G251"/>
    <mergeCell ref="I251:M251"/>
    <mergeCell ref="I252:M252"/>
    <mergeCell ref="C257:G257"/>
    <mergeCell ref="C258:G258"/>
    <mergeCell ref="C259:G259"/>
    <mergeCell ref="I253:M253"/>
    <mergeCell ref="I254:M254"/>
    <mergeCell ref="C255:G255"/>
    <mergeCell ref="I255:M255"/>
    <mergeCell ref="C256:G256"/>
    <mergeCell ref="I256:M256"/>
    <mergeCell ref="I257:M257"/>
    <mergeCell ref="C262:G262"/>
    <mergeCell ref="C263:G263"/>
    <mergeCell ref="C264:G264"/>
    <mergeCell ref="I258:M258"/>
    <mergeCell ref="I259:M259"/>
    <mergeCell ref="C260:G260"/>
    <mergeCell ref="I260:M260"/>
    <mergeCell ref="C261:G261"/>
    <mergeCell ref="I261:M261"/>
    <mergeCell ref="I262:M262"/>
    <mergeCell ref="C267:G267"/>
    <mergeCell ref="C268:G268"/>
    <mergeCell ref="C269:G269"/>
    <mergeCell ref="I263:M263"/>
    <mergeCell ref="I264:M264"/>
    <mergeCell ref="C265:G265"/>
    <mergeCell ref="I265:M265"/>
    <mergeCell ref="C266:G266"/>
    <mergeCell ref="I266:M266"/>
    <mergeCell ref="I267:M267"/>
    <mergeCell ref="C272:G272"/>
    <mergeCell ref="C273:G273"/>
    <mergeCell ref="C274:G274"/>
    <mergeCell ref="I268:M268"/>
    <mergeCell ref="I269:M269"/>
    <mergeCell ref="C270:G270"/>
    <mergeCell ref="I270:M270"/>
    <mergeCell ref="C271:G271"/>
    <mergeCell ref="I271:M271"/>
    <mergeCell ref="I272:M272"/>
    <mergeCell ref="C277:G277"/>
    <mergeCell ref="C278:G278"/>
    <mergeCell ref="C279:G279"/>
    <mergeCell ref="I273:M273"/>
    <mergeCell ref="I274:M274"/>
    <mergeCell ref="C275:G275"/>
    <mergeCell ref="I275:M275"/>
    <mergeCell ref="C276:G276"/>
    <mergeCell ref="I276:M276"/>
    <mergeCell ref="I277:M277"/>
    <mergeCell ref="C282:G282"/>
    <mergeCell ref="C283:G283"/>
    <mergeCell ref="C284:G284"/>
    <mergeCell ref="I278:M278"/>
    <mergeCell ref="I279:M279"/>
    <mergeCell ref="C280:G280"/>
    <mergeCell ref="I280:M280"/>
    <mergeCell ref="C281:G281"/>
    <mergeCell ref="I281:M281"/>
    <mergeCell ref="I282:M282"/>
  </mergeCells>
  <dataValidations>
    <dataValidation type="list" allowBlank="1" showErrorMessage="1" sqref="H24:H370">
      <formula1>"Fixa,Substitui variável,Variável"</formula1>
    </dataValidation>
    <dataValidation type="list" allowBlank="1" showErrorMessage="1" sqref="N24:N370">
      <formula1>"Ar,Mar,Modalidade"</formula1>
    </dataValidation>
    <dataValidation type="list" allowBlank="1" showErrorMessage="1" sqref="B24:B370">
      <formula1>"Aprendizagem Contínua e Desenvolvimento Vocacional,Autonomia e Liderança,Comunidade,Consumo Responsável,Criatividade e Inovação,Cuidado com o Corpo,Democracia,Espiritualidade,Hábitos Saudáveis,Herança Cultural,Inteligência Emocional,Mudanças Climáticas,Pr"&amp;"eservação da Biodiversidade,Promoção da Paz,Saúde Mental,Valores,Vida ao Ar Livre,Vínculos Saudáveis"</formula1>
    </dataValidation>
    <dataValidation type="list" allowBlank="1" showErrorMessage="1" sqref="B2">
      <formula1>"Básico,Ar,Mar"</formula1>
    </dataValidation>
    <dataValidation type="list" allowBlank="1" showErrorMessage="1" sqref="A24:A370">
      <formula1>"Habilidades para a Vida,Meio Ambiente,Paz e Desenvolvimento,Saúde e Bem-Estar"</formula1>
    </dataValidation>
  </dataValidations>
  <printOptions/>
  <pageMargins bottom="1.0" footer="0.0" header="0.0" left="0.75" right="0.75" top="1.0"/>
  <pageSetup orientation="landscape"/>
  <drawing r:id="rId1"/>
</worksheet>
</file>