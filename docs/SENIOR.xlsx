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erme\Desktop\"/>
    </mc:Choice>
  </mc:AlternateContent>
  <xr:revisionPtr revIDLastSave="0" documentId="8_{A049AE1A-15F8-BD4C-A100-5B102307B4E4}" xr6:coauthVersionLast="47" xr6:coauthVersionMax="47" xr10:uidLastSave="{00000000-0000-0000-0000-000000000000}"/>
  <bookViews>
    <workbookView xWindow="-120" yWindow="-120" windowWidth="29040" windowHeight="15720" activeTab="3" xr2:uid="{5F88D281-56C6-439E-943E-637379339CDB}"/>
  </bookViews>
  <sheets>
    <sheet name="HABILIDADES PARA VIDA" sheetId="1" r:id="rId1"/>
    <sheet name="MEIO AMBIENTE" sheetId="8" r:id="rId2"/>
    <sheet name="PAZ E DESENVOLVIMENTO" sheetId="9" r:id="rId3"/>
    <sheet name="SAUDE E BEM-ESTAR" sheetId="10" r:id="rId4"/>
    <sheet name="RESUMO" sheetId="1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1" l="1"/>
  <c r="J15" i="11"/>
  <c r="L24" i="11"/>
  <c r="L33" i="11"/>
  <c r="G43" i="11"/>
  <c r="J4" i="11"/>
  <c r="J13" i="11"/>
  <c r="L22" i="11"/>
  <c r="L31" i="11"/>
  <c r="G41" i="11"/>
  <c r="J5" i="11"/>
  <c r="J14" i="11"/>
  <c r="L23" i="11"/>
  <c r="L32" i="11"/>
  <c r="G42" i="11"/>
  <c r="J7" i="11"/>
  <c r="J16" i="11"/>
  <c r="L25" i="11"/>
  <c r="L34" i="11"/>
  <c r="G44" i="11"/>
  <c r="J8" i="11"/>
  <c r="J17" i="11"/>
  <c r="L26" i="11"/>
  <c r="L35" i="11"/>
  <c r="G45" i="11"/>
</calcChain>
</file>

<file path=xl/sharedStrings.xml><?xml version="1.0" encoding="utf-8"?>
<sst xmlns="http://schemas.openxmlformats.org/spreadsheetml/2006/main" count="1723" uniqueCount="247">
  <si>
    <t>Eixo</t>
  </si>
  <si>
    <t>Descrição Item</t>
  </si>
  <si>
    <t>Tipo</t>
  </si>
  <si>
    <t>Ações Educativas Fixas</t>
  </si>
  <si>
    <t>Especialidades que podem complementar as Ações Escoteiras</t>
  </si>
  <si>
    <t>Ou conquistar ao menos uma das seguintes insígneas</t>
  </si>
  <si>
    <t>HABILIDADES PARA A VIDA</t>
  </si>
  <si>
    <t>Fixa</t>
  </si>
  <si>
    <t>Variável</t>
  </si>
  <si>
    <t>PAZ E DESENVOLVIMENTO</t>
  </si>
  <si>
    <t>MEIO AMBIENTE</t>
  </si>
  <si>
    <t>SAÚDE E BEM-ESTAR</t>
  </si>
  <si>
    <t>Aprendizagem Contínua e Desenvolvimento Vocacional</t>
  </si>
  <si>
    <t>Conhecer diferentes temas, planejar estratégias para aprender de maneira eficaz e utilizar novos conceitos e recursos para melhorar seus resultados. Aprofundar seus conhecimentos em áreas de interesse, descobrindo e explorando sua vocação.</t>
  </si>
  <si>
    <t>Conquistar, no Ramo Sênior, uma especialidade sobre um tema de seu interesse e que seja um conhecimento novo.</t>
  </si>
  <si>
    <t>Explorar diferentes áreas profissionais participando de uma Feira de Profissões ou entrevistando profissionais da área de interesse, investigando os caminhos percorridos, os desafios enfrentados e as motivações que os levaram à escolha da carreira.</t>
  </si>
  <si>
    <t>Engajar-se em atividades voluntárias ou estágios em instituições que despertem interesse, permitindo a vivência prática, o desenvolvimento de habilidades e a compreensão do ambiente profissional e comunitário.</t>
  </si>
  <si>
    <t>Participar de palestras, workshops ou vivências voltadas à orientação vocacional, planejamento de carreira e desenvolvimento pessoal.</t>
  </si>
  <si>
    <t>Organizar uma atividade para a patrulha ou tropa voltada à escolha vocacional.</t>
  </si>
  <si>
    <t>Organizar, para sua tropa ou patrulha, uma oficina, curso ou palestra sobre um tema de seu interesse.</t>
  </si>
  <si>
    <t>Participar de feiras, mostras ou eventos escolares ou científicos, fora do Movimento Escoteiro, apresentando trabalhos ou projetos desenvolvidos.</t>
  </si>
  <si>
    <t>Gastronomia, Tecnologia, Educação, Idiomas, Ciências Humanas.</t>
  </si>
  <si>
    <t>Insígnia do Aprender; Insígnia da Modalidade do Mar – Naval; Insígnia da Modalidade do Ar – Aeronáutica.</t>
  </si>
  <si>
    <t>Autonomia e Liderança</t>
  </si>
  <si>
    <t>Assumir responsabilidades dentro de sua patrulha ou equipe de interesse, trabalhando junto aos colegas para alcançar objetivos. Organizar e administrar recursos para seus projetos, definir um orçamento e executar ações para cumpri-lo. Planejar, realizar e avaliar atividades individuais e coletivas, tomando decisões com consciência e responsabilidade.</t>
  </si>
  <si>
    <t>Conhecer o material individual e de patrulha necessário para diferentes tipos de excursões (acampamento, acantonamento, volante, fixo) e saber organizá-lo na mochila.</t>
  </si>
  <si>
    <t>Participar ativamente do planejamento, da execução e da avaliação de atividades da patrulha, tropa ou equipe de interesse.</t>
  </si>
  <si>
    <t>Desenvolver o planejamento orçamentário de uma atividade da patrulha, equipe de interesse ou tropa.</t>
  </si>
  <si>
    <t>Utilizar transporte coletivo urbano para uma atividade externa da patrulha.</t>
  </si>
  <si>
    <t>Implementar uma estratégia, incluindo a parte financeira, para alcançar uma meta pessoal.</t>
  </si>
  <si>
    <t>Planejar e executar um projeto de captação de recursos para participação em atividade escoteira ou projeto pessoal.</t>
  </si>
  <si>
    <t>Assumir e desempenhar diferentes encargos na patrulha.</t>
  </si>
  <si>
    <t>Planejar e conduzir um grande jogo para a tropa, com apoio da patrulha ou equipe de interesse.</t>
  </si>
  <si>
    <t>Realizar TRÊS Ações dentre as listadas a seguir:</t>
  </si>
  <si>
    <t>Realizar QUATRO Ações dentre as listadas a seguir:</t>
  </si>
  <si>
    <t>Empreendedorismo e Negócios; Finanças e Economia; Liderança e Gestão; Viagens.</t>
  </si>
  <si>
    <t>Criatividade e Inovação</t>
  </si>
  <si>
    <t>Expressar suas ideias, talentos e criatividade por meio da arte, da escrita, da música ou de outras formas de criação. Buscar inovar em seus projetos e iniciativas, explorando novas possibilidades.</t>
  </si>
  <si>
    <t>Durante um acampamento, planejar e executar pioneirias inovadoras de médio ou grande porte.</t>
  </si>
  <si>
    <t>Organizar e conduzir um Fogo de Conselho ou show de talentos.</t>
  </si>
  <si>
    <t>Organizar uma noite cultural para a patrulha ou tropa.</t>
  </si>
  <si>
    <t>Produzir um curta-metragem ou vídeo criativo sobre Escotismo.</t>
  </si>
  <si>
    <t>Organizar uma apresentação artística ou cultural para a comunidade.</t>
  </si>
  <si>
    <t>Planejar e realizar mostra temática com registros diversos.</t>
  </si>
  <si>
    <t>Participar de concursos culturais, literários ou artísticos.</t>
  </si>
  <si>
    <t>Construir uma versão simplificada de um horizonte artificial funcional.</t>
  </si>
  <si>
    <t>Comunicações</t>
  </si>
  <si>
    <t>Inovadores de Impacto.</t>
  </si>
  <si>
    <t>Inteligência Emocional</t>
  </si>
  <si>
    <t>Reconhecer e lidar com seus sentimentos, respeitando suas próprias emoções e as dos outros, expressando-se de forma equilibrada e assertiva.</t>
  </si>
  <si>
    <t>Reconhecer situações que comprometem a integridade física ou emocional e saber como agir.</t>
  </si>
  <si>
    <t>Praticar feedback construtivo durante as atividades, expressando opiniões de forma assertiva e respeitosa.</t>
  </si>
  <si>
    <t>Identificar mudanças repentinas de emoção e equilibrar decisões e reações.</t>
  </si>
  <si>
    <t>Envolver-se em atividades aventureiras com segurança, enfrentando seus medos.</t>
  </si>
  <si>
    <t>Identificar situações de estresse ou desconforto e buscar soluções.</t>
  </si>
  <si>
    <t>Negociar responsabilidades familiares e pessoais de forma madura.</t>
  </si>
  <si>
    <t>Conduzir dinâmicas de confiança e cooperação, lidando com frustrações e celebrando conquistas.</t>
  </si>
  <si>
    <t>Substiuir Variavel</t>
  </si>
  <si>
    <t>A fazer</t>
  </si>
  <si>
    <t>Não optou</t>
  </si>
  <si>
    <t>Consumo Responsável</t>
  </si>
  <si>
    <t>Compreender como o consumo responsável influencia o futuro do planeta e adotar hábitos que ajudem a garantir recursos para as próximas gerações.</t>
  </si>
  <si>
    <t>Liderar a separação de resíduos recicláveis e orgânicos em uma festa da UEL, comunidade ou eventos regionais e nacionais.</t>
  </si>
  <si>
    <t>Visitar uma estação de tratamento de esgoto, aterro sanitário ou cooperativa de reciclagem e discutir as questões ambientais e de consumo.</t>
  </si>
  <si>
    <t>Desenvolver um projeto individual ou coletivo sobre o descarte correto de materiais eletrônicos na UEL, comunidade ou escola.</t>
  </si>
  <si>
    <t>Organizar pelo menos uma oficina, debate ou workshop para a seção sobre os seguintes temas: Cruelty-free (produtos livres de exploração animal), Vegetarianismo e Veganismo, Upcycling (reaproveitamento de itens descartados), Obsolescência Programada e Perceptiva, Microplástico.</t>
  </si>
  <si>
    <t>Em um acampamento, executar uma receita com cascas, talos ou sobras.</t>
  </si>
  <si>
    <t>Organizar um brechó beneficente ou feira de trocas em sua UEL ou comunidade.</t>
  </si>
  <si>
    <t>Participar de visita a cooperativa de reciclagem ou projeto comunitário ligado à economia circular.</t>
  </si>
  <si>
    <t>Agricultura Sustentável</t>
  </si>
  <si>
    <t>Reduzir, Reciclar, Reutilizar.</t>
  </si>
  <si>
    <t>Mudanças Climáticas</t>
  </si>
  <si>
    <t>Propor e organizar atividades e projetos para reduzir os impactos ambientais e combater as mudanças climáticas. Incentivar práticas sustentáveis no dia a dia e mobilizar outros para agir pelo meio ambiente.</t>
  </si>
  <si>
    <t>Utilizar ferramentas de acompanhamento meteorológico para o planejamento de atividades ao ar livre.</t>
  </si>
  <si>
    <t>Desenvolver iniciativas ou projetos sobre mudanças climáticas e soluções sustentáveis.</t>
  </si>
  <si>
    <t>Organizar, com sua patrulha, uma atividade ecológica em área urbana, identificando problemas ambientais da localidade e apontando suas causas e possíveis soluções.</t>
  </si>
  <si>
    <t>Participar de clubes ou projetos voltados para sustentabilidade e mudanças climáticas.</t>
  </si>
  <si>
    <t>Utilizar e promover o uso do transporte coletivo, bicicleta ou caminhada em uma atividade escoteira, e utilizar um meio de transporte alternativo de fonte de energia renovável.</t>
  </si>
  <si>
    <t>Planejar e executar, em patrulha ou equipe de interesse, um projeto comunitário de reaproveitamento de recursos naturais ou uso de energias renováveis.</t>
  </si>
  <si>
    <t>Sustentabilidade</t>
  </si>
  <si>
    <t>Escoteiro pela Energia Solar.</t>
  </si>
  <si>
    <t>Preservação da Biodiversidade</t>
  </si>
  <si>
    <t>Identificar os impactos das ações humanas na biodiversidade e atuar para proteger os ecossistemas, promovendo a preservação da fauna e flora.</t>
  </si>
  <si>
    <t>Participar de uma atividade em uma Área de Proteção Ambiental, reconhecendo fauna, flora e bioma local, identificando riscos e propondo soluções para preservação.</t>
  </si>
  <si>
    <t>Realizar DUAS Ações dentre as listadas a seguir:</t>
  </si>
  <si>
    <t>Participar de eventos sobre preservação da biodiversidade organizados por ONGs, escolas ou parques naturais.</t>
  </si>
  <si>
    <t>Colaborar em um projeto ou ação promovido por alguma ONG ambiental.</t>
  </si>
  <si>
    <t>Coletar e registrar dados sobre espécies locais, qualidade da água ou vegetação.</t>
  </si>
  <si>
    <t>Organizar um projeto individual ou coletivo sobre abrigos de animais silvestres, enriquecimento ambiental, reintegração de animais ou outra iniciativa de preservação da fauna.</t>
  </si>
  <si>
    <t>Organizar o plantio de árvores nativas em parceria com órgãos ambientais ou ONGs.</t>
  </si>
  <si>
    <t>Conduzir uma campanha de conscientização sobre preservação da fauna e flora em praças, escolas ou redes sociais da comunidade.</t>
  </si>
  <si>
    <t>Promover palestras ou oficinas abertas à comunidade sobre redução de impactos ambientais e proteção da biodiversidade.</t>
  </si>
  <si>
    <t>Natureza; Ciências Naturais; Educação Ambiental.</t>
  </si>
  <si>
    <t>Campeões da Natureza.</t>
  </si>
  <si>
    <t>Vida ao Ar Livre</t>
  </si>
  <si>
    <t>Aproveitar ao máximo as atividades ao ar livre e sua conexão com a natureza, sempre cuidando do ambiente e reduzindo seu impacto sobre ele.</t>
  </si>
  <si>
    <t>Montar o campo de patrulha com pioneirias como mesa, canto do lenhador e pórtico, utilizando amarras adequadas.</t>
  </si>
  <si>
    <t>Aplicar os seguintes nós: direito, correr, lais de guia, volta do fiel, nó em oito, balso pelo seio, catau, volta do salvador e boca de lobo durante um acampamento de tropa ou patrulha, conhecendo suas funcionalidades.</t>
  </si>
  <si>
    <t>Escolher corretamente o local para montagem da barraca, incluindo técnicas de montagem, desmontagem e acondicionamento durante um acampamento de tropa ou patrulha.</t>
  </si>
  <si>
    <t>Manusear corretamente ferramentas de corte e sapa, zelando pela segurança e realizando reparos durante um acampamento de tropa ou patrulha.</t>
  </si>
  <si>
    <t>Preparar e executar pelo menos três tipos de fogueiras, utilizando-as para preparar uma refeição mateira e zelando pela segurança, em um acampamento de tropa ou patrulha.</t>
  </si>
  <si>
    <t>Planejar e realizar ao menos uma excursão de patrulha em ambiente natural.</t>
  </si>
  <si>
    <t>Planejar e realizar ao menos um acampamento de patrulha com técnicas de campismo de baixo impacto.</t>
  </si>
  <si>
    <t>Em atividade ao ar livre, orientar-se utilizando carta topográfica ou náutica e bússola, e utilizar métodos naturais e tecnológicos de orientação.</t>
  </si>
  <si>
    <t>Esportes de Aventura; Ecoturismo; Habilidades Escoteiras.</t>
  </si>
  <si>
    <t>Realizar CINCO Ações dentre as listadas a seguir:</t>
  </si>
  <si>
    <t>Participar de um acampamento volante.</t>
  </si>
  <si>
    <t>Selecionar corretamente os materiais de campo para um acampamento de patrulha.</t>
  </si>
  <si>
    <t>Em conjunto com a sua patrulha, planejar e construir pelo menos uma das seguintes pioneirias: barraca suspensa, torre de observação ou ponte.</t>
  </si>
  <si>
    <t>Demonstrar conhecimento sobre processos de ancoragem e estiramento de cabos.</t>
  </si>
  <si>
    <t>Utilizar diferentes formas de acondicionamento de alimentos e técnicas de purificação de água em um acampamento.</t>
  </si>
  <si>
    <t>Durante um acampamento de patrulha ou tropa, pernoitar em um abrigo natural.</t>
  </si>
  <si>
    <t>Durante uma atividade aventureira, pernoitar uma noite em bivaque, abrigo natural ou ao relento.</t>
  </si>
  <si>
    <t>Participar de atividades como rafting, canoagem, rapel, espeleologia, escalada, trekking ou mountain bike.</t>
  </si>
  <si>
    <t>Participar de atividades aquáticas de exploração de corpos d’água naturais, respeitando os padrões de segurança.</t>
  </si>
  <si>
    <t>Participar de um acampamento organizado pela patrulha ou tropa de média duração (3 a 5 dias) ou longa duração (6 a 10 dias).</t>
  </si>
  <si>
    <t>Comunidade</t>
  </si>
  <si>
    <t>Planejar e coordenar projetos que geram impacto positivo na comunidade, dialogando com outras instituições, e promover ações concretas para o bem comum.</t>
  </si>
  <si>
    <t>Participar, sozinho, em patrulha ou equipe, de pelo menos 10 horas de ação comunitária com outras instituições locais.</t>
  </si>
  <si>
    <t>Capacitar-se em curso promovido por entidades de referência (defesa civil, cruz vermelha, corpo de bombeiros etc.) e estar preparado para atuar em crises humanitárias.</t>
  </si>
  <si>
    <t>Identificar os riscos de desastres naturais na comunidade, conhecer protocolos de segurança e atuar de acordo com eles.</t>
  </si>
  <si>
    <t>Planejar uma atividade comunitária, como limpeza de praça, visita a uma instituição sem fins lucrativos ou revitalização de uma creche infantil ou lar de repouso de idosos.</t>
  </si>
  <si>
    <t>Criar uma biblioteca comunitária móvel com livros doados.</t>
  </si>
  <si>
    <t>Organizar uma campanha de arrecadação (alimentos, roupas, livros) envolvendo diferentes setores da comunidade.</t>
  </si>
  <si>
    <t>Representar a tropa em fóruns, conselhos ou encontros comunitários, contribuindo com ideias e propostas.</t>
  </si>
  <si>
    <t>Promover ações de educação ambiental, saúde ou cidadania em parceria com outras instituições.</t>
  </si>
  <si>
    <t>Desenvolvimento Comunitário, Ações Humanitárias, Inclusão e acessibilidade.</t>
  </si>
  <si>
    <t>Insígnia do Desafio Comunitário, Mensageiro da Paz, Escoteiros do Mundo.</t>
  </si>
  <si>
    <t>Democracia</t>
  </si>
  <si>
    <t>Participar ativamente da democracia, engajando-se em debates, contribuindo na tomada de decisões e ajudando a construir soluções coletivas para desafios sociais.</t>
  </si>
  <si>
    <t>Participar ativamente das decisões do Conselho de Patrulha, contribuindo com ideias, votando e assumindo responsabilidades, respeitando os resultados.</t>
  </si>
  <si>
    <t>Participar ativamente das decisões da Assembleia de Tropa, contribuindo com ideias, votando e assumindo responsabilidades, respeitando os resultados.</t>
  </si>
  <si>
    <t>Participar da eleição do monitor da patrulha e das decisões dos encargos, respeitando os resultados.</t>
  </si>
  <si>
    <t>Participar de Audiência Pública ou consultas populares de temas de seu interesse promovidas pelo poder legislativo.</t>
  </si>
  <si>
    <t>Emitir o título de eleitor, compreendendo a importância dos processos democráticos do país e, em ano eleitoral, pesquisar sobre os candidatos e suas propostas.</t>
  </si>
  <si>
    <t>Planejar e executar uma campanha para educar outros jovens sobre temas como voto consciente e direitos do cidadão.</t>
  </si>
  <si>
    <t>Participar de ao menos uma Assembleia do Grupo Escoteiro.</t>
  </si>
  <si>
    <t>Participar ativamente do Fórum de Grupo Escoteiro.</t>
  </si>
  <si>
    <t>Participar de grêmio estudantil ou conferências de juventude.</t>
  </si>
  <si>
    <t>Participar de pelo menos uma atividade da seção, como debates, estudos de caso ou júri simulado, de forma respeitosa e contributiva.</t>
  </si>
  <si>
    <t>Participar de dinâmicas de mediação de conflitos, praticando a escuta ativa e construção de consensos.</t>
  </si>
  <si>
    <t>Equidade, Políticas Públicas.</t>
  </si>
  <si>
    <t>Herança Cultural</t>
  </si>
  <si>
    <t>Compartilhar a herança cultural de sua comunidade e do seu país, organizando atividades e projetos que valorizem a história, os costumes e os saberes ancestrais dos povos originários brasileiros.</t>
  </si>
  <si>
    <t>Conduzir a cerimônia de abertura de uma atividade de patrulha ou tropa.</t>
  </si>
  <si>
    <t>Organizar com sua patrulha uma expedição que promova o contato com culturas como povos originários, comunidades quilombolas ou comunidades ribeirinhas ou caiçaras.</t>
  </si>
  <si>
    <t>Abordar língua, costumes, festividades e tradições, e debater formas de valorizar e preservar essas culturas.</t>
  </si>
  <si>
    <t>Organizar a recepção de membros do Movimento Escoteiro de outras localidades e apresentá-los aos principais pontos históricos e turísticos de seu município.</t>
  </si>
  <si>
    <t>Fazer tour em sua cidade, explorando pontos históricos e culturais como centro cultural, biblioteca pública, mercado municipal, feiras típicas, museus e marcos históricos.</t>
  </si>
  <si>
    <t>Identificar os núcleos culturais de sua região e participar de atividades com eles.</t>
  </si>
  <si>
    <t>Apresentar uma forma de expressão artística da cultura popular brasileira em um Fogo de Conselho.</t>
  </si>
  <si>
    <t>Promover um festival com música, poesia, dança e literatura típicas de uma região para seu grupo escoteiro ou comunidade.</t>
  </si>
  <si>
    <t>Produzir, com sua patrulha, uma peça para uso cotidiano, utilizando técnicas de artesanato brasileiro.</t>
  </si>
  <si>
    <t>Apresentar a cultura da sua cidade em um evento regional, nacional ou internacional.</t>
  </si>
  <si>
    <t>Cultura e Arte.</t>
  </si>
  <si>
    <t>Promoção da Paz</t>
  </si>
  <si>
    <t>Desenvolver projetos que promovem a paz, o respeito à diversidade, o diálogo entre diferentes culturas e crenças, reconhecendo e valorizando a pluralidade da humanidade.</t>
  </si>
  <si>
    <t>Participar de uma ação colaborativa sobre diferentes temas que envolvem a cultura da paz, tais como direitos humanos, diálogo inter-religioso, refugiados e imigrantes, diversidades e inclusão.</t>
  </si>
  <si>
    <t>Organizar uma mesa redonda para outros jovens da comunidade sobre temas como idolatria, torcidas organizadas, tribos urbanas, intolerância religiosa ou xenofobia.</t>
  </si>
  <si>
    <t>Participar de atividades que promovam a paz e a compreensão entre as pessoas.</t>
  </si>
  <si>
    <t>Participar com a patrulha ou equipe de interesse de uma atividade inter-religiosa, conhecendo diferentes tradições de fé, dialogando sobre valores comuns e refletindo sobre diversidade espiritual.</t>
  </si>
  <si>
    <t>Participar de uma simulação das Nações Unidas, representando diferentes países e debatendo questões globais como direitos humanos, igualdade de gênero, crise dos refugiados ou proteção ambiental.</t>
  </si>
  <si>
    <t>Organizar e realizar uma atividade com outra unidade escoteira e refletir o significado da fraternidade mundial escoteira.</t>
  </si>
  <si>
    <t>Organizar um jantar internacional com sua patrulha ou equipe de interesse, apresentando culinária, trajes, músicas e informações sobre o Escotismo de diferentes países.</t>
  </si>
  <si>
    <t>Participar de atividades, jogos ou ações que promovam a solidariedade com grupos de jovens na comunidade.</t>
  </si>
  <si>
    <t>Desenvolver um momento inter-religioso na sua seção, grupo escoteiro ou comunidade.</t>
  </si>
  <si>
    <t>Direitos Humanos, Diversidades.</t>
  </si>
  <si>
    <t>Insígnia da Lusofonia, Insígnia do Cone Sul, Diálogos pela Paz.</t>
  </si>
  <si>
    <t>Valores</t>
  </si>
  <si>
    <t>Alinhar suas atitudes aos seus valores pessoais e aos princípios do Movimento Escoteiro, vivendo a Promessa e a Lei Escoteira de forma consciente e coerente.</t>
  </si>
  <si>
    <t>Avaliar com seus pares a vivência da Promessa e da Lei Escoteira e realizar o Compromisso Sênior.</t>
  </si>
  <si>
    <t>Participar da avaliação da sua Progressão Pessoal e dos companheiros em patrulha.</t>
  </si>
  <si>
    <t>Explicar o significado da Lei e da Promessa Escoteiras aos novos membros da patrulha.</t>
  </si>
  <si>
    <t>Auxiliar um companheiro de patrulha a realizar seu Compromisso Sênior.</t>
  </si>
  <si>
    <t>Participar de um debate de casos reais de notícias ou situações sociais, analisando-os à luz dos valores escoteiros.</t>
  </si>
  <si>
    <t>Cuidado com o Corpo</t>
  </si>
  <si>
    <t>Reconhecer e valorizar suas habilidades físicas, se desafiar a superar limitações e cuidar da própria saúde com respeito ao seu corpo. Valorizar e respeitar a diversidade humana.</t>
  </si>
  <si>
    <t>Capacitar-se para atuar nas situações de primeiros socorros indicadas abaixo: atendimento a pequenos cortes, contusões e escoriações; avaliação dos limites de pressão arterial, pulso e temperatura corporal; cuidados em casos de queimaduras, insolação, hipotermia e desidratação; atendimento a picadas de animais peçonhentos; reconhecimento e manejo de hemorragias externas e internas; imobilização de fraturas, entorses, controle cervical e traumatismo craniano; atendimento a crises convulsivas, estados de choque e casos de intoxicação ou envenenamento; reconhecimento de sinais de infarto ou AVC e acionamento imediato do resgate; atendimento a engasgos e a choque elétrico; aplicação de técnicas de reanimação cardiopulmonar (RCP); execução correta de bandagens, tipóias e técnicas de transporte de feridos; uso adequado do kit de primeiros socorros em atividades ao ar livre; acionamento correto dos serviços de emergência (SAMU, bombeiros e polícia).</t>
  </si>
  <si>
    <t>Nas atividades da patrulha ou tropa, identificar condutas que possam colocar em risco a saúde física e mental, compartilhando medidas com os companheiros para mitigar esses riscos.</t>
  </si>
  <si>
    <t>Experimentar atividades físicas ou modalidades esportivas diversas (coletivas, individuais ou adaptadas) e refletir sobre a experiência.</t>
  </si>
  <si>
    <t>Pesquisar sobre saúde física e mental na juventude e apresentar propostas para a tropa melhorar seus hábitos.</t>
  </si>
  <si>
    <t>Conduzir oficinas ou jogos inclusivos que valorizem a diversidade de habilidades físicas do grupo.</t>
  </si>
  <si>
    <t>Participar de um workshop, palestra ou atividade que trate dos perigos do uso de anabolizantes, drogas, álcool, tabaco ou cigarros eletrônicos.</t>
  </si>
  <si>
    <t>Organizar o material de primeiros socorros da patrulha para diferentes atividades.</t>
  </si>
  <si>
    <t>Participar de workshop ou outra atividade relacionada à prevenção das Infecções Sexualmente Transmissíveis (IST).</t>
  </si>
  <si>
    <t>Saúde.</t>
  </si>
  <si>
    <t>Espiritualidade</t>
  </si>
  <si>
    <t>Refletir sobre o sentido da vida, encontrando inspiração na natureza, na solidariedade e na diversidade espiritual da sua comunidade. Buscar viver de acordo com seus valores, alinhando suas crenças às suas ações diárias.</t>
  </si>
  <si>
    <t>Conduzir momentos de silêncio, oração ou meditação em atividades da tropa, valorizando a diversidade espiritual.</t>
  </si>
  <si>
    <t>Participar de projetos e atividades que permitam conhecer, atuar e dialogar com jovens de diferentes opções de fé e crenças.</t>
  </si>
  <si>
    <t>Colaborar em celebrações religiosas ou outras expressões de fé e espiritualidade de sua comunidade.</t>
  </si>
  <si>
    <t>Organizar um momento de reflexão e conexão com um ambiente natural em que se possa apreciar a beleza do mundo e cultivar um relacionamento harmônico com ele.</t>
  </si>
  <si>
    <t>Diálogo inter-religioso.</t>
  </si>
  <si>
    <t>Hábitos Saudáveis</t>
  </si>
  <si>
    <t>Cuidar do próprio bem-estar adotando hábitos saudáveis, praticando atividades físicas, mantendo uma alimentação equilibrada e garantindo a higiene pessoal e a organização do ambiente onde vive.</t>
  </si>
  <si>
    <t>Planejar um cardápio de acampamento para a patrulha ou equipe de interesse, priorizando alimentação sustentável, com mínimo uso de produtos industrializados e redução de resíduos, e avaliar após a atividade se os objetivos foram atingidos.</t>
  </si>
  <si>
    <t>Praticar atividades físicas regularmente.</t>
  </si>
  <si>
    <t>Manter o canto da patrulha limpo e organizado, colaborando também com a limpeza da sede.</t>
  </si>
  <si>
    <t>Planejar e realizar um almoço ou jantar equilibrado e saudável para a patrulha, elaborando o cardápio, organizando a lista de compras, preparando os alimentos e fazendo a avaliação posterior.</t>
  </si>
  <si>
    <t>Praticar atividades como meditação, yoga ou técnicas de relaxamento na natureza.</t>
  </si>
  <si>
    <t>Elaborar um plano pessoal de hábitos saudáveis e avaliar seu cumprimento ao longo do ciclo.</t>
  </si>
  <si>
    <t>Demonstrar manter a rotina de cuidado com seu ambiente doméstico, com autonomia e cooperação nas responsabilidades da casa.</t>
  </si>
  <si>
    <t>Esportes; Educação alimentar e nutricional.</t>
  </si>
  <si>
    <t>Saúde Mental</t>
  </si>
  <si>
    <t>Cultivar hábitos que promovam a saúde mental, aprender a lidar com desafios e aplicar práticas que favorecem um ambiente positivo e acolhedor para si e para aqueles ao seu redor.</t>
  </si>
  <si>
    <t>Buscar informações e conhecimentos sobre os Espaços Seguros no Movimento Escoteiro e promover seus conceitos em todas as atividades.</t>
  </si>
  <si>
    <t>Reconhecer sinais de estresse, ansiedade ou tristeza em colegas e praticar técnicas básicas de primeiros socorros em saúde mental, como escuta ativa, apoio inicial e encaminhamento para ajuda adequada.</t>
  </si>
  <si>
    <t>Realizar, com sua patrulha ou equipe de interesse, uma campanha relacionada à temática de saúde mental.</t>
  </si>
  <si>
    <t>Desenvolver hábitos e atividades para aliviar a tensão do dia a dia, proporcionando momentos de bem-estar e equilíbrio.</t>
  </si>
  <si>
    <t>Convidar profissionais da área de saúde ou saúde mental para falar sobre o assunto na tropa.</t>
  </si>
  <si>
    <t>Organizar sua rotina de atividades mensais, considerando a importância do equilíbrio entre atividades do mundo digital e real.</t>
  </si>
  <si>
    <t>Utilizar técnicas ou espaços para autoexpressão e contato com suas emoções e pensamentos.</t>
  </si>
  <si>
    <t>Saúde Mental e Bem-Estar Emocional; Hobbies e Lazer.</t>
  </si>
  <si>
    <t>Vínculos Saudáveis</t>
  </si>
  <si>
    <t>Construir relações saudáveis e empáticas, criando laços baseados no respeito, na compreensão mútua e no bem-estar coletivo.</t>
  </si>
  <si>
    <t>Identificar e discutir com sua patrulha ou equipe de interesse as manifestações de bullying e cyberbullying ao seu redor, elaborando e implementando estratégias para prevenir e combater essas situações.</t>
  </si>
  <si>
    <t>Promover um encontro social que reúna jovens de diferentes realidades e contextos, criando um ambiente de convivência, troca de experiências e respeito à diversidade.</t>
  </si>
  <si>
    <t>Realizar uma roda de conversa para debater temas como confiança, respeito e equilíbrio nas relações.</t>
  </si>
  <si>
    <t>Engajar-se em uma equipe de interesse para planejar e executar projetos ou conquistar especialidades, fortalecendo a colaboração e a construção de vínculos positivos no grupo.</t>
  </si>
  <si>
    <t>Promover reuniões regulares na patrulha que incluam espaços de escuta e apoio.</t>
  </si>
  <si>
    <t>Assumir responsabilidades no ambiente familiar, contribuindo de forma constante com tarefas do dia a dia.</t>
  </si>
  <si>
    <t>Convidar um colega da mesma faixa etária para participar de um Fogo de Conselho, integrado à sua patrulha e com o devido Registro de Visitante.</t>
  </si>
  <si>
    <t>Saúde sexual e reprodutiva.</t>
  </si>
  <si>
    <t>Intelectual: I33, I35, I38
Caráter: C41, C42, C45, C46</t>
  </si>
  <si>
    <t>Atividades do Programa Anterior que podem complementar as atividades variáveis</t>
  </si>
  <si>
    <t>Intelectual</t>
  </si>
  <si>
    <t>Intelectual: I36</t>
  </si>
  <si>
    <t>Afetivo: A47, A48, A49</t>
  </si>
  <si>
    <t>Reduzir, reciclar, reutilizar</t>
  </si>
  <si>
    <t>Social: S66, S67</t>
  </si>
  <si>
    <t>Espiritual: E68, E69</t>
  </si>
  <si>
    <t>Físico: F21,F22,F23,F24,F25,F26, F27,F28, F29, F30, F31, F32</t>
  </si>
  <si>
    <t>Afetivo: A51, A53, A53
Social: S61</t>
  </si>
  <si>
    <t>Social: S58, S59, S60</t>
  </si>
  <si>
    <t>Social: S62, S63</t>
  </si>
  <si>
    <t>Afetivo: A57
Social: S64, S65
Espiritual: E74, E75</t>
  </si>
  <si>
    <t>Caráter: C39, C40, C43</t>
  </si>
  <si>
    <t>Físico: F1, F2,F3, F4, ,F5, F6, F5, F8, F9, F10</t>
  </si>
  <si>
    <t>Espiritual: E70, E71, E72, E73</t>
  </si>
  <si>
    <t>F11, F12, F13, F14, F15, F16, F17, F18, F19</t>
  </si>
  <si>
    <t>Físico: F20
Intelectual: I37
Caráter: C44</t>
  </si>
  <si>
    <t>Afetivo: A50, A54, A55, A56</t>
  </si>
  <si>
    <t>FIXAS</t>
  </si>
  <si>
    <t>VARIÁVEIS</t>
  </si>
  <si>
    <t>Incompleto</t>
  </si>
  <si>
    <t>PROGRESSÃO PESSOAL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</si>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</sst>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2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vertical="center"/>
    </xf>
    <xf numFmtId="0" fontId="0" fillId="4" borderId="0" xfId="0" applyFill="1"/>
    <xf numFmtId="0" fontId="1" fillId="4" borderId="0" xfId="0" applyFont="1" applyFill="1"/>
    <xf numFmtId="0" fontId="2" fillId="5" borderId="0" xfId="0" applyFont="1" applyFill="1" applyAlignment="1">
      <alignment vertical="center"/>
    </xf>
    <xf numFmtId="0" fontId="0" fillId="5" borderId="0" xfId="0" applyFill="1"/>
    <xf numFmtId="0" fontId="1" fillId="5" borderId="0" xfId="0" applyFont="1" applyFill="1"/>
    <xf numFmtId="0" fontId="0" fillId="0" borderId="0" xfId="0" applyAlignment="1">
      <alignment wrapText="1"/>
    </xf>
    <xf numFmtId="0" fontId="1" fillId="6" borderId="0" xfId="0" applyFont="1" applyFill="1"/>
    <xf numFmtId="0" fontId="0" fillId="6" borderId="0" xfId="0" applyFill="1"/>
    <xf numFmtId="0" fontId="5" fillId="5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0" borderId="0" xfId="0" applyFont="1" applyAlignment="1">
      <alignment vertical="center" textRotation="90" wrapText="1"/>
    </xf>
    <xf numFmtId="0" fontId="0" fillId="0" borderId="0" xfId="0" applyAlignment="1">
      <alignment vertical="center" textRotation="90" wrapText="1"/>
    </xf>
    <xf numFmtId="0" fontId="3" fillId="0" borderId="0" xfId="0" applyFont="1"/>
    <xf numFmtId="0" fontId="5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0" fillId="7" borderId="0" xfId="0" applyFill="1"/>
    <xf numFmtId="0" fontId="1" fillId="7" borderId="0" xfId="0" applyFont="1" applyFill="1"/>
    <xf numFmtId="0" fontId="1" fillId="0" borderId="0" xfId="0" applyFont="1" applyAlignment="1">
      <alignment wrapText="1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9" fontId="0" fillId="0" borderId="0" xfId="1" applyFont="1"/>
    <xf numFmtId="0" fontId="5" fillId="12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5" borderId="0" xfId="0" applyFont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5" borderId="0" xfId="0" applyFont="1" applyFill="1" applyAlignment="1">
      <alignment horizontal="center" vertical="center" textRotation="90" wrapText="1"/>
    </xf>
    <xf numFmtId="0" fontId="0" fillId="5" borderId="0" xfId="0" applyFill="1" applyAlignment="1">
      <alignment horizontal="center" vertical="center" textRotation="90" wrapText="1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 textRotation="90" wrapText="1"/>
    </xf>
    <xf numFmtId="0" fontId="0" fillId="4" borderId="0" xfId="0" applyFill="1" applyAlignment="1">
      <alignment horizontal="center" vertical="center" textRotation="90" wrapText="1"/>
    </xf>
    <xf numFmtId="0" fontId="1" fillId="8" borderId="0" xfId="0" applyFont="1" applyFill="1" applyAlignment="1">
      <alignment horizontal="center" wrapText="1"/>
    </xf>
    <xf numFmtId="0" fontId="0" fillId="7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 vertical="center" textRotation="90" wrapText="1"/>
    </xf>
    <xf numFmtId="0" fontId="0" fillId="7" borderId="0" xfId="0" applyFill="1" applyAlignment="1">
      <alignment horizontal="center" vertical="center" textRotation="90" wrapText="1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textRotation="90" wrapText="1"/>
    </xf>
    <xf numFmtId="0" fontId="0" fillId="2" borderId="0" xfId="0" applyFill="1" applyAlignment="1">
      <alignment horizontal="center" vertical="center" textRotation="90" wrapText="1"/>
    </xf>
  </cellXfs>
  <cellStyles count="2">
    <cellStyle name="Normal" xfId="0" builtinId="0"/>
    <cellStyle name="Porcentagem" xfId="1" builtinId="5"/>
  </cellStyles>
  <dxfs count="16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990000"/>
      <color rgb="FFFFCC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622E-3F2E-4659-B219-E407C843C9DD}">
  <sheetPr codeName="Planilha1">
    <tabColor rgb="FFFF6699"/>
  </sheetPr>
  <dimension ref="A1:N56"/>
  <sheetViews>
    <sheetView topLeftCell="A28" workbookViewId="0">
      <selection activeCell="I47" sqref="I47"/>
    </sheetView>
  </sheetViews>
  <sheetFormatPr defaultRowHeight="15" x14ac:dyDescent="0.2"/>
  <cols>
    <col min="2" max="2" width="14.66015625" style="7" customWidth="1"/>
    <col min="3" max="3" width="59.0546875" customWidth="1"/>
    <col min="4" max="4" width="18.5625" style="1" customWidth="1"/>
    <col min="5" max="5" width="13.1796875" customWidth="1"/>
    <col min="6" max="9" width="13.31640625" bestFit="1" customWidth="1"/>
  </cols>
  <sheetData>
    <row r="1" spans="1:14" ht="76.5" customHeight="1" x14ac:dyDescent="0.2">
      <c r="A1" s="45"/>
      <c r="B1" s="45"/>
      <c r="C1" s="17" t="s">
        <v>6</v>
      </c>
      <c r="D1" s="11"/>
      <c r="E1" s="12"/>
      <c r="F1" s="12"/>
      <c r="G1" s="12"/>
      <c r="H1" s="12"/>
      <c r="I1" s="12"/>
    </row>
    <row r="2" spans="1:14" ht="15" customHeight="1" x14ac:dyDescent="0.2">
      <c r="A2" s="46" t="s">
        <v>0</v>
      </c>
      <c r="B2" s="46"/>
      <c r="C2" s="13" t="s">
        <v>1</v>
      </c>
      <c r="D2" s="13" t="s">
        <v>2</v>
      </c>
      <c r="E2" s="13" t="s">
        <v>246</v>
      </c>
      <c r="F2" s="13" t="s">
        <v>246</v>
      </c>
      <c r="G2" s="13" t="s">
        <v>246</v>
      </c>
      <c r="H2" s="13" t="s">
        <v>246</v>
      </c>
      <c r="I2" s="13" t="s">
        <v>246</v>
      </c>
      <c r="L2" s="27"/>
      <c r="M2" s="27"/>
      <c r="N2" s="27"/>
    </row>
    <row r="3" spans="1:14" x14ac:dyDescent="0.2">
      <c r="A3" s="43" t="s">
        <v>12</v>
      </c>
      <c r="B3" s="44" t="s">
        <v>13</v>
      </c>
      <c r="C3" s="4" t="s">
        <v>3</v>
      </c>
      <c r="D3" s="4"/>
      <c r="E3" s="5"/>
      <c r="F3" s="5"/>
      <c r="G3" s="5"/>
      <c r="H3" s="5"/>
      <c r="I3" s="5"/>
      <c r="L3" s="27"/>
      <c r="M3" s="27"/>
      <c r="N3" s="27"/>
    </row>
    <row r="4" spans="1:14" ht="27.75" x14ac:dyDescent="0.2">
      <c r="A4" s="43"/>
      <c r="B4" s="44"/>
      <c r="C4" s="14" t="s">
        <v>14</v>
      </c>
      <c r="D4" s="1" t="s">
        <v>7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</row>
    <row r="5" spans="1:14" x14ac:dyDescent="0.2">
      <c r="A5" s="43"/>
      <c r="B5" s="44"/>
      <c r="C5" s="4" t="s">
        <v>33</v>
      </c>
      <c r="D5" s="4"/>
      <c r="E5" s="5"/>
      <c r="F5" s="5"/>
      <c r="G5" s="5"/>
      <c r="H5" s="5"/>
      <c r="I5" s="5"/>
    </row>
    <row r="6" spans="1:14" ht="59.25" customHeight="1" x14ac:dyDescent="0.2">
      <c r="A6" s="43"/>
      <c r="B6" s="44"/>
      <c r="C6" s="14" t="s">
        <v>15</v>
      </c>
      <c r="D6" s="1" t="s">
        <v>8</v>
      </c>
      <c r="E6" s="14" t="s">
        <v>58</v>
      </c>
      <c r="F6" s="14" t="s">
        <v>58</v>
      </c>
      <c r="G6" s="14" t="s">
        <v>58</v>
      </c>
      <c r="H6" s="14" t="s">
        <v>58</v>
      </c>
      <c r="I6" s="14" t="s">
        <v>58</v>
      </c>
      <c r="L6" s="40" t="s">
        <v>224</v>
      </c>
      <c r="M6" s="40"/>
      <c r="N6" s="40"/>
    </row>
    <row r="7" spans="1:14" ht="41.25" x14ac:dyDescent="0.2">
      <c r="A7" s="43"/>
      <c r="B7" s="44"/>
      <c r="C7" s="14" t="s">
        <v>16</v>
      </c>
      <c r="D7" s="1" t="s">
        <v>8</v>
      </c>
      <c r="E7" s="14" t="s">
        <v>58</v>
      </c>
      <c r="F7" s="14" t="s">
        <v>58</v>
      </c>
      <c r="G7" s="14" t="s">
        <v>58</v>
      </c>
      <c r="H7" s="14" t="s">
        <v>58</v>
      </c>
      <c r="I7" s="14" t="s">
        <v>58</v>
      </c>
      <c r="L7" s="41" t="s">
        <v>223</v>
      </c>
      <c r="M7" s="42"/>
      <c r="N7" s="42"/>
    </row>
    <row r="8" spans="1:14" ht="27.75" x14ac:dyDescent="0.2">
      <c r="A8" s="43"/>
      <c r="B8" s="44"/>
      <c r="C8" s="14" t="s">
        <v>17</v>
      </c>
      <c r="D8" s="1" t="s">
        <v>8</v>
      </c>
      <c r="E8" s="14" t="s">
        <v>58</v>
      </c>
      <c r="F8" s="14" t="s">
        <v>58</v>
      </c>
      <c r="G8" s="14" t="s">
        <v>58</v>
      </c>
      <c r="H8" s="14" t="s">
        <v>58</v>
      </c>
      <c r="I8" s="14" t="s">
        <v>58</v>
      </c>
      <c r="L8" s="42"/>
      <c r="M8" s="42"/>
      <c r="N8" s="42"/>
    </row>
    <row r="9" spans="1:14" ht="27.75" x14ac:dyDescent="0.2">
      <c r="A9" s="43"/>
      <c r="B9" s="44"/>
      <c r="C9" s="14" t="s">
        <v>18</v>
      </c>
      <c r="D9" s="1" t="s">
        <v>8</v>
      </c>
      <c r="E9" s="14" t="s">
        <v>58</v>
      </c>
      <c r="F9" s="14" t="s">
        <v>58</v>
      </c>
      <c r="G9" s="14" t="s">
        <v>58</v>
      </c>
      <c r="H9" s="14" t="s">
        <v>58</v>
      </c>
      <c r="I9" s="14" t="s">
        <v>58</v>
      </c>
      <c r="L9" s="42"/>
      <c r="M9" s="42"/>
      <c r="N9" s="42"/>
    </row>
    <row r="10" spans="1:14" ht="27.75" x14ac:dyDescent="0.2">
      <c r="A10" s="43"/>
      <c r="B10" s="44"/>
      <c r="C10" s="14" t="s">
        <v>19</v>
      </c>
      <c r="D10" s="1" t="s">
        <v>8</v>
      </c>
      <c r="E10" s="14" t="s">
        <v>58</v>
      </c>
      <c r="F10" s="14" t="s">
        <v>58</v>
      </c>
      <c r="G10" s="14" t="s">
        <v>58</v>
      </c>
      <c r="H10" s="14" t="s">
        <v>58</v>
      </c>
      <c r="I10" s="14" t="s">
        <v>58</v>
      </c>
    </row>
    <row r="11" spans="1:14" ht="41.25" x14ac:dyDescent="0.2">
      <c r="A11" s="43"/>
      <c r="B11" s="44"/>
      <c r="C11" s="14" t="s">
        <v>20</v>
      </c>
      <c r="D11" s="1" t="s">
        <v>8</v>
      </c>
      <c r="E11" s="14" t="s">
        <v>58</v>
      </c>
      <c r="F11" s="14" t="s">
        <v>58</v>
      </c>
      <c r="G11" s="14" t="s">
        <v>58</v>
      </c>
      <c r="H11" s="14" t="s">
        <v>58</v>
      </c>
      <c r="I11" s="14" t="s">
        <v>58</v>
      </c>
    </row>
    <row r="12" spans="1:14" x14ac:dyDescent="0.2">
      <c r="A12" s="43"/>
      <c r="B12" s="44"/>
      <c r="C12" s="4" t="s">
        <v>4</v>
      </c>
      <c r="D12" s="4"/>
      <c r="E12" s="5"/>
      <c r="F12" s="5"/>
      <c r="G12" s="5"/>
      <c r="H12" s="5"/>
      <c r="I12" s="5"/>
    </row>
    <row r="13" spans="1:14" ht="18.75" customHeight="1" x14ac:dyDescent="0.2">
      <c r="A13" s="43"/>
      <c r="B13" s="44"/>
      <c r="C13" s="14" t="s">
        <v>21</v>
      </c>
      <c r="D13" s="1" t="s">
        <v>57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</row>
    <row r="14" spans="1:14" x14ac:dyDescent="0.2">
      <c r="A14" s="43"/>
      <c r="B14" s="44"/>
      <c r="C14" s="15" t="s">
        <v>5</v>
      </c>
      <c r="D14" s="15"/>
      <c r="E14" s="16"/>
      <c r="F14" s="16"/>
      <c r="G14" s="16"/>
      <c r="H14" s="16"/>
      <c r="I14" s="16"/>
    </row>
    <row r="15" spans="1:14" ht="15" customHeight="1" x14ac:dyDescent="0.2">
      <c r="A15" s="43"/>
      <c r="B15" s="44"/>
      <c r="C15" s="14" t="s">
        <v>22</v>
      </c>
      <c r="D15" s="1" t="s">
        <v>57</v>
      </c>
      <c r="E15" t="s">
        <v>59</v>
      </c>
      <c r="F15" t="s">
        <v>59</v>
      </c>
      <c r="G15" t="s">
        <v>59</v>
      </c>
      <c r="H15" t="s">
        <v>59</v>
      </c>
      <c r="I15" t="s">
        <v>59</v>
      </c>
    </row>
    <row r="17" spans="1:14" x14ac:dyDescent="0.2">
      <c r="A17" s="46" t="s">
        <v>0</v>
      </c>
      <c r="B17" s="46"/>
      <c r="C17" s="13" t="s">
        <v>1</v>
      </c>
      <c r="D17" s="13" t="s">
        <v>2</v>
      </c>
      <c r="E17" s="13" t="s">
        <v>246</v>
      </c>
      <c r="F17" s="13" t="s">
        <v>246</v>
      </c>
      <c r="G17" s="13" t="s">
        <v>246</v>
      </c>
      <c r="H17" s="13" t="s">
        <v>246</v>
      </c>
      <c r="I17" s="13" t="s">
        <v>246</v>
      </c>
    </row>
    <row r="18" spans="1:14" x14ac:dyDescent="0.2">
      <c r="A18" s="43" t="s">
        <v>23</v>
      </c>
      <c r="B18" s="44" t="s">
        <v>24</v>
      </c>
      <c r="C18" s="4" t="s">
        <v>3</v>
      </c>
      <c r="D18" s="4"/>
      <c r="E18" s="5"/>
      <c r="F18" s="5"/>
      <c r="G18" s="5"/>
      <c r="H18" s="5"/>
      <c r="I18" s="5"/>
    </row>
    <row r="19" spans="1:14" ht="41.25" x14ac:dyDescent="0.2">
      <c r="A19" s="43"/>
      <c r="B19" s="44"/>
      <c r="C19" s="14" t="s">
        <v>25</v>
      </c>
      <c r="D19" s="1" t="s">
        <v>7</v>
      </c>
      <c r="E19" t="s">
        <v>58</v>
      </c>
      <c r="F19" t="s">
        <v>58</v>
      </c>
      <c r="G19" t="s">
        <v>58</v>
      </c>
      <c r="H19" t="s">
        <v>58</v>
      </c>
      <c r="I19" t="s">
        <v>58</v>
      </c>
    </row>
    <row r="20" spans="1:14" x14ac:dyDescent="0.2">
      <c r="A20" s="43"/>
      <c r="B20" s="44"/>
      <c r="C20" s="4" t="s">
        <v>34</v>
      </c>
      <c r="D20" s="4"/>
      <c r="E20" s="5"/>
      <c r="F20" s="5"/>
      <c r="G20" s="5"/>
      <c r="H20" s="5"/>
      <c r="I20" s="5"/>
    </row>
    <row r="21" spans="1:14" ht="27.75" x14ac:dyDescent="0.2">
      <c r="A21" s="43"/>
      <c r="B21" s="44"/>
      <c r="C21" s="14" t="s">
        <v>26</v>
      </c>
      <c r="D21" s="1" t="s">
        <v>8</v>
      </c>
      <c r="E21" s="14" t="s">
        <v>58</v>
      </c>
      <c r="F21" s="14" t="s">
        <v>58</v>
      </c>
      <c r="G21" s="14" t="s">
        <v>58</v>
      </c>
      <c r="H21" s="14" t="s">
        <v>58</v>
      </c>
      <c r="I21" s="14" t="s">
        <v>58</v>
      </c>
      <c r="L21" s="40" t="s">
        <v>224</v>
      </c>
      <c r="M21" s="40"/>
      <c r="N21" s="40"/>
    </row>
    <row r="22" spans="1:14" ht="27.75" x14ac:dyDescent="0.2">
      <c r="A22" s="43"/>
      <c r="B22" s="44"/>
      <c r="C22" s="14" t="s">
        <v>27</v>
      </c>
      <c r="D22" s="1" t="s">
        <v>8</v>
      </c>
      <c r="E22" s="14" t="s">
        <v>58</v>
      </c>
      <c r="F22" s="14" t="s">
        <v>58</v>
      </c>
      <c r="G22" s="14" t="s">
        <v>58</v>
      </c>
      <c r="H22" s="14" t="s">
        <v>58</v>
      </c>
      <c r="I22" s="14" t="s">
        <v>58</v>
      </c>
      <c r="L22" s="41" t="s">
        <v>225</v>
      </c>
      <c r="M22" s="42"/>
      <c r="N22" s="42"/>
    </row>
    <row r="23" spans="1:14" ht="27.75" x14ac:dyDescent="0.2">
      <c r="A23" s="43"/>
      <c r="B23" s="44"/>
      <c r="C23" s="14" t="s">
        <v>28</v>
      </c>
      <c r="D23" s="1" t="s">
        <v>8</v>
      </c>
      <c r="E23" s="14" t="s">
        <v>58</v>
      </c>
      <c r="F23" s="14" t="s">
        <v>58</v>
      </c>
      <c r="G23" s="14" t="s">
        <v>58</v>
      </c>
      <c r="H23" s="14" t="s">
        <v>58</v>
      </c>
      <c r="I23" s="14" t="s">
        <v>58</v>
      </c>
      <c r="L23" s="42"/>
      <c r="M23" s="42"/>
      <c r="N23" s="42"/>
    </row>
    <row r="24" spans="1:14" ht="27.75" x14ac:dyDescent="0.2">
      <c r="A24" s="43"/>
      <c r="B24" s="44"/>
      <c r="C24" s="14" t="s">
        <v>29</v>
      </c>
      <c r="D24" s="1" t="s">
        <v>8</v>
      </c>
      <c r="E24" s="14" t="s">
        <v>58</v>
      </c>
      <c r="F24" s="14" t="s">
        <v>58</v>
      </c>
      <c r="G24" s="14" t="s">
        <v>58</v>
      </c>
      <c r="H24" s="14" t="s">
        <v>58</v>
      </c>
      <c r="I24" s="14" t="s">
        <v>58</v>
      </c>
      <c r="L24" s="42"/>
      <c r="M24" s="42"/>
      <c r="N24" s="42"/>
    </row>
    <row r="25" spans="1:14" ht="27.75" x14ac:dyDescent="0.2">
      <c r="A25" s="43"/>
      <c r="B25" s="44"/>
      <c r="C25" s="14" t="s">
        <v>30</v>
      </c>
      <c r="D25" s="1" t="s">
        <v>8</v>
      </c>
      <c r="E25" s="14" t="s">
        <v>58</v>
      </c>
      <c r="F25" s="14" t="s">
        <v>58</v>
      </c>
      <c r="G25" s="14" t="s">
        <v>58</v>
      </c>
      <c r="H25" s="14" t="s">
        <v>58</v>
      </c>
      <c r="I25" s="14" t="s">
        <v>58</v>
      </c>
    </row>
    <row r="26" spans="1:14" x14ac:dyDescent="0.2">
      <c r="A26" s="43"/>
      <c r="B26" s="44"/>
      <c r="C26" s="14" t="s">
        <v>31</v>
      </c>
      <c r="D26" s="1" t="s">
        <v>8</v>
      </c>
      <c r="E26" s="14" t="s">
        <v>58</v>
      </c>
      <c r="F26" s="14" t="s">
        <v>58</v>
      </c>
      <c r="G26" s="14" t="s">
        <v>58</v>
      </c>
      <c r="H26" s="14" t="s">
        <v>58</v>
      </c>
      <c r="I26" s="14" t="s">
        <v>58</v>
      </c>
    </row>
    <row r="27" spans="1:14" ht="27.75" x14ac:dyDescent="0.2">
      <c r="A27" s="43"/>
      <c r="B27" s="44"/>
      <c r="C27" s="14" t="s">
        <v>32</v>
      </c>
      <c r="D27" s="1" t="s">
        <v>8</v>
      </c>
      <c r="E27" s="14" t="s">
        <v>58</v>
      </c>
      <c r="F27" s="14" t="s">
        <v>58</v>
      </c>
      <c r="G27" s="14" t="s">
        <v>58</v>
      </c>
      <c r="H27" s="14" t="s">
        <v>58</v>
      </c>
      <c r="I27" s="14" t="s">
        <v>58</v>
      </c>
    </row>
    <row r="28" spans="1:14" x14ac:dyDescent="0.2">
      <c r="A28" s="43"/>
      <c r="B28" s="44"/>
      <c r="C28" s="4" t="s">
        <v>4</v>
      </c>
      <c r="D28" s="4"/>
      <c r="E28" s="5"/>
      <c r="F28" s="5"/>
      <c r="G28" s="5"/>
      <c r="H28" s="5"/>
      <c r="I28" s="5"/>
    </row>
    <row r="29" spans="1:14" ht="27.75" x14ac:dyDescent="0.2">
      <c r="A29" s="43"/>
      <c r="B29" s="44"/>
      <c r="C29" s="14" t="s">
        <v>35</v>
      </c>
      <c r="D29" s="1" t="s">
        <v>57</v>
      </c>
      <c r="E29" t="s">
        <v>59</v>
      </c>
      <c r="F29" t="s">
        <v>59</v>
      </c>
      <c r="G29" t="s">
        <v>59</v>
      </c>
      <c r="H29" t="s">
        <v>59</v>
      </c>
      <c r="I29" t="s">
        <v>59</v>
      </c>
    </row>
    <row r="31" spans="1:14" x14ac:dyDescent="0.2">
      <c r="A31" s="46" t="s">
        <v>0</v>
      </c>
      <c r="B31" s="46"/>
      <c r="C31" s="13" t="s">
        <v>1</v>
      </c>
      <c r="D31" s="13" t="s">
        <v>2</v>
      </c>
      <c r="E31" s="13" t="s">
        <v>246</v>
      </c>
      <c r="F31" s="13" t="s">
        <v>246</v>
      </c>
      <c r="G31" s="13" t="s">
        <v>246</v>
      </c>
      <c r="H31" s="13" t="s">
        <v>246</v>
      </c>
      <c r="I31" s="13" t="s">
        <v>246</v>
      </c>
    </row>
    <row r="32" spans="1:14" x14ac:dyDescent="0.2">
      <c r="A32" s="43" t="s">
        <v>36</v>
      </c>
      <c r="B32" s="44" t="s">
        <v>37</v>
      </c>
      <c r="C32" s="4" t="s">
        <v>3</v>
      </c>
      <c r="D32" s="4"/>
      <c r="E32" s="5"/>
      <c r="F32" s="5"/>
      <c r="G32" s="5"/>
      <c r="H32" s="5"/>
      <c r="I32" s="5"/>
    </row>
    <row r="33" spans="1:14" ht="27.75" x14ac:dyDescent="0.2">
      <c r="A33" s="43"/>
      <c r="B33" s="44"/>
      <c r="C33" s="14" t="s">
        <v>38</v>
      </c>
      <c r="D33" s="1" t="s">
        <v>7</v>
      </c>
      <c r="E33" t="s">
        <v>58</v>
      </c>
      <c r="F33" t="s">
        <v>58</v>
      </c>
      <c r="G33" t="s">
        <v>58</v>
      </c>
      <c r="H33" t="s">
        <v>58</v>
      </c>
      <c r="I33" t="s">
        <v>58</v>
      </c>
    </row>
    <row r="34" spans="1:14" x14ac:dyDescent="0.2">
      <c r="A34" s="43"/>
      <c r="B34" s="44"/>
      <c r="C34" s="4" t="s">
        <v>33</v>
      </c>
      <c r="D34" s="4"/>
      <c r="E34" s="5"/>
      <c r="F34" s="5"/>
      <c r="G34" s="5"/>
      <c r="H34" s="5"/>
      <c r="I34" s="5"/>
    </row>
    <row r="35" spans="1:14" x14ac:dyDescent="0.2">
      <c r="A35" s="43"/>
      <c r="B35" s="44"/>
      <c r="C35" s="14" t="s">
        <v>39</v>
      </c>
      <c r="D35" s="1" t="s">
        <v>8</v>
      </c>
      <c r="E35" s="14" t="s">
        <v>58</v>
      </c>
      <c r="F35" s="14" t="s">
        <v>58</v>
      </c>
      <c r="G35" s="14" t="s">
        <v>58</v>
      </c>
      <c r="H35" s="14" t="s">
        <v>58</v>
      </c>
      <c r="I35" s="14" t="s">
        <v>58</v>
      </c>
      <c r="L35" s="40" t="s">
        <v>224</v>
      </c>
      <c r="M35" s="40"/>
      <c r="N35" s="40"/>
    </row>
    <row r="36" spans="1:14" x14ac:dyDescent="0.2">
      <c r="A36" s="43"/>
      <c r="B36" s="44"/>
      <c r="C36" s="14" t="s">
        <v>40</v>
      </c>
      <c r="D36" s="1" t="s">
        <v>8</v>
      </c>
      <c r="E36" s="14" t="s">
        <v>58</v>
      </c>
      <c r="F36" s="14" t="s">
        <v>58</v>
      </c>
      <c r="G36" s="14" t="s">
        <v>58</v>
      </c>
      <c r="H36" s="14" t="s">
        <v>58</v>
      </c>
      <c r="I36" s="14" t="s">
        <v>58</v>
      </c>
      <c r="L36" s="41" t="s">
        <v>226</v>
      </c>
      <c r="M36" s="42"/>
      <c r="N36" s="42"/>
    </row>
    <row r="37" spans="1:14" x14ac:dyDescent="0.2">
      <c r="A37" s="43"/>
      <c r="B37" s="44"/>
      <c r="C37" s="14" t="s">
        <v>41</v>
      </c>
      <c r="D37" s="1" t="s">
        <v>8</v>
      </c>
      <c r="E37" s="14" t="s">
        <v>58</v>
      </c>
      <c r="F37" s="14" t="s">
        <v>58</v>
      </c>
      <c r="G37" s="14" t="s">
        <v>58</v>
      </c>
      <c r="H37" s="14" t="s">
        <v>58</v>
      </c>
      <c r="I37" s="14" t="s">
        <v>58</v>
      </c>
      <c r="L37" s="42"/>
      <c r="M37" s="42"/>
      <c r="N37" s="42"/>
    </row>
    <row r="38" spans="1:14" x14ac:dyDescent="0.2">
      <c r="A38" s="43"/>
      <c r="B38" s="44"/>
      <c r="C38" s="14" t="s">
        <v>42</v>
      </c>
      <c r="D38" s="1" t="s">
        <v>8</v>
      </c>
      <c r="E38" s="14" t="s">
        <v>58</v>
      </c>
      <c r="F38" s="14" t="s">
        <v>58</v>
      </c>
      <c r="G38" s="14" t="s">
        <v>58</v>
      </c>
      <c r="H38" s="14" t="s">
        <v>58</v>
      </c>
      <c r="I38" s="14" t="s">
        <v>58</v>
      </c>
      <c r="L38" s="42"/>
      <c r="M38" s="42"/>
      <c r="N38" s="42"/>
    </row>
    <row r="39" spans="1:14" x14ac:dyDescent="0.2">
      <c r="A39" s="43"/>
      <c r="B39" s="44"/>
      <c r="C39" s="14" t="s">
        <v>43</v>
      </c>
      <c r="D39" s="1" t="s">
        <v>8</v>
      </c>
      <c r="E39" s="14" t="s">
        <v>58</v>
      </c>
      <c r="F39" s="14" t="s">
        <v>58</v>
      </c>
      <c r="G39" s="14" t="s">
        <v>58</v>
      </c>
      <c r="H39" s="14" t="s">
        <v>58</v>
      </c>
      <c r="I39" s="14" t="s">
        <v>58</v>
      </c>
    </row>
    <row r="40" spans="1:14" x14ac:dyDescent="0.2">
      <c r="A40" s="43"/>
      <c r="B40" s="44"/>
      <c r="C40" s="14" t="s">
        <v>44</v>
      </c>
      <c r="D40" s="1" t="s">
        <v>8</v>
      </c>
      <c r="E40" s="14" t="s">
        <v>58</v>
      </c>
      <c r="F40" s="14" t="s">
        <v>58</v>
      </c>
      <c r="G40" s="14" t="s">
        <v>58</v>
      </c>
      <c r="H40" s="14" t="s">
        <v>58</v>
      </c>
      <c r="I40" s="14" t="s">
        <v>58</v>
      </c>
    </row>
    <row r="41" spans="1:14" x14ac:dyDescent="0.2">
      <c r="A41" s="43"/>
      <c r="B41" s="44"/>
      <c r="C41" s="14" t="s">
        <v>45</v>
      </c>
      <c r="D41" s="1" t="s">
        <v>8</v>
      </c>
      <c r="E41" s="14" t="s">
        <v>58</v>
      </c>
      <c r="F41" s="14" t="s">
        <v>58</v>
      </c>
      <c r="G41" s="14" t="s">
        <v>58</v>
      </c>
      <c r="H41" s="14" t="s">
        <v>58</v>
      </c>
      <c r="I41" s="14" t="s">
        <v>58</v>
      </c>
    </row>
    <row r="42" spans="1:14" x14ac:dyDescent="0.2">
      <c r="A42" s="43"/>
      <c r="B42" s="44"/>
      <c r="C42" s="4" t="s">
        <v>4</v>
      </c>
      <c r="D42" s="4"/>
      <c r="E42" s="5"/>
      <c r="F42" s="5"/>
      <c r="G42" s="5"/>
      <c r="H42" s="5"/>
      <c r="I42" s="5"/>
    </row>
    <row r="43" spans="1:14" x14ac:dyDescent="0.2">
      <c r="A43" s="43"/>
      <c r="B43" s="44"/>
      <c r="C43" s="14" t="s">
        <v>46</v>
      </c>
      <c r="D43" s="1" t="s">
        <v>57</v>
      </c>
      <c r="E43" t="s">
        <v>59</v>
      </c>
      <c r="F43" t="s">
        <v>59</v>
      </c>
      <c r="G43" t="s">
        <v>59</v>
      </c>
      <c r="H43" t="s">
        <v>59</v>
      </c>
      <c r="I43" t="s">
        <v>59</v>
      </c>
    </row>
    <row r="44" spans="1:14" x14ac:dyDescent="0.2">
      <c r="A44" s="43"/>
      <c r="B44" s="44"/>
      <c r="C44" s="15" t="s">
        <v>5</v>
      </c>
      <c r="D44" s="15"/>
      <c r="E44" s="16"/>
      <c r="F44" s="16"/>
      <c r="G44" s="16"/>
      <c r="H44" s="16"/>
      <c r="I44" s="16"/>
    </row>
    <row r="45" spans="1:14" x14ac:dyDescent="0.2">
      <c r="A45" s="43"/>
      <c r="B45" s="44"/>
      <c r="C45" s="14" t="s">
        <v>47</v>
      </c>
      <c r="D45" s="1" t="s">
        <v>57</v>
      </c>
      <c r="E45" t="s">
        <v>59</v>
      </c>
      <c r="F45" t="s">
        <v>59</v>
      </c>
      <c r="G45" t="s">
        <v>59</v>
      </c>
      <c r="H45" t="s">
        <v>59</v>
      </c>
      <c r="I45" t="s">
        <v>59</v>
      </c>
    </row>
    <row r="47" spans="1:14" x14ac:dyDescent="0.2">
      <c r="A47" s="46" t="s">
        <v>0</v>
      </c>
      <c r="B47" s="46"/>
      <c r="C47" s="13" t="s">
        <v>1</v>
      </c>
      <c r="D47" s="13" t="s">
        <v>2</v>
      </c>
      <c r="E47" s="13" t="s">
        <v>246</v>
      </c>
      <c r="F47" s="13" t="s">
        <v>246</v>
      </c>
      <c r="G47" s="13" t="s">
        <v>246</v>
      </c>
      <c r="H47" s="13" t="s">
        <v>246</v>
      </c>
      <c r="I47" s="13" t="s">
        <v>246</v>
      </c>
    </row>
    <row r="48" spans="1:14" x14ac:dyDescent="0.2">
      <c r="A48" s="43" t="s">
        <v>48</v>
      </c>
      <c r="B48" s="44" t="s">
        <v>49</v>
      </c>
      <c r="C48" s="4" t="s">
        <v>3</v>
      </c>
      <c r="D48" s="4"/>
      <c r="E48" s="5"/>
      <c r="F48" s="5"/>
      <c r="G48" s="5"/>
      <c r="H48" s="5"/>
      <c r="I48" s="5"/>
    </row>
    <row r="49" spans="1:14" ht="27.75" x14ac:dyDescent="0.2">
      <c r="A49" s="43"/>
      <c r="B49" s="44"/>
      <c r="C49" s="14" t="s">
        <v>50</v>
      </c>
      <c r="D49" s="1" t="s">
        <v>7</v>
      </c>
      <c r="E49" t="s">
        <v>58</v>
      </c>
      <c r="F49" t="s">
        <v>58</v>
      </c>
      <c r="G49" t="s">
        <v>58</v>
      </c>
      <c r="H49" t="s">
        <v>58</v>
      </c>
      <c r="I49" t="s">
        <v>58</v>
      </c>
    </row>
    <row r="50" spans="1:14" ht="27.75" x14ac:dyDescent="0.2">
      <c r="A50" s="43"/>
      <c r="B50" s="44"/>
      <c r="C50" s="14" t="s">
        <v>51</v>
      </c>
      <c r="D50" s="1" t="s">
        <v>7</v>
      </c>
      <c r="E50" t="s">
        <v>58</v>
      </c>
      <c r="F50" t="s">
        <v>58</v>
      </c>
      <c r="G50" t="s">
        <v>58</v>
      </c>
      <c r="H50" t="s">
        <v>58</v>
      </c>
      <c r="I50" t="s">
        <v>58</v>
      </c>
    </row>
    <row r="51" spans="1:14" x14ac:dyDescent="0.2">
      <c r="A51" s="43"/>
      <c r="B51" s="44"/>
      <c r="C51" s="4" t="s">
        <v>34</v>
      </c>
      <c r="D51" s="4"/>
      <c r="E51" s="5"/>
      <c r="F51" s="5"/>
      <c r="G51" s="5"/>
      <c r="H51" s="5"/>
      <c r="I51" s="5"/>
    </row>
    <row r="52" spans="1:14" ht="27.75" x14ac:dyDescent="0.2">
      <c r="A52" s="43"/>
      <c r="B52" s="44"/>
      <c r="C52" s="14" t="s">
        <v>52</v>
      </c>
      <c r="D52" s="1" t="s">
        <v>8</v>
      </c>
      <c r="E52" s="14" t="s">
        <v>58</v>
      </c>
      <c r="F52" s="14" t="s">
        <v>58</v>
      </c>
      <c r="G52" s="14" t="s">
        <v>58</v>
      </c>
      <c r="H52" s="14" t="s">
        <v>58</v>
      </c>
      <c r="I52" s="14" t="s">
        <v>58</v>
      </c>
      <c r="L52" s="40" t="s">
        <v>224</v>
      </c>
      <c r="M52" s="40"/>
      <c r="N52" s="40"/>
    </row>
    <row r="53" spans="1:14" ht="27.75" x14ac:dyDescent="0.2">
      <c r="A53" s="43"/>
      <c r="B53" s="44"/>
      <c r="C53" s="14" t="s">
        <v>53</v>
      </c>
      <c r="D53" s="1" t="s">
        <v>8</v>
      </c>
      <c r="E53" s="14" t="s">
        <v>58</v>
      </c>
      <c r="F53" s="14" t="s">
        <v>58</v>
      </c>
      <c r="G53" s="14" t="s">
        <v>58</v>
      </c>
      <c r="H53" s="14" t="s">
        <v>58</v>
      </c>
      <c r="I53" s="14" t="s">
        <v>58</v>
      </c>
      <c r="L53" s="41" t="s">
        <v>227</v>
      </c>
      <c r="M53" s="42"/>
      <c r="N53" s="42"/>
    </row>
    <row r="54" spans="1:14" x14ac:dyDescent="0.2">
      <c r="A54" s="43"/>
      <c r="B54" s="44"/>
      <c r="C54" s="14" t="s">
        <v>54</v>
      </c>
      <c r="D54" s="1" t="s">
        <v>8</v>
      </c>
      <c r="E54" s="14" t="s">
        <v>58</v>
      </c>
      <c r="F54" s="14" t="s">
        <v>58</v>
      </c>
      <c r="G54" s="14" t="s">
        <v>58</v>
      </c>
      <c r="H54" s="14" t="s">
        <v>58</v>
      </c>
      <c r="I54" s="14" t="s">
        <v>58</v>
      </c>
      <c r="L54" s="42"/>
      <c r="M54" s="42"/>
      <c r="N54" s="42"/>
    </row>
    <row r="55" spans="1:14" x14ac:dyDescent="0.2">
      <c r="A55" s="43"/>
      <c r="B55" s="44"/>
      <c r="C55" s="14" t="s">
        <v>55</v>
      </c>
      <c r="D55" s="1" t="s">
        <v>8</v>
      </c>
      <c r="E55" s="14" t="s">
        <v>58</v>
      </c>
      <c r="F55" s="14" t="s">
        <v>58</v>
      </c>
      <c r="G55" s="14" t="s">
        <v>58</v>
      </c>
      <c r="H55" s="14" t="s">
        <v>58</v>
      </c>
      <c r="I55" s="14" t="s">
        <v>58</v>
      </c>
      <c r="L55" s="42"/>
      <c r="M55" s="42"/>
      <c r="N55" s="42"/>
    </row>
    <row r="56" spans="1:14" ht="27.75" x14ac:dyDescent="0.2">
      <c r="A56" s="43"/>
      <c r="B56" s="44"/>
      <c r="C56" s="14" t="s">
        <v>56</v>
      </c>
      <c r="D56" s="1" t="s">
        <v>8</v>
      </c>
      <c r="E56" s="14" t="s">
        <v>58</v>
      </c>
      <c r="F56" s="14" t="s">
        <v>58</v>
      </c>
      <c r="G56" s="14" t="s">
        <v>58</v>
      </c>
      <c r="H56" s="14" t="s">
        <v>58</v>
      </c>
      <c r="I56" s="14" t="s">
        <v>58</v>
      </c>
    </row>
  </sheetData>
  <mergeCells count="21">
    <mergeCell ref="A32:A45"/>
    <mergeCell ref="B32:B45"/>
    <mergeCell ref="A47:B47"/>
    <mergeCell ref="A48:A56"/>
    <mergeCell ref="B48:B56"/>
    <mergeCell ref="A1:B1"/>
    <mergeCell ref="A2:B2"/>
    <mergeCell ref="A3:A15"/>
    <mergeCell ref="A17:B17"/>
    <mergeCell ref="A31:B31"/>
    <mergeCell ref="L6:N6"/>
    <mergeCell ref="L21:N21"/>
    <mergeCell ref="A18:A29"/>
    <mergeCell ref="B18:B29"/>
    <mergeCell ref="B3:B15"/>
    <mergeCell ref="L22:N24"/>
    <mergeCell ref="L35:N35"/>
    <mergeCell ref="L36:N38"/>
    <mergeCell ref="L52:N52"/>
    <mergeCell ref="L53:N55"/>
    <mergeCell ref="L7:N9"/>
  </mergeCells>
  <conditionalFormatting sqref="E4:I4">
    <cfRule type="containsText" dxfId="163" priority="146" operator="containsText" text="Feito">
      <formula>NOT(ISERROR(SEARCH("Feito",E4)))</formula>
    </cfRule>
    <cfRule type="containsText" dxfId="162" priority="145" operator="containsText" text="Fazer">
      <formula>NOT(ISERROR(SEARCH("Fazer",E4)))</formula>
    </cfRule>
  </conditionalFormatting>
  <conditionalFormatting sqref="E6:I11">
    <cfRule type="containsText" dxfId="161" priority="107" operator="containsText" text="Feito">
      <formula>NOT(ISERROR(SEARCH("Feito",E6)))</formula>
    </cfRule>
    <cfRule type="containsText" dxfId="160" priority="106" operator="containsText" text="Fazer">
      <formula>NOT(ISERROR(SEARCH("Fazer",E6)))</formula>
    </cfRule>
    <cfRule type="containsText" dxfId="159" priority="105" operator="containsText" text="Troca">
      <formula>NOT(ISERROR(SEARCH("Troca",E6)))</formula>
    </cfRule>
  </conditionalFormatting>
  <conditionalFormatting sqref="E13:I13">
    <cfRule type="containsText" dxfId="158" priority="104" operator="containsText" text="Feito">
      <formula>NOT(ISERROR(SEARCH("Feito",E13)))</formula>
    </cfRule>
    <cfRule type="containsText" dxfId="157" priority="103" operator="containsText" text="Fazer">
      <formula>NOT(ISERROR(SEARCH("Fazer",E13)))</formula>
    </cfRule>
    <cfRule type="containsText" dxfId="156" priority="102" operator="containsText" text="Optou">
      <formula>NOT(ISERROR(SEARCH("Optou",E13)))</formula>
    </cfRule>
  </conditionalFormatting>
  <conditionalFormatting sqref="E15:I15">
    <cfRule type="containsText" dxfId="155" priority="89" operator="containsText" text="Feito">
      <formula>NOT(ISERROR(SEARCH("Feito",E15)))</formula>
    </cfRule>
    <cfRule type="containsText" dxfId="154" priority="88" operator="containsText" text="Fazer">
      <formula>NOT(ISERROR(SEARCH("Fazer",E15)))</formula>
    </cfRule>
    <cfRule type="containsText" dxfId="153" priority="87" operator="containsText" text="Optou">
      <formula>NOT(ISERROR(SEARCH("Optou",E15)))</formula>
    </cfRule>
  </conditionalFormatting>
  <conditionalFormatting sqref="E19:I19">
    <cfRule type="containsText" dxfId="152" priority="84" operator="containsText" text="Feito">
      <formula>NOT(ISERROR(SEARCH("Feito",E19)))</formula>
    </cfRule>
    <cfRule type="containsText" dxfId="151" priority="83" operator="containsText" text="Fazer">
      <formula>NOT(ISERROR(SEARCH("Fazer",E19)))</formula>
    </cfRule>
  </conditionalFormatting>
  <conditionalFormatting sqref="E21:I27">
    <cfRule type="containsText" dxfId="150" priority="60" operator="containsText" text="Feito">
      <formula>NOT(ISERROR(SEARCH("Feito",E21)))</formula>
    </cfRule>
    <cfRule type="containsText" dxfId="149" priority="59" operator="containsText" text="Fazer">
      <formula>NOT(ISERROR(SEARCH("Fazer",E21)))</formula>
    </cfRule>
    <cfRule type="containsText" dxfId="148" priority="58" operator="containsText" text="Troca">
      <formula>NOT(ISERROR(SEARCH("Troca",E21)))</formula>
    </cfRule>
  </conditionalFormatting>
  <conditionalFormatting sqref="E29:I29">
    <cfRule type="containsText" dxfId="147" priority="56" operator="containsText" text="Fazer">
      <formula>NOT(ISERROR(SEARCH("Fazer",E29)))</formula>
    </cfRule>
    <cfRule type="containsText" dxfId="146" priority="55" operator="containsText" text="Optou">
      <formula>NOT(ISERROR(SEARCH("Optou",E29)))</formula>
    </cfRule>
    <cfRule type="containsText" dxfId="145" priority="57" operator="containsText" text="Feito">
      <formula>NOT(ISERROR(SEARCH("Feito",E29)))</formula>
    </cfRule>
  </conditionalFormatting>
  <conditionalFormatting sqref="E33:I33">
    <cfRule type="containsText" dxfId="144" priority="52" operator="containsText" text="Feito">
      <formula>NOT(ISERROR(SEARCH("Feito",E33)))</formula>
    </cfRule>
    <cfRule type="containsText" dxfId="143" priority="51" operator="containsText" text="Fazer">
      <formula>NOT(ISERROR(SEARCH("Fazer",E33)))</formula>
    </cfRule>
  </conditionalFormatting>
  <conditionalFormatting sqref="E35:I41">
    <cfRule type="containsText" dxfId="142" priority="32" operator="containsText" text="Feito">
      <formula>NOT(ISERROR(SEARCH("Feito",E35)))</formula>
    </cfRule>
    <cfRule type="containsText" dxfId="141" priority="31" operator="containsText" text="Fazer">
      <formula>NOT(ISERROR(SEARCH("Fazer",E35)))</formula>
    </cfRule>
    <cfRule type="containsText" dxfId="140" priority="30" operator="containsText" text="Troca">
      <formula>NOT(ISERROR(SEARCH("Troca",E35)))</formula>
    </cfRule>
  </conditionalFormatting>
  <conditionalFormatting sqref="E43:I43">
    <cfRule type="containsText" dxfId="139" priority="29" operator="containsText" text="Feito">
      <formula>NOT(ISERROR(SEARCH("Feito",E43)))</formula>
    </cfRule>
    <cfRule type="containsText" dxfId="138" priority="28" operator="containsText" text="Fazer">
      <formula>NOT(ISERROR(SEARCH("Fazer",E43)))</formula>
    </cfRule>
    <cfRule type="containsText" dxfId="137" priority="27" operator="containsText" text="Optou">
      <formula>NOT(ISERROR(SEARCH("Optou",E43)))</formula>
    </cfRule>
  </conditionalFormatting>
  <conditionalFormatting sqref="E45:I45">
    <cfRule type="containsText" dxfId="136" priority="26" operator="containsText" text="Feito">
      <formula>NOT(ISERROR(SEARCH("Feito",E45)))</formula>
    </cfRule>
    <cfRule type="containsText" dxfId="135" priority="25" operator="containsText" text="Fazer">
      <formula>NOT(ISERROR(SEARCH("Fazer",E45)))</formula>
    </cfRule>
    <cfRule type="containsText" dxfId="134" priority="24" operator="containsText" text="Optou">
      <formula>NOT(ISERROR(SEARCH("Optou",E45)))</formula>
    </cfRule>
  </conditionalFormatting>
  <conditionalFormatting sqref="E49:I50">
    <cfRule type="containsText" dxfId="133" priority="17" operator="containsText" text="Feito">
      <formula>NOT(ISERROR(SEARCH("Feito",E49)))</formula>
    </cfRule>
    <cfRule type="containsText" dxfId="132" priority="16" operator="containsText" text="Fazer">
      <formula>NOT(ISERROR(SEARCH("Fazer",E49)))</formula>
    </cfRule>
  </conditionalFormatting>
  <conditionalFormatting sqref="E52:I56">
    <cfRule type="containsText" dxfId="131" priority="3" operator="containsText" text="Feito">
      <formula>NOT(ISERROR(SEARCH("Feito",E52)))</formula>
    </cfRule>
    <cfRule type="containsText" dxfId="130" priority="2" operator="containsText" text="Fazer">
      <formula>NOT(ISERROR(SEARCH("Fazer",E52)))</formula>
    </cfRule>
    <cfRule type="containsText" dxfId="129" priority="1" operator="containsText" text="Troca">
      <formula>NOT(ISERROR(SEARCH("Troca",E52)))</formula>
    </cfRule>
  </conditionalFormatting>
  <dataValidations count="3">
    <dataValidation type="list" allowBlank="1" showInputMessage="1" showErrorMessage="1" sqref="E4:I4 E19:I19 E33:I33 E49:I50" xr:uid="{EE403410-3D42-4335-9340-E28BCAF82D69}">
      <formula1>"Feito,A fazer"</formula1>
    </dataValidation>
    <dataValidation type="list" allowBlank="1" showInputMessage="1" showErrorMessage="1" sqref="E6:I11 E21:I27 E35:I41 E52:I56" xr:uid="{E0FC44BD-B389-4258-88A4-39EDA47658C7}">
      <formula1>"Feito,A fazer,Troca por Especialidade"</formula1>
    </dataValidation>
    <dataValidation type="list" allowBlank="1" showInputMessage="1" showErrorMessage="1" sqref="E13:I13 E15:I15 E29:I29 E43:I43 E45:I45" xr:uid="{58A28550-D6A9-4F31-BE7D-E9CC7F2753D3}">
      <formula1>"Feito,Não optou,"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E44D-949A-4BC7-BE9D-4375018CB349}">
  <sheetPr codeName="Planilha2">
    <tabColor theme="9" tint="0.39997558519241921"/>
  </sheetPr>
  <dimension ref="A1:N68"/>
  <sheetViews>
    <sheetView topLeftCell="A58" workbookViewId="0">
      <selection activeCell="I45" sqref="I45"/>
    </sheetView>
  </sheetViews>
  <sheetFormatPr defaultRowHeight="15" x14ac:dyDescent="0.2"/>
  <cols>
    <col min="2" max="2" width="14.66015625" style="7" customWidth="1"/>
    <col min="3" max="3" width="59.0546875" customWidth="1"/>
    <col min="4" max="4" width="18.5625" style="1" customWidth="1"/>
    <col min="5" max="5" width="13.1796875" customWidth="1"/>
    <col min="6" max="9" width="13.31640625" bestFit="1" customWidth="1"/>
  </cols>
  <sheetData>
    <row r="1" spans="1:14" ht="76.5" customHeight="1" x14ac:dyDescent="0.2">
      <c r="A1" s="48"/>
      <c r="B1" s="48"/>
      <c r="C1" s="18" t="s">
        <v>10</v>
      </c>
      <c r="D1" s="8"/>
      <c r="E1" s="9"/>
      <c r="F1" s="9"/>
      <c r="G1" s="9"/>
      <c r="H1" s="9"/>
      <c r="I1" s="9"/>
    </row>
    <row r="2" spans="1:14" x14ac:dyDescent="0.2">
      <c r="A2" s="49" t="s">
        <v>0</v>
      </c>
      <c r="B2" s="49"/>
      <c r="C2" s="10" t="s">
        <v>1</v>
      </c>
      <c r="D2" s="10" t="s">
        <v>2</v>
      </c>
      <c r="E2" s="10" t="s">
        <v>246</v>
      </c>
      <c r="F2" s="10" t="s">
        <v>246</v>
      </c>
      <c r="G2" s="10" t="s">
        <v>246</v>
      </c>
      <c r="H2" s="10" t="s">
        <v>246</v>
      </c>
      <c r="I2" s="10" t="s">
        <v>246</v>
      </c>
    </row>
    <row r="3" spans="1:14" x14ac:dyDescent="0.2">
      <c r="A3" s="50" t="s">
        <v>60</v>
      </c>
      <c r="B3" s="51" t="s">
        <v>61</v>
      </c>
      <c r="C3" s="4" t="s">
        <v>34</v>
      </c>
      <c r="D3" s="4"/>
      <c r="E3" s="5"/>
      <c r="F3" s="5"/>
      <c r="G3" s="5"/>
      <c r="H3" s="5"/>
      <c r="I3" s="5"/>
    </row>
    <row r="4" spans="1:14" ht="59.25" customHeight="1" x14ac:dyDescent="0.2">
      <c r="A4" s="50"/>
      <c r="B4" s="51"/>
      <c r="C4" s="14" t="s">
        <v>62</v>
      </c>
      <c r="D4" s="1" t="s">
        <v>8</v>
      </c>
      <c r="E4" s="14" t="s">
        <v>58</v>
      </c>
      <c r="F4" s="14" t="s">
        <v>58</v>
      </c>
      <c r="G4" s="14" t="s">
        <v>58</v>
      </c>
      <c r="H4" s="14" t="s">
        <v>58</v>
      </c>
      <c r="I4" s="14" t="s">
        <v>58</v>
      </c>
      <c r="L4" s="47" t="s">
        <v>224</v>
      </c>
      <c r="M4" s="47"/>
      <c r="N4" s="47"/>
    </row>
    <row r="5" spans="1:14" ht="41.25" x14ac:dyDescent="0.2">
      <c r="A5" s="50"/>
      <c r="B5" s="51"/>
      <c r="C5" s="14" t="s">
        <v>63</v>
      </c>
      <c r="D5" s="1" t="s">
        <v>8</v>
      </c>
      <c r="E5" s="14" t="s">
        <v>58</v>
      </c>
      <c r="F5" s="14" t="s">
        <v>58</v>
      </c>
      <c r="G5" s="14" t="s">
        <v>58</v>
      </c>
      <c r="H5" s="14" t="s">
        <v>58</v>
      </c>
      <c r="I5" s="14" t="s">
        <v>58</v>
      </c>
      <c r="L5" s="41" t="s">
        <v>228</v>
      </c>
      <c r="M5" s="42"/>
      <c r="N5" s="42"/>
    </row>
    <row r="6" spans="1:14" ht="27.75" x14ac:dyDescent="0.2">
      <c r="A6" s="50"/>
      <c r="B6" s="51"/>
      <c r="C6" s="14" t="s">
        <v>64</v>
      </c>
      <c r="D6" s="1" t="s">
        <v>8</v>
      </c>
      <c r="E6" s="14" t="s">
        <v>58</v>
      </c>
      <c r="F6" s="14" t="s">
        <v>58</v>
      </c>
      <c r="G6" s="14" t="s">
        <v>58</v>
      </c>
      <c r="H6" s="14" t="s">
        <v>58</v>
      </c>
      <c r="I6" s="14" t="s">
        <v>58</v>
      </c>
      <c r="L6" s="42"/>
      <c r="M6" s="42"/>
      <c r="N6" s="42"/>
    </row>
    <row r="7" spans="1:14" ht="68.25" x14ac:dyDescent="0.2">
      <c r="A7" s="50"/>
      <c r="B7" s="51"/>
      <c r="C7" s="14" t="s">
        <v>65</v>
      </c>
      <c r="D7" s="1" t="s">
        <v>8</v>
      </c>
      <c r="E7" s="14" t="s">
        <v>58</v>
      </c>
      <c r="F7" s="14" t="s">
        <v>58</v>
      </c>
      <c r="G7" s="14" t="s">
        <v>58</v>
      </c>
      <c r="H7" s="14" t="s">
        <v>58</v>
      </c>
      <c r="I7" s="14" t="s">
        <v>58</v>
      </c>
      <c r="L7" s="42"/>
      <c r="M7" s="42"/>
      <c r="N7" s="42"/>
    </row>
    <row r="8" spans="1:14" x14ac:dyDescent="0.2">
      <c r="A8" s="50"/>
      <c r="B8" s="51"/>
      <c r="C8" s="14" t="s">
        <v>66</v>
      </c>
      <c r="D8" s="1" t="s">
        <v>8</v>
      </c>
      <c r="E8" s="14" t="s">
        <v>58</v>
      </c>
      <c r="F8" s="14" t="s">
        <v>58</v>
      </c>
      <c r="G8" s="14" t="s">
        <v>58</v>
      </c>
      <c r="H8" s="14" t="s">
        <v>58</v>
      </c>
      <c r="I8" s="14" t="s">
        <v>58</v>
      </c>
    </row>
    <row r="9" spans="1:14" ht="27.75" x14ac:dyDescent="0.2">
      <c r="A9" s="50"/>
      <c r="B9" s="51"/>
      <c r="C9" s="14" t="s">
        <v>67</v>
      </c>
      <c r="D9" s="1" t="s">
        <v>8</v>
      </c>
      <c r="E9" s="14" t="s">
        <v>58</v>
      </c>
      <c r="F9" s="14" t="s">
        <v>58</v>
      </c>
      <c r="G9" s="14" t="s">
        <v>58</v>
      </c>
      <c r="H9" s="14" t="s">
        <v>58</v>
      </c>
      <c r="I9" s="14" t="s">
        <v>58</v>
      </c>
    </row>
    <row r="10" spans="1:14" ht="27.75" x14ac:dyDescent="0.2">
      <c r="A10" s="50"/>
      <c r="B10" s="51"/>
      <c r="C10" s="14" t="s">
        <v>68</v>
      </c>
      <c r="D10" s="1" t="s">
        <v>8</v>
      </c>
      <c r="E10" s="14" t="s">
        <v>58</v>
      </c>
      <c r="F10" s="14" t="s">
        <v>58</v>
      </c>
      <c r="G10" s="14" t="s">
        <v>58</v>
      </c>
      <c r="H10" s="14" t="s">
        <v>58</v>
      </c>
      <c r="I10" s="14" t="s">
        <v>58</v>
      </c>
    </row>
    <row r="11" spans="1:14" x14ac:dyDescent="0.2">
      <c r="A11" s="50"/>
      <c r="B11" s="51"/>
      <c r="C11" s="4" t="s">
        <v>4</v>
      </c>
      <c r="D11" s="4"/>
      <c r="E11" s="5"/>
      <c r="F11" s="5"/>
      <c r="G11" s="5"/>
      <c r="H11" s="5"/>
      <c r="I11" s="5"/>
    </row>
    <row r="12" spans="1:14" ht="18.75" customHeight="1" x14ac:dyDescent="0.2">
      <c r="A12" s="50"/>
      <c r="B12" s="51"/>
      <c r="C12" s="14" t="s">
        <v>69</v>
      </c>
      <c r="D12" s="1" t="s">
        <v>57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</row>
    <row r="13" spans="1:14" x14ac:dyDescent="0.2">
      <c r="A13" s="50"/>
      <c r="B13" s="51"/>
      <c r="C13" s="15" t="s">
        <v>5</v>
      </c>
      <c r="D13" s="15"/>
      <c r="E13" s="16"/>
      <c r="F13" s="16"/>
      <c r="G13" s="16"/>
      <c r="H13" s="16"/>
      <c r="I13" s="16"/>
    </row>
    <row r="14" spans="1:14" ht="15" customHeight="1" x14ac:dyDescent="0.2">
      <c r="A14" s="50"/>
      <c r="B14" s="51"/>
      <c r="C14" s="14" t="s">
        <v>70</v>
      </c>
      <c r="D14" s="1" t="s">
        <v>57</v>
      </c>
      <c r="E14" t="s">
        <v>59</v>
      </c>
      <c r="F14" t="s">
        <v>59</v>
      </c>
      <c r="G14" t="s">
        <v>59</v>
      </c>
      <c r="H14" t="s">
        <v>59</v>
      </c>
      <c r="I14" t="s">
        <v>59</v>
      </c>
    </row>
    <row r="16" spans="1:14" x14ac:dyDescent="0.2">
      <c r="A16" s="49" t="s">
        <v>0</v>
      </c>
      <c r="B16" s="49"/>
      <c r="C16" s="10" t="s">
        <v>1</v>
      </c>
      <c r="D16" s="10" t="s">
        <v>2</v>
      </c>
      <c r="E16" s="10" t="s">
        <v>246</v>
      </c>
      <c r="F16" s="10" t="s">
        <v>246</v>
      </c>
      <c r="G16" s="10" t="s">
        <v>246</v>
      </c>
      <c r="H16" s="10" t="s">
        <v>246</v>
      </c>
      <c r="I16" s="10" t="s">
        <v>246</v>
      </c>
    </row>
    <row r="17" spans="1:14" ht="15" customHeight="1" x14ac:dyDescent="0.2">
      <c r="A17" s="50" t="s">
        <v>71</v>
      </c>
      <c r="B17" s="51" t="s">
        <v>72</v>
      </c>
      <c r="C17" s="4" t="s">
        <v>34</v>
      </c>
      <c r="D17" s="4"/>
      <c r="E17" s="5"/>
      <c r="F17" s="5"/>
      <c r="G17" s="5"/>
      <c r="H17" s="5"/>
      <c r="I17" s="5"/>
    </row>
    <row r="18" spans="1:14" ht="27.75" x14ac:dyDescent="0.2">
      <c r="A18" s="50"/>
      <c r="B18" s="51"/>
      <c r="C18" s="14" t="s">
        <v>73</v>
      </c>
      <c r="D18" s="1" t="s">
        <v>8</v>
      </c>
      <c r="E18" s="14" t="s">
        <v>58</v>
      </c>
      <c r="F18" s="14" t="s">
        <v>58</v>
      </c>
      <c r="G18" s="14" t="s">
        <v>58</v>
      </c>
      <c r="H18" s="14" t="s">
        <v>58</v>
      </c>
      <c r="I18" s="14" t="s">
        <v>58</v>
      </c>
      <c r="L18" s="47" t="s">
        <v>224</v>
      </c>
      <c r="M18" s="47"/>
      <c r="N18" s="47"/>
    </row>
    <row r="19" spans="1:14" ht="27.75" x14ac:dyDescent="0.2">
      <c r="A19" s="50"/>
      <c r="B19" s="51"/>
      <c r="C19" s="14" t="s">
        <v>74</v>
      </c>
      <c r="D19" s="1" t="s">
        <v>8</v>
      </c>
      <c r="E19" s="14" t="s">
        <v>58</v>
      </c>
      <c r="F19" s="14" t="s">
        <v>58</v>
      </c>
      <c r="G19" s="14" t="s">
        <v>58</v>
      </c>
      <c r="H19" s="14" t="s">
        <v>58</v>
      </c>
      <c r="I19" s="14" t="s">
        <v>58</v>
      </c>
      <c r="L19" s="41" t="s">
        <v>229</v>
      </c>
      <c r="M19" s="41"/>
      <c r="N19" s="41"/>
    </row>
    <row r="20" spans="1:14" ht="41.25" x14ac:dyDescent="0.2">
      <c r="A20" s="50"/>
      <c r="B20" s="51"/>
      <c r="C20" s="14" t="s">
        <v>75</v>
      </c>
      <c r="D20" s="1" t="s">
        <v>8</v>
      </c>
      <c r="E20" s="14" t="s">
        <v>58</v>
      </c>
      <c r="F20" s="14" t="s">
        <v>58</v>
      </c>
      <c r="G20" s="14" t="s">
        <v>58</v>
      </c>
      <c r="H20" s="14" t="s">
        <v>58</v>
      </c>
      <c r="I20" s="14" t="s">
        <v>58</v>
      </c>
      <c r="L20" s="41"/>
      <c r="M20" s="41"/>
      <c r="N20" s="41"/>
    </row>
    <row r="21" spans="1:14" ht="27.75" x14ac:dyDescent="0.2">
      <c r="A21" s="50"/>
      <c r="B21" s="51"/>
      <c r="C21" s="14" t="s">
        <v>76</v>
      </c>
      <c r="D21" s="1" t="s">
        <v>8</v>
      </c>
      <c r="E21" s="14" t="s">
        <v>58</v>
      </c>
      <c r="F21" s="14" t="s">
        <v>58</v>
      </c>
      <c r="G21" s="14" t="s">
        <v>58</v>
      </c>
      <c r="H21" s="14" t="s">
        <v>58</v>
      </c>
      <c r="I21" s="14" t="s">
        <v>58</v>
      </c>
      <c r="L21" s="41"/>
      <c r="M21" s="41"/>
      <c r="N21" s="41"/>
    </row>
    <row r="22" spans="1:14" ht="41.25" x14ac:dyDescent="0.2">
      <c r="A22" s="50"/>
      <c r="B22" s="51"/>
      <c r="C22" s="14" t="s">
        <v>77</v>
      </c>
      <c r="D22" s="1" t="s">
        <v>8</v>
      </c>
      <c r="E22" s="14" t="s">
        <v>58</v>
      </c>
      <c r="F22" s="14" t="s">
        <v>58</v>
      </c>
      <c r="G22" s="14" t="s">
        <v>58</v>
      </c>
      <c r="H22" s="14" t="s">
        <v>58</v>
      </c>
      <c r="I22" s="14" t="s">
        <v>58</v>
      </c>
    </row>
    <row r="23" spans="1:14" ht="41.25" x14ac:dyDescent="0.2">
      <c r="A23" s="50"/>
      <c r="B23" s="51"/>
      <c r="C23" s="14" t="s">
        <v>78</v>
      </c>
      <c r="D23" s="1" t="s">
        <v>8</v>
      </c>
      <c r="E23" s="14" t="s">
        <v>58</v>
      </c>
      <c r="F23" s="14" t="s">
        <v>58</v>
      </c>
      <c r="G23" s="14" t="s">
        <v>58</v>
      </c>
      <c r="H23" s="14" t="s">
        <v>58</v>
      </c>
      <c r="I23" s="14" t="s">
        <v>58</v>
      </c>
    </row>
    <row r="24" spans="1:14" x14ac:dyDescent="0.2">
      <c r="A24" s="50"/>
      <c r="B24" s="51"/>
      <c r="C24" s="4" t="s">
        <v>4</v>
      </c>
      <c r="D24" s="4"/>
      <c r="E24" s="5"/>
      <c r="F24" s="5"/>
      <c r="G24" s="5"/>
      <c r="H24" s="5"/>
      <c r="I24" s="5"/>
    </row>
    <row r="25" spans="1:14" x14ac:dyDescent="0.2">
      <c r="A25" s="50"/>
      <c r="B25" s="51"/>
      <c r="C25" s="22" t="s">
        <v>79</v>
      </c>
      <c r="D25" s="1" t="s">
        <v>57</v>
      </c>
      <c r="E25" t="s">
        <v>59</v>
      </c>
      <c r="F25" t="s">
        <v>59</v>
      </c>
      <c r="G25" t="s">
        <v>59</v>
      </c>
      <c r="H25" t="s">
        <v>59</v>
      </c>
      <c r="I25" t="s">
        <v>59</v>
      </c>
    </row>
    <row r="26" spans="1:14" x14ac:dyDescent="0.2">
      <c r="A26" s="50"/>
      <c r="B26" s="51"/>
      <c r="C26" s="15" t="s">
        <v>5</v>
      </c>
      <c r="D26" s="15"/>
      <c r="E26" s="16"/>
      <c r="F26" s="16"/>
      <c r="G26" s="16"/>
      <c r="H26" s="16"/>
      <c r="I26" s="16"/>
    </row>
    <row r="27" spans="1:14" x14ac:dyDescent="0.2">
      <c r="A27" s="50"/>
      <c r="B27" s="51"/>
      <c r="C27" s="22" t="s">
        <v>80</v>
      </c>
      <c r="D27" s="1" t="s">
        <v>57</v>
      </c>
      <c r="E27" t="s">
        <v>59</v>
      </c>
      <c r="F27" t="s">
        <v>59</v>
      </c>
      <c r="G27" t="s">
        <v>59</v>
      </c>
      <c r="H27" t="s">
        <v>59</v>
      </c>
      <c r="I27" t="s">
        <v>59</v>
      </c>
    </row>
    <row r="28" spans="1:14" x14ac:dyDescent="0.2">
      <c r="A28" s="20"/>
      <c r="B28" s="21"/>
      <c r="C28" s="1"/>
    </row>
    <row r="29" spans="1:14" x14ac:dyDescent="0.2">
      <c r="A29" s="49" t="s">
        <v>0</v>
      </c>
      <c r="B29" s="49"/>
      <c r="C29" s="10" t="s">
        <v>1</v>
      </c>
      <c r="D29" s="10" t="s">
        <v>2</v>
      </c>
      <c r="E29" s="10" t="s">
        <v>246</v>
      </c>
      <c r="F29" s="10" t="s">
        <v>246</v>
      </c>
      <c r="G29" s="10" t="s">
        <v>246</v>
      </c>
      <c r="H29" s="10" t="s">
        <v>246</v>
      </c>
      <c r="I29" s="10" t="s">
        <v>246</v>
      </c>
    </row>
    <row r="30" spans="1:14" x14ac:dyDescent="0.2">
      <c r="A30" s="50" t="s">
        <v>81</v>
      </c>
      <c r="B30" s="51" t="s">
        <v>82</v>
      </c>
      <c r="C30" s="4" t="s">
        <v>3</v>
      </c>
      <c r="D30" s="4"/>
      <c r="E30" s="5"/>
      <c r="F30" s="5"/>
      <c r="G30" s="5"/>
      <c r="H30" s="5"/>
      <c r="I30" s="5"/>
    </row>
    <row r="31" spans="1:14" ht="41.25" x14ac:dyDescent="0.2">
      <c r="A31" s="50"/>
      <c r="B31" s="51"/>
      <c r="C31" s="14" t="s">
        <v>83</v>
      </c>
      <c r="D31" s="1" t="s">
        <v>7</v>
      </c>
      <c r="E31" t="s">
        <v>58</v>
      </c>
      <c r="F31" t="s">
        <v>58</v>
      </c>
      <c r="G31" t="s">
        <v>58</v>
      </c>
      <c r="H31" t="s">
        <v>58</v>
      </c>
      <c r="I31" t="s">
        <v>58</v>
      </c>
    </row>
    <row r="32" spans="1:14" x14ac:dyDescent="0.2">
      <c r="A32" s="50"/>
      <c r="B32" s="51"/>
      <c r="C32" s="4" t="s">
        <v>84</v>
      </c>
      <c r="D32" s="4"/>
      <c r="E32" s="5"/>
      <c r="F32" s="5"/>
      <c r="G32" s="5"/>
      <c r="H32" s="5"/>
      <c r="I32" s="5"/>
    </row>
    <row r="33" spans="1:14" ht="27.75" x14ac:dyDescent="0.2">
      <c r="A33" s="50"/>
      <c r="B33" s="51"/>
      <c r="C33" s="14" t="s">
        <v>85</v>
      </c>
      <c r="D33" s="1" t="s">
        <v>8</v>
      </c>
      <c r="E33" s="14" t="s">
        <v>58</v>
      </c>
      <c r="F33" s="14" t="s">
        <v>58</v>
      </c>
      <c r="G33" s="14" t="s">
        <v>58</v>
      </c>
      <c r="H33" s="14" t="s">
        <v>58</v>
      </c>
      <c r="I33" s="14" t="s">
        <v>58</v>
      </c>
      <c r="L33" s="47" t="s">
        <v>224</v>
      </c>
      <c r="M33" s="47"/>
      <c r="N33" s="47"/>
    </row>
    <row r="34" spans="1:14" ht="27.75" x14ac:dyDescent="0.2">
      <c r="A34" s="50"/>
      <c r="B34" s="51"/>
      <c r="C34" s="14" t="s">
        <v>86</v>
      </c>
      <c r="D34" s="1" t="s">
        <v>8</v>
      </c>
      <c r="E34" s="14" t="s">
        <v>58</v>
      </c>
      <c r="F34" s="14" t="s">
        <v>58</v>
      </c>
      <c r="G34" s="14" t="s">
        <v>58</v>
      </c>
      <c r="H34" s="14" t="s">
        <v>58</v>
      </c>
      <c r="I34" s="14" t="s">
        <v>58</v>
      </c>
      <c r="L34" s="41" t="s">
        <v>230</v>
      </c>
      <c r="M34" s="41"/>
      <c r="N34" s="41"/>
    </row>
    <row r="35" spans="1:14" ht="27.75" x14ac:dyDescent="0.2">
      <c r="A35" s="50"/>
      <c r="B35" s="51"/>
      <c r="C35" s="14" t="s">
        <v>87</v>
      </c>
      <c r="D35" s="1" t="s">
        <v>8</v>
      </c>
      <c r="E35" s="14" t="s">
        <v>58</v>
      </c>
      <c r="F35" s="14" t="s">
        <v>58</v>
      </c>
      <c r="G35" s="14" t="s">
        <v>58</v>
      </c>
      <c r="H35" s="14" t="s">
        <v>58</v>
      </c>
      <c r="I35" s="14" t="s">
        <v>58</v>
      </c>
      <c r="L35" s="41"/>
      <c r="M35" s="41"/>
      <c r="N35" s="41"/>
    </row>
    <row r="36" spans="1:14" ht="41.25" x14ac:dyDescent="0.2">
      <c r="A36" s="50"/>
      <c r="B36" s="51"/>
      <c r="C36" s="14" t="s">
        <v>88</v>
      </c>
      <c r="D36" s="1" t="s">
        <v>8</v>
      </c>
      <c r="E36" s="14" t="s">
        <v>58</v>
      </c>
      <c r="F36" s="14" t="s">
        <v>58</v>
      </c>
      <c r="G36" s="14" t="s">
        <v>58</v>
      </c>
      <c r="H36" s="14" t="s">
        <v>58</v>
      </c>
      <c r="I36" s="14" t="s">
        <v>58</v>
      </c>
      <c r="L36" s="41"/>
      <c r="M36" s="41"/>
      <c r="N36" s="41"/>
    </row>
    <row r="37" spans="1:14" ht="27.75" x14ac:dyDescent="0.2">
      <c r="A37" s="50"/>
      <c r="B37" s="51"/>
      <c r="C37" s="14" t="s">
        <v>89</v>
      </c>
      <c r="D37" s="1" t="s">
        <v>8</v>
      </c>
      <c r="E37" s="14" t="s">
        <v>58</v>
      </c>
      <c r="F37" s="14" t="s">
        <v>58</v>
      </c>
      <c r="G37" s="14" t="s">
        <v>58</v>
      </c>
      <c r="H37" s="14" t="s">
        <v>58</v>
      </c>
      <c r="I37" s="14" t="s">
        <v>58</v>
      </c>
    </row>
    <row r="38" spans="1:14" ht="30.75" customHeight="1" x14ac:dyDescent="0.2">
      <c r="A38" s="50"/>
      <c r="B38" s="51"/>
      <c r="C38" s="14" t="s">
        <v>90</v>
      </c>
      <c r="D38" s="1" t="s">
        <v>8</v>
      </c>
      <c r="E38" s="14" t="s">
        <v>58</v>
      </c>
      <c r="F38" s="14" t="s">
        <v>58</v>
      </c>
      <c r="G38" s="14" t="s">
        <v>58</v>
      </c>
      <c r="H38" s="14" t="s">
        <v>58</v>
      </c>
      <c r="I38" s="14" t="s">
        <v>58</v>
      </c>
    </row>
    <row r="39" spans="1:14" ht="27.75" x14ac:dyDescent="0.2">
      <c r="A39" s="50"/>
      <c r="B39" s="51"/>
      <c r="C39" s="14" t="s">
        <v>91</v>
      </c>
      <c r="D39" s="1" t="s">
        <v>8</v>
      </c>
      <c r="E39" s="14" t="s">
        <v>58</v>
      </c>
      <c r="F39" s="14" t="s">
        <v>58</v>
      </c>
      <c r="G39" s="14" t="s">
        <v>58</v>
      </c>
      <c r="H39" s="14" t="s">
        <v>58</v>
      </c>
      <c r="I39" s="14" t="s">
        <v>58</v>
      </c>
    </row>
    <row r="40" spans="1:14" x14ac:dyDescent="0.2">
      <c r="A40" s="50"/>
      <c r="B40" s="51"/>
      <c r="C40" s="4" t="s">
        <v>4</v>
      </c>
      <c r="D40" s="4"/>
      <c r="E40" s="5"/>
      <c r="F40" s="5"/>
      <c r="G40" s="5"/>
      <c r="H40" s="5"/>
      <c r="I40" s="5"/>
    </row>
    <row r="41" spans="1:14" x14ac:dyDescent="0.2">
      <c r="A41" s="50"/>
      <c r="B41" s="51"/>
      <c r="C41" s="22" t="s">
        <v>92</v>
      </c>
      <c r="D41" s="1" t="s">
        <v>57</v>
      </c>
      <c r="E41" t="s">
        <v>59</v>
      </c>
      <c r="F41" t="s">
        <v>59</v>
      </c>
      <c r="G41" t="s">
        <v>59</v>
      </c>
      <c r="H41" t="s">
        <v>59</v>
      </c>
      <c r="I41" t="s">
        <v>59</v>
      </c>
    </row>
    <row r="42" spans="1:14" x14ac:dyDescent="0.2">
      <c r="A42" s="50"/>
      <c r="B42" s="51"/>
      <c r="C42" s="15" t="s">
        <v>5</v>
      </c>
      <c r="D42" s="15"/>
      <c r="E42" s="16"/>
      <c r="F42" s="16"/>
      <c r="G42" s="16"/>
      <c r="H42" s="16"/>
      <c r="I42" s="16"/>
    </row>
    <row r="43" spans="1:14" x14ac:dyDescent="0.2">
      <c r="A43" s="50"/>
      <c r="B43" s="51"/>
      <c r="C43" s="22" t="s">
        <v>93</v>
      </c>
      <c r="D43" s="1" t="s">
        <v>57</v>
      </c>
      <c r="E43" t="s">
        <v>59</v>
      </c>
      <c r="F43" t="s">
        <v>59</v>
      </c>
      <c r="G43" t="s">
        <v>59</v>
      </c>
      <c r="H43" t="s">
        <v>59</v>
      </c>
      <c r="I43" t="s">
        <v>59</v>
      </c>
    </row>
    <row r="44" spans="1:14" x14ac:dyDescent="0.2">
      <c r="A44" s="1"/>
      <c r="B44" s="1"/>
      <c r="C44" s="1"/>
      <c r="E44" s="1"/>
      <c r="F44" s="1"/>
      <c r="G44" s="1"/>
      <c r="H44" s="1"/>
      <c r="I44" s="1"/>
    </row>
    <row r="45" spans="1:14" x14ac:dyDescent="0.2">
      <c r="A45" s="49" t="s">
        <v>0</v>
      </c>
      <c r="B45" s="49"/>
      <c r="C45" s="10" t="s">
        <v>1</v>
      </c>
      <c r="D45" s="10" t="s">
        <v>2</v>
      </c>
      <c r="E45" s="10" t="s">
        <v>246</v>
      </c>
      <c r="F45" s="10" t="s">
        <v>246</v>
      </c>
      <c r="G45" s="10" t="s">
        <v>246</v>
      </c>
      <c r="H45" s="10" t="s">
        <v>246</v>
      </c>
      <c r="I45" s="10" t="s">
        <v>246</v>
      </c>
    </row>
    <row r="46" spans="1:14" x14ac:dyDescent="0.2">
      <c r="A46" s="50" t="s">
        <v>94</v>
      </c>
      <c r="B46" s="51" t="s">
        <v>95</v>
      </c>
      <c r="C46" s="4" t="s">
        <v>3</v>
      </c>
      <c r="D46" s="4"/>
      <c r="E46" s="5"/>
      <c r="F46" s="5"/>
      <c r="G46" s="5"/>
      <c r="H46" s="5"/>
      <c r="I46" s="5"/>
    </row>
    <row r="47" spans="1:14" ht="27.75" x14ac:dyDescent="0.2">
      <c r="A47" s="50"/>
      <c r="B47" s="51"/>
      <c r="C47" s="14" t="s">
        <v>96</v>
      </c>
      <c r="D47" s="1" t="s">
        <v>7</v>
      </c>
      <c r="E47" t="s">
        <v>58</v>
      </c>
      <c r="F47" t="s">
        <v>58</v>
      </c>
      <c r="G47" t="s">
        <v>58</v>
      </c>
      <c r="H47" t="s">
        <v>58</v>
      </c>
      <c r="I47" t="s">
        <v>58</v>
      </c>
    </row>
    <row r="48" spans="1:14" ht="41.25" x14ac:dyDescent="0.2">
      <c r="A48" s="50"/>
      <c r="B48" s="51"/>
      <c r="C48" s="14" t="s">
        <v>97</v>
      </c>
      <c r="D48" s="1" t="s">
        <v>7</v>
      </c>
      <c r="E48" t="s">
        <v>58</v>
      </c>
      <c r="F48" t="s">
        <v>58</v>
      </c>
      <c r="G48" t="s">
        <v>58</v>
      </c>
      <c r="H48" t="s">
        <v>58</v>
      </c>
      <c r="I48" t="s">
        <v>58</v>
      </c>
    </row>
    <row r="49" spans="1:14" ht="41.25" x14ac:dyDescent="0.2">
      <c r="A49" s="50"/>
      <c r="B49" s="51"/>
      <c r="C49" s="14" t="s">
        <v>98</v>
      </c>
      <c r="D49" s="1" t="s">
        <v>7</v>
      </c>
      <c r="E49" t="s">
        <v>58</v>
      </c>
      <c r="F49" t="s">
        <v>58</v>
      </c>
      <c r="G49" t="s">
        <v>58</v>
      </c>
      <c r="H49" t="s">
        <v>58</v>
      </c>
      <c r="I49" t="s">
        <v>58</v>
      </c>
    </row>
    <row r="50" spans="1:14" ht="41.25" x14ac:dyDescent="0.2">
      <c r="A50" s="50"/>
      <c r="B50" s="51"/>
      <c r="C50" s="14" t="s">
        <v>99</v>
      </c>
      <c r="D50" s="1" t="s">
        <v>7</v>
      </c>
      <c r="E50" t="s">
        <v>58</v>
      </c>
      <c r="F50" t="s">
        <v>58</v>
      </c>
      <c r="G50" t="s">
        <v>58</v>
      </c>
      <c r="H50" t="s">
        <v>58</v>
      </c>
      <c r="I50" t="s">
        <v>58</v>
      </c>
    </row>
    <row r="51" spans="1:14" ht="41.25" x14ac:dyDescent="0.2">
      <c r="A51" s="50"/>
      <c r="B51" s="51"/>
      <c r="C51" s="14" t="s">
        <v>100</v>
      </c>
      <c r="D51" s="1" t="s">
        <v>7</v>
      </c>
      <c r="E51" t="s">
        <v>58</v>
      </c>
      <c r="F51" t="s">
        <v>58</v>
      </c>
      <c r="G51" t="s">
        <v>58</v>
      </c>
      <c r="H51" t="s">
        <v>58</v>
      </c>
      <c r="I51" t="s">
        <v>58</v>
      </c>
    </row>
    <row r="52" spans="1:14" ht="27.75" x14ac:dyDescent="0.2">
      <c r="A52" s="50"/>
      <c r="B52" s="51"/>
      <c r="C52" s="14" t="s">
        <v>101</v>
      </c>
      <c r="D52" s="1" t="s">
        <v>7</v>
      </c>
      <c r="E52" t="s">
        <v>58</v>
      </c>
      <c r="F52" t="s">
        <v>58</v>
      </c>
      <c r="G52" t="s">
        <v>58</v>
      </c>
      <c r="H52" t="s">
        <v>58</v>
      </c>
      <c r="I52" t="s">
        <v>58</v>
      </c>
    </row>
    <row r="53" spans="1:14" ht="27.75" x14ac:dyDescent="0.2">
      <c r="A53" s="50"/>
      <c r="B53" s="51"/>
      <c r="C53" s="14" t="s">
        <v>102</v>
      </c>
      <c r="D53" s="1" t="s">
        <v>7</v>
      </c>
      <c r="E53" t="s">
        <v>58</v>
      </c>
      <c r="F53" t="s">
        <v>58</v>
      </c>
      <c r="G53" t="s">
        <v>58</v>
      </c>
      <c r="H53" t="s">
        <v>58</v>
      </c>
      <c r="I53" t="s">
        <v>58</v>
      </c>
    </row>
    <row r="54" spans="1:14" ht="41.25" x14ac:dyDescent="0.2">
      <c r="A54" s="50"/>
      <c r="B54" s="51"/>
      <c r="C54" s="14" t="s">
        <v>103</v>
      </c>
      <c r="D54" s="1" t="s">
        <v>7</v>
      </c>
      <c r="E54" t="s">
        <v>58</v>
      </c>
      <c r="F54" t="s">
        <v>58</v>
      </c>
      <c r="G54" t="s">
        <v>58</v>
      </c>
      <c r="H54" t="s">
        <v>58</v>
      </c>
      <c r="I54" t="s">
        <v>58</v>
      </c>
    </row>
    <row r="55" spans="1:14" x14ac:dyDescent="0.2">
      <c r="A55" s="50"/>
      <c r="B55" s="51"/>
      <c r="C55" s="4" t="s">
        <v>105</v>
      </c>
      <c r="D55" s="4"/>
      <c r="E55" s="5"/>
      <c r="F55" s="5"/>
      <c r="G55" s="5"/>
      <c r="H55" s="5"/>
      <c r="I55" s="5"/>
    </row>
    <row r="56" spans="1:14" x14ac:dyDescent="0.2">
      <c r="A56" s="50"/>
      <c r="B56" s="51"/>
      <c r="C56" s="14" t="s">
        <v>106</v>
      </c>
      <c r="D56" s="1" t="s">
        <v>8</v>
      </c>
      <c r="E56" s="14" t="s">
        <v>58</v>
      </c>
      <c r="F56" s="14" t="s">
        <v>58</v>
      </c>
      <c r="G56" s="14" t="s">
        <v>58</v>
      </c>
      <c r="H56" s="14" t="s">
        <v>58</v>
      </c>
      <c r="I56" s="14" t="s">
        <v>58</v>
      </c>
      <c r="L56" s="47" t="s">
        <v>224</v>
      </c>
      <c r="M56" s="47"/>
      <c r="N56" s="47"/>
    </row>
    <row r="57" spans="1:14" ht="27.75" x14ac:dyDescent="0.2">
      <c r="A57" s="50"/>
      <c r="B57" s="51"/>
      <c r="C57" s="14" t="s">
        <v>107</v>
      </c>
      <c r="D57" s="1" t="s">
        <v>8</v>
      </c>
      <c r="E57" s="14" t="s">
        <v>58</v>
      </c>
      <c r="F57" s="14" t="s">
        <v>58</v>
      </c>
      <c r="G57" s="14" t="s">
        <v>58</v>
      </c>
      <c r="H57" s="14" t="s">
        <v>58</v>
      </c>
      <c r="I57" s="14" t="s">
        <v>58</v>
      </c>
      <c r="L57" s="41" t="s">
        <v>231</v>
      </c>
      <c r="M57" s="41"/>
      <c r="N57" s="41"/>
    </row>
    <row r="58" spans="1:14" ht="41.25" x14ac:dyDescent="0.2">
      <c r="A58" s="50"/>
      <c r="B58" s="51"/>
      <c r="C58" s="14" t="s">
        <v>108</v>
      </c>
      <c r="D58" s="1" t="s">
        <v>8</v>
      </c>
      <c r="E58" s="14" t="s">
        <v>58</v>
      </c>
      <c r="F58" s="14" t="s">
        <v>58</v>
      </c>
      <c r="G58" s="14" t="s">
        <v>58</v>
      </c>
      <c r="H58" s="14" t="s">
        <v>58</v>
      </c>
      <c r="I58" s="14" t="s">
        <v>58</v>
      </c>
      <c r="L58" s="41"/>
      <c r="M58" s="41"/>
      <c r="N58" s="41"/>
    </row>
    <row r="59" spans="1:14" ht="41.25" x14ac:dyDescent="0.2">
      <c r="A59" s="50"/>
      <c r="B59" s="51"/>
      <c r="C59" s="14" t="s">
        <v>88</v>
      </c>
      <c r="D59" s="1" t="s">
        <v>8</v>
      </c>
      <c r="E59" s="14" t="s">
        <v>58</v>
      </c>
      <c r="F59" s="14" t="s">
        <v>58</v>
      </c>
      <c r="G59" s="14" t="s">
        <v>58</v>
      </c>
      <c r="H59" s="14" t="s">
        <v>58</v>
      </c>
      <c r="I59" s="14" t="s">
        <v>58</v>
      </c>
      <c r="L59" s="41"/>
      <c r="M59" s="41"/>
      <c r="N59" s="41"/>
    </row>
    <row r="60" spans="1:14" ht="27.75" x14ac:dyDescent="0.2">
      <c r="A60" s="50"/>
      <c r="B60" s="51"/>
      <c r="C60" s="14" t="s">
        <v>109</v>
      </c>
      <c r="D60" s="1" t="s">
        <v>8</v>
      </c>
      <c r="E60" s="14" t="s">
        <v>58</v>
      </c>
      <c r="F60" s="14" t="s">
        <v>58</v>
      </c>
      <c r="G60" s="14" t="s">
        <v>58</v>
      </c>
      <c r="H60" s="14" t="s">
        <v>58</v>
      </c>
      <c r="I60" s="14" t="s">
        <v>58</v>
      </c>
    </row>
    <row r="61" spans="1:14" ht="27.75" x14ac:dyDescent="0.2">
      <c r="A61" s="50"/>
      <c r="B61" s="51"/>
      <c r="C61" s="14" t="s">
        <v>110</v>
      </c>
      <c r="D61" s="1" t="s">
        <v>8</v>
      </c>
      <c r="E61" s="14" t="s">
        <v>58</v>
      </c>
      <c r="F61" s="14" t="s">
        <v>58</v>
      </c>
      <c r="G61" s="14" t="s">
        <v>58</v>
      </c>
      <c r="H61" s="14" t="s">
        <v>58</v>
      </c>
      <c r="I61" s="14" t="s">
        <v>58</v>
      </c>
    </row>
    <row r="62" spans="1:14" ht="27.75" x14ac:dyDescent="0.2">
      <c r="A62" s="50"/>
      <c r="B62" s="51"/>
      <c r="C62" s="14" t="s">
        <v>111</v>
      </c>
      <c r="D62" s="1" t="s">
        <v>8</v>
      </c>
      <c r="E62" s="14" t="s">
        <v>58</v>
      </c>
      <c r="F62" s="14" t="s">
        <v>58</v>
      </c>
      <c r="G62" s="14" t="s">
        <v>58</v>
      </c>
      <c r="H62" s="14" t="s">
        <v>58</v>
      </c>
      <c r="I62" s="14" t="s">
        <v>58</v>
      </c>
    </row>
    <row r="63" spans="1:14" ht="27.75" x14ac:dyDescent="0.2">
      <c r="A63" s="50"/>
      <c r="B63" s="51"/>
      <c r="C63" s="14" t="s">
        <v>112</v>
      </c>
      <c r="D63" s="1" t="s">
        <v>8</v>
      </c>
      <c r="E63" s="14" t="s">
        <v>58</v>
      </c>
      <c r="F63" s="14" t="s">
        <v>58</v>
      </c>
      <c r="G63" s="14" t="s">
        <v>58</v>
      </c>
      <c r="H63" s="14" t="s">
        <v>58</v>
      </c>
      <c r="I63" s="14" t="s">
        <v>58</v>
      </c>
    </row>
    <row r="64" spans="1:14" ht="27.75" x14ac:dyDescent="0.2">
      <c r="A64" s="50"/>
      <c r="B64" s="51"/>
      <c r="C64" s="14" t="s">
        <v>113</v>
      </c>
      <c r="D64" s="1" t="s">
        <v>8</v>
      </c>
      <c r="E64" s="14" t="s">
        <v>58</v>
      </c>
      <c r="F64" s="14" t="s">
        <v>58</v>
      </c>
      <c r="G64" s="14" t="s">
        <v>58</v>
      </c>
      <c r="H64" s="14" t="s">
        <v>58</v>
      </c>
      <c r="I64" s="14" t="s">
        <v>58</v>
      </c>
    </row>
    <row r="65" spans="1:9" ht="27.75" x14ac:dyDescent="0.2">
      <c r="A65" s="50"/>
      <c r="B65" s="51"/>
      <c r="C65" s="14" t="s">
        <v>114</v>
      </c>
      <c r="D65" s="1" t="s">
        <v>8</v>
      </c>
      <c r="E65" s="14" t="s">
        <v>58</v>
      </c>
      <c r="F65" s="14" t="s">
        <v>58</v>
      </c>
      <c r="G65" s="14" t="s">
        <v>58</v>
      </c>
      <c r="H65" s="14" t="s">
        <v>58</v>
      </c>
      <c r="I65" s="14" t="s">
        <v>58</v>
      </c>
    </row>
    <row r="66" spans="1:9" ht="36.75" customHeight="1" x14ac:dyDescent="0.2">
      <c r="A66" s="50"/>
      <c r="B66" s="51"/>
      <c r="C66" s="14" t="s">
        <v>115</v>
      </c>
      <c r="D66" s="1" t="s">
        <v>8</v>
      </c>
      <c r="E66" s="14" t="s">
        <v>58</v>
      </c>
      <c r="F66" s="14" t="s">
        <v>58</v>
      </c>
      <c r="G66" s="14" t="s">
        <v>58</v>
      </c>
      <c r="H66" s="14" t="s">
        <v>58</v>
      </c>
      <c r="I66" s="14" t="s">
        <v>58</v>
      </c>
    </row>
    <row r="67" spans="1:9" x14ac:dyDescent="0.2">
      <c r="A67" s="50"/>
      <c r="B67" s="51"/>
      <c r="C67" s="4" t="s">
        <v>4</v>
      </c>
      <c r="D67" s="4"/>
      <c r="E67" s="5"/>
      <c r="F67" s="5"/>
      <c r="G67" s="5"/>
      <c r="H67" s="5"/>
      <c r="I67" s="5"/>
    </row>
    <row r="68" spans="1:9" x14ac:dyDescent="0.2">
      <c r="A68" s="50"/>
      <c r="B68" s="51"/>
      <c r="C68" t="s">
        <v>104</v>
      </c>
      <c r="D68" s="1" t="s">
        <v>57</v>
      </c>
      <c r="E68" t="s">
        <v>59</v>
      </c>
      <c r="F68" t="s">
        <v>59</v>
      </c>
      <c r="G68" t="s">
        <v>59</v>
      </c>
      <c r="H68" t="s">
        <v>59</v>
      </c>
      <c r="I68" t="s">
        <v>59</v>
      </c>
    </row>
  </sheetData>
  <mergeCells count="21">
    <mergeCell ref="A1:B1"/>
    <mergeCell ref="A2:B2"/>
    <mergeCell ref="A3:A14"/>
    <mergeCell ref="B3:B14"/>
    <mergeCell ref="A46:A68"/>
    <mergeCell ref="B46:B68"/>
    <mergeCell ref="A16:B16"/>
    <mergeCell ref="A17:A27"/>
    <mergeCell ref="B17:B27"/>
    <mergeCell ref="A30:A43"/>
    <mergeCell ref="B30:B43"/>
    <mergeCell ref="A45:B45"/>
    <mergeCell ref="A29:B29"/>
    <mergeCell ref="L33:N33"/>
    <mergeCell ref="L34:N36"/>
    <mergeCell ref="L56:N56"/>
    <mergeCell ref="L57:N59"/>
    <mergeCell ref="L4:N4"/>
    <mergeCell ref="L5:N7"/>
    <mergeCell ref="L18:N18"/>
    <mergeCell ref="L19:N21"/>
  </mergeCells>
  <conditionalFormatting sqref="E4:I10">
    <cfRule type="containsText" dxfId="128" priority="164" operator="containsText" text="Feito">
      <formula>NOT(ISERROR(SEARCH("Feito",E4)))</formula>
    </cfRule>
    <cfRule type="containsText" dxfId="127" priority="163" operator="containsText" text="Fazer">
      <formula>NOT(ISERROR(SEARCH("Fazer",E4)))</formula>
    </cfRule>
    <cfRule type="containsText" dxfId="126" priority="162" operator="containsText" text="Troca">
      <formula>NOT(ISERROR(SEARCH("Troca",E4)))</formula>
    </cfRule>
  </conditionalFormatting>
  <conditionalFormatting sqref="E12:I12">
    <cfRule type="containsText" dxfId="125" priority="263" operator="containsText" text="Fazer">
      <formula>NOT(ISERROR(SEARCH("Fazer",E12)))</formula>
    </cfRule>
    <cfRule type="containsText" dxfId="124" priority="262" operator="containsText" text="Optou">
      <formula>NOT(ISERROR(SEARCH("Optou",E12)))</formula>
    </cfRule>
    <cfRule type="containsText" dxfId="123" priority="264" operator="containsText" text="Feito">
      <formula>NOT(ISERROR(SEARCH("Feito",E12)))</formula>
    </cfRule>
  </conditionalFormatting>
  <conditionalFormatting sqref="E14:I14">
    <cfRule type="containsText" dxfId="122" priority="249" operator="containsText" text="Feito">
      <formula>NOT(ISERROR(SEARCH("Feito",E14)))</formula>
    </cfRule>
    <cfRule type="containsText" dxfId="121" priority="248" operator="containsText" text="Fazer">
      <formula>NOT(ISERROR(SEARCH("Fazer",E14)))</formula>
    </cfRule>
    <cfRule type="containsText" dxfId="120" priority="247" operator="containsText" text="Optou">
      <formula>NOT(ISERROR(SEARCH("Optou",E14)))</formula>
    </cfRule>
  </conditionalFormatting>
  <conditionalFormatting sqref="E18:I23">
    <cfRule type="containsText" dxfId="119" priority="119" operator="containsText" text="Troca">
      <formula>NOT(ISERROR(SEARCH("Troca",E18)))</formula>
    </cfRule>
    <cfRule type="containsText" dxfId="118" priority="120" operator="containsText" text="Fazer">
      <formula>NOT(ISERROR(SEARCH("Fazer",E18)))</formula>
    </cfRule>
    <cfRule type="containsText" dxfId="117" priority="121" operator="containsText" text="Feito">
      <formula>NOT(ISERROR(SEARCH("Feito",E18)))</formula>
    </cfRule>
  </conditionalFormatting>
  <conditionalFormatting sqref="E25:I25">
    <cfRule type="containsText" dxfId="116" priority="139" operator="containsText" text="Feito">
      <formula>NOT(ISERROR(SEARCH("Feito",E25)))</formula>
    </cfRule>
    <cfRule type="containsText" dxfId="115" priority="138" operator="containsText" text="Fazer">
      <formula>NOT(ISERROR(SEARCH("Fazer",E25)))</formula>
    </cfRule>
    <cfRule type="containsText" dxfId="114" priority="137" operator="containsText" text="Optou">
      <formula>NOT(ISERROR(SEARCH("Optou",E25)))</formula>
    </cfRule>
  </conditionalFormatting>
  <conditionalFormatting sqref="E27:I27">
    <cfRule type="containsText" dxfId="113" priority="123" operator="containsText" text="Fazer">
      <formula>NOT(ISERROR(SEARCH("Fazer",E27)))</formula>
    </cfRule>
    <cfRule type="containsText" dxfId="112" priority="124" operator="containsText" text="Feito">
      <formula>NOT(ISERROR(SEARCH("Feito",E27)))</formula>
    </cfRule>
    <cfRule type="containsText" dxfId="111" priority="122" operator="containsText" text="Optou">
      <formula>NOT(ISERROR(SEARCH("Optou",E27)))</formula>
    </cfRule>
  </conditionalFormatting>
  <conditionalFormatting sqref="E31:I31">
    <cfRule type="containsText" dxfId="110" priority="75" operator="containsText" text="Fazer">
      <formula>NOT(ISERROR(SEARCH("Fazer",E31)))</formula>
    </cfRule>
    <cfRule type="containsText" dxfId="109" priority="76" operator="containsText" text="Feito">
      <formula>NOT(ISERROR(SEARCH("Feito",E31)))</formula>
    </cfRule>
  </conditionalFormatting>
  <conditionalFormatting sqref="E33:I39">
    <cfRule type="containsText" dxfId="108" priority="72" operator="containsText" text="Troca">
      <formula>NOT(ISERROR(SEARCH("Troca",E33)))</formula>
    </cfRule>
    <cfRule type="containsText" dxfId="107" priority="73" operator="containsText" text="Fazer">
      <formula>NOT(ISERROR(SEARCH("Fazer",E33)))</formula>
    </cfRule>
    <cfRule type="containsText" dxfId="106" priority="74" operator="containsText" text="Feito">
      <formula>NOT(ISERROR(SEARCH("Feito",E33)))</formula>
    </cfRule>
  </conditionalFormatting>
  <conditionalFormatting sqref="E41:I41">
    <cfRule type="containsText" dxfId="105" priority="99" operator="containsText" text="Feito">
      <formula>NOT(ISERROR(SEARCH("Feito",E41)))</formula>
    </cfRule>
    <cfRule type="containsText" dxfId="104" priority="98" operator="containsText" text="Fazer">
      <formula>NOT(ISERROR(SEARCH("Fazer",E41)))</formula>
    </cfRule>
    <cfRule type="containsText" dxfId="103" priority="97" operator="containsText" text="Optou">
      <formula>NOT(ISERROR(SEARCH("Optou",E41)))</formula>
    </cfRule>
  </conditionalFormatting>
  <conditionalFormatting sqref="E43:I43">
    <cfRule type="containsText" dxfId="102" priority="84" operator="containsText" text="Feito">
      <formula>NOT(ISERROR(SEARCH("Feito",E43)))</formula>
    </cfRule>
    <cfRule type="containsText" dxfId="101" priority="83" operator="containsText" text="Fazer">
      <formula>NOT(ISERROR(SEARCH("Fazer",E43)))</formula>
    </cfRule>
    <cfRule type="containsText" dxfId="100" priority="82" operator="containsText" text="Optou">
      <formula>NOT(ISERROR(SEARCH("Optou",E43)))</formula>
    </cfRule>
  </conditionalFormatting>
  <conditionalFormatting sqref="E47:I54">
    <cfRule type="containsText" dxfId="99" priority="14" operator="containsText" text="Feito">
      <formula>NOT(ISERROR(SEARCH("Feito",E47)))</formula>
    </cfRule>
    <cfRule type="containsText" dxfId="98" priority="13" operator="containsText" text="Fazer">
      <formula>NOT(ISERROR(SEARCH("Fazer",E47)))</formula>
    </cfRule>
  </conditionalFormatting>
  <conditionalFormatting sqref="E56:I66">
    <cfRule type="containsText" dxfId="97" priority="3" operator="containsText" text="Feito">
      <formula>NOT(ISERROR(SEARCH("Feito",E56)))</formula>
    </cfRule>
    <cfRule type="containsText" dxfId="96" priority="2" operator="containsText" text="Fazer">
      <formula>NOT(ISERROR(SEARCH("Fazer",E56)))</formula>
    </cfRule>
    <cfRule type="containsText" dxfId="95" priority="1" operator="containsText" text="Troca">
      <formula>NOT(ISERROR(SEARCH("Troca",E56)))</formula>
    </cfRule>
  </conditionalFormatting>
  <conditionalFormatting sqref="E68:I68">
    <cfRule type="containsText" dxfId="94" priority="52" operator="containsText" text="Feito">
      <formula>NOT(ISERROR(SEARCH("Feito",E68)))</formula>
    </cfRule>
    <cfRule type="containsText" dxfId="93" priority="51" operator="containsText" text="Fazer">
      <formula>NOT(ISERROR(SEARCH("Fazer",E68)))</formula>
    </cfRule>
    <cfRule type="containsText" dxfId="92" priority="50" operator="containsText" text="Optou">
      <formula>NOT(ISERROR(SEARCH("Optou",E68)))</formula>
    </cfRule>
  </conditionalFormatting>
  <dataValidations count="3">
    <dataValidation type="list" allowBlank="1" showInputMessage="1" showErrorMessage="1" sqref="E12:I12 E14:I14 E25:I25 E27:I27 E41:I41 E43:I43 E68:I68" xr:uid="{D5E1DBF0-3863-4F63-97FF-27B6FB3CECE2}">
      <formula1>"Feito,Não optou,"</formula1>
    </dataValidation>
    <dataValidation type="list" allowBlank="1" showInputMessage="1" showErrorMessage="1" sqref="E33:I39 E4:I10 E18:I23 E56:I66" xr:uid="{5F18A665-E576-4D50-9052-943C695F7101}">
      <formula1>"Feito,A fazer,Troca por Especialidade"</formula1>
    </dataValidation>
    <dataValidation type="list" allowBlank="1" showInputMessage="1" showErrorMessage="1" sqref="E31:I31 E47:I54" xr:uid="{E82A376F-D86B-4478-AC6E-D72C60411126}">
      <formula1>"Feito,A fazer"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1542-E332-4A48-8973-EAFCFFB8ABDC}">
  <sheetPr codeName="Planilha3">
    <tabColor rgb="FF00B0F0"/>
  </sheetPr>
  <dimension ref="A1:N75"/>
  <sheetViews>
    <sheetView topLeftCell="A73" workbookViewId="0">
      <selection activeCell="I68" sqref="I68"/>
    </sheetView>
  </sheetViews>
  <sheetFormatPr defaultRowHeight="15" x14ac:dyDescent="0.2"/>
  <cols>
    <col min="2" max="2" width="14.66015625" style="7" customWidth="1"/>
    <col min="3" max="3" width="59.0546875" customWidth="1"/>
    <col min="4" max="4" width="18.5625" style="1" customWidth="1"/>
    <col min="5" max="5" width="13.1796875" customWidth="1"/>
    <col min="6" max="9" width="13.31640625" bestFit="1" customWidth="1"/>
  </cols>
  <sheetData>
    <row r="1" spans="1:14" ht="76.5" customHeight="1" x14ac:dyDescent="0.2">
      <c r="A1" s="53"/>
      <c r="B1" s="53"/>
      <c r="C1" s="23" t="s">
        <v>9</v>
      </c>
      <c r="D1" s="24"/>
      <c r="E1" s="25"/>
      <c r="F1" s="25"/>
      <c r="G1" s="25"/>
      <c r="H1" s="25"/>
      <c r="I1" s="25"/>
    </row>
    <row r="2" spans="1:14" x14ac:dyDescent="0.2">
      <c r="A2" s="54" t="s">
        <v>0</v>
      </c>
      <c r="B2" s="54"/>
      <c r="C2" s="26" t="s">
        <v>1</v>
      </c>
      <c r="D2" s="26" t="s">
        <v>2</v>
      </c>
      <c r="E2" s="26" t="s">
        <v>246</v>
      </c>
      <c r="F2" s="26" t="s">
        <v>246</v>
      </c>
      <c r="G2" s="26" t="s">
        <v>246</v>
      </c>
      <c r="H2" s="26" t="s">
        <v>246</v>
      </c>
      <c r="I2" s="26" t="s">
        <v>246</v>
      </c>
    </row>
    <row r="3" spans="1:14" x14ac:dyDescent="0.2">
      <c r="A3" s="55" t="s">
        <v>116</v>
      </c>
      <c r="B3" s="56" t="s">
        <v>117</v>
      </c>
      <c r="C3" s="4" t="s">
        <v>3</v>
      </c>
      <c r="D3" s="4"/>
      <c r="E3" s="5"/>
      <c r="F3" s="5"/>
      <c r="G3" s="5"/>
      <c r="H3" s="5"/>
      <c r="I3" s="5"/>
    </row>
    <row r="4" spans="1:14" ht="27.75" x14ac:dyDescent="0.2">
      <c r="A4" s="55"/>
      <c r="B4" s="56"/>
      <c r="C4" s="14" t="s">
        <v>118</v>
      </c>
      <c r="D4" s="1" t="s">
        <v>7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</row>
    <row r="5" spans="1:14" ht="41.25" x14ac:dyDescent="0.2">
      <c r="A5" s="55"/>
      <c r="B5" s="56"/>
      <c r="C5" s="14" t="s">
        <v>119</v>
      </c>
      <c r="D5" s="1" t="s">
        <v>7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</row>
    <row r="6" spans="1:14" x14ac:dyDescent="0.2">
      <c r="A6" s="55"/>
      <c r="B6" s="56"/>
      <c r="C6" s="4" t="s">
        <v>84</v>
      </c>
      <c r="D6" s="4"/>
      <c r="E6" s="5"/>
      <c r="F6" s="5"/>
      <c r="G6" s="5"/>
      <c r="H6" s="5"/>
      <c r="I6" s="5"/>
    </row>
    <row r="7" spans="1:14" ht="27.75" x14ac:dyDescent="0.2">
      <c r="A7" s="55"/>
      <c r="B7" s="56"/>
      <c r="C7" s="14" t="s">
        <v>120</v>
      </c>
      <c r="D7" s="1" t="s">
        <v>8</v>
      </c>
      <c r="E7" s="14" t="s">
        <v>58</v>
      </c>
      <c r="F7" s="14" t="s">
        <v>58</v>
      </c>
      <c r="G7" s="14" t="s">
        <v>58</v>
      </c>
      <c r="H7" s="14" t="s">
        <v>58</v>
      </c>
      <c r="I7" s="14" t="s">
        <v>58</v>
      </c>
      <c r="L7" s="52" t="s">
        <v>224</v>
      </c>
      <c r="M7" s="52"/>
      <c r="N7" s="52"/>
    </row>
    <row r="8" spans="1:14" ht="41.25" x14ac:dyDescent="0.2">
      <c r="A8" s="55"/>
      <c r="B8" s="56"/>
      <c r="C8" s="14" t="s">
        <v>121</v>
      </c>
      <c r="D8" s="1" t="s">
        <v>8</v>
      </c>
      <c r="E8" s="14" t="s">
        <v>58</v>
      </c>
      <c r="F8" s="14" t="s">
        <v>58</v>
      </c>
      <c r="G8" s="14" t="s">
        <v>58</v>
      </c>
      <c r="H8" s="14" t="s">
        <v>58</v>
      </c>
      <c r="I8" s="14" t="s">
        <v>58</v>
      </c>
      <c r="L8" s="41" t="s">
        <v>232</v>
      </c>
      <c r="M8" s="41"/>
      <c r="N8" s="41"/>
    </row>
    <row r="9" spans="1:14" x14ac:dyDescent="0.2">
      <c r="A9" s="55"/>
      <c r="B9" s="56"/>
      <c r="C9" s="14" t="s">
        <v>122</v>
      </c>
      <c r="D9" s="1" t="s">
        <v>8</v>
      </c>
      <c r="E9" s="14" t="s">
        <v>58</v>
      </c>
      <c r="F9" s="14" t="s">
        <v>58</v>
      </c>
      <c r="G9" s="14" t="s">
        <v>58</v>
      </c>
      <c r="H9" s="14" t="s">
        <v>58</v>
      </c>
      <c r="I9" s="14" t="s">
        <v>58</v>
      </c>
      <c r="L9" s="41"/>
      <c r="M9" s="41"/>
      <c r="N9" s="41"/>
    </row>
    <row r="10" spans="1:14" ht="27.75" x14ac:dyDescent="0.2">
      <c r="A10" s="55"/>
      <c r="B10" s="56"/>
      <c r="C10" s="14" t="s">
        <v>123</v>
      </c>
      <c r="D10" s="1" t="s">
        <v>8</v>
      </c>
      <c r="E10" s="14" t="s">
        <v>58</v>
      </c>
      <c r="F10" s="14" t="s">
        <v>58</v>
      </c>
      <c r="G10" s="14" t="s">
        <v>58</v>
      </c>
      <c r="H10" s="14" t="s">
        <v>58</v>
      </c>
      <c r="I10" s="14" t="s">
        <v>58</v>
      </c>
      <c r="L10" s="41"/>
      <c r="M10" s="41"/>
      <c r="N10" s="41"/>
    </row>
    <row r="11" spans="1:14" ht="27.75" x14ac:dyDescent="0.2">
      <c r="A11" s="55"/>
      <c r="B11" s="56"/>
      <c r="C11" s="14" t="s">
        <v>124</v>
      </c>
      <c r="D11" s="1" t="s">
        <v>8</v>
      </c>
      <c r="E11" s="14" t="s">
        <v>58</v>
      </c>
      <c r="F11" s="14" t="s">
        <v>58</v>
      </c>
      <c r="G11" s="14" t="s">
        <v>58</v>
      </c>
      <c r="H11" s="14" t="s">
        <v>58</v>
      </c>
      <c r="I11" s="14" t="s">
        <v>58</v>
      </c>
    </row>
    <row r="12" spans="1:14" ht="27.75" x14ac:dyDescent="0.2">
      <c r="A12" s="55"/>
      <c r="B12" s="56"/>
      <c r="C12" s="14" t="s">
        <v>125</v>
      </c>
      <c r="D12" s="1" t="s">
        <v>8</v>
      </c>
      <c r="E12" s="14" t="s">
        <v>58</v>
      </c>
      <c r="F12" s="14" t="s">
        <v>58</v>
      </c>
      <c r="G12" s="14" t="s">
        <v>58</v>
      </c>
      <c r="H12" s="14" t="s">
        <v>58</v>
      </c>
      <c r="I12" s="14" t="s">
        <v>58</v>
      </c>
    </row>
    <row r="13" spans="1:14" x14ac:dyDescent="0.2">
      <c r="A13" s="55"/>
      <c r="B13" s="56"/>
      <c r="C13" s="4" t="s">
        <v>4</v>
      </c>
      <c r="D13" s="4"/>
      <c r="E13" s="5"/>
      <c r="F13" s="5"/>
      <c r="G13" s="5"/>
      <c r="H13" s="5"/>
      <c r="I13" s="5"/>
    </row>
    <row r="14" spans="1:14" ht="27.75" x14ac:dyDescent="0.2">
      <c r="A14" s="55"/>
      <c r="B14" s="56"/>
      <c r="C14" s="14" t="s">
        <v>126</v>
      </c>
      <c r="D14" s="1" t="s">
        <v>57</v>
      </c>
      <c r="E14" t="s">
        <v>59</v>
      </c>
      <c r="F14" t="s">
        <v>59</v>
      </c>
      <c r="G14" t="s">
        <v>59</v>
      </c>
      <c r="H14" t="s">
        <v>59</v>
      </c>
      <c r="I14" t="s">
        <v>59</v>
      </c>
    </row>
    <row r="15" spans="1:14" x14ac:dyDescent="0.2">
      <c r="A15" s="55"/>
      <c r="B15" s="56"/>
      <c r="C15" s="15" t="s">
        <v>5</v>
      </c>
      <c r="D15" s="15"/>
      <c r="E15" s="16"/>
      <c r="F15" s="16"/>
      <c r="G15" s="16"/>
      <c r="H15" s="16"/>
      <c r="I15" s="16"/>
    </row>
    <row r="16" spans="1:14" ht="15" customHeight="1" x14ac:dyDescent="0.2">
      <c r="A16" s="55"/>
      <c r="B16" s="56"/>
      <c r="C16" s="14" t="s">
        <v>127</v>
      </c>
      <c r="D16" s="1" t="s">
        <v>57</v>
      </c>
      <c r="E16" t="s">
        <v>59</v>
      </c>
      <c r="F16" t="s">
        <v>59</v>
      </c>
      <c r="G16" t="s">
        <v>59</v>
      </c>
      <c r="H16" t="s">
        <v>59</v>
      </c>
      <c r="I16" t="s">
        <v>59</v>
      </c>
    </row>
    <row r="18" spans="1:14" x14ac:dyDescent="0.2">
      <c r="A18" s="54" t="s">
        <v>0</v>
      </c>
      <c r="B18" s="54"/>
      <c r="C18" s="26" t="s">
        <v>1</v>
      </c>
      <c r="D18" s="26" t="s">
        <v>2</v>
      </c>
      <c r="E18" s="26" t="s">
        <v>246</v>
      </c>
      <c r="F18" s="26" t="s">
        <v>246</v>
      </c>
      <c r="G18" s="26" t="s">
        <v>246</v>
      </c>
      <c r="H18" s="26" t="s">
        <v>246</v>
      </c>
      <c r="I18" s="26" t="s">
        <v>246</v>
      </c>
    </row>
    <row r="19" spans="1:14" x14ac:dyDescent="0.2">
      <c r="A19" s="55" t="s">
        <v>128</v>
      </c>
      <c r="B19" s="56" t="s">
        <v>129</v>
      </c>
      <c r="C19" s="4" t="s">
        <v>3</v>
      </c>
      <c r="D19" s="4"/>
      <c r="E19" s="5"/>
      <c r="F19" s="5"/>
      <c r="G19" s="5"/>
      <c r="H19" s="5"/>
      <c r="I19" s="5"/>
    </row>
    <row r="20" spans="1:14" ht="41.25" x14ac:dyDescent="0.2">
      <c r="A20" s="55"/>
      <c r="B20" s="56"/>
      <c r="C20" s="14" t="s">
        <v>130</v>
      </c>
      <c r="D20" s="1" t="s">
        <v>7</v>
      </c>
      <c r="E20" t="s">
        <v>58</v>
      </c>
      <c r="F20" t="s">
        <v>58</v>
      </c>
      <c r="G20" t="s">
        <v>58</v>
      </c>
      <c r="H20" t="s">
        <v>58</v>
      </c>
      <c r="I20" t="s">
        <v>58</v>
      </c>
    </row>
    <row r="21" spans="1:14" ht="41.25" x14ac:dyDescent="0.2">
      <c r="A21" s="55"/>
      <c r="B21" s="56"/>
      <c r="C21" s="14" t="s">
        <v>131</v>
      </c>
      <c r="D21" s="1" t="s">
        <v>7</v>
      </c>
      <c r="E21" t="s">
        <v>58</v>
      </c>
      <c r="F21" t="s">
        <v>58</v>
      </c>
      <c r="G21" t="s">
        <v>58</v>
      </c>
      <c r="H21" t="s">
        <v>58</v>
      </c>
      <c r="I21" t="s">
        <v>58</v>
      </c>
    </row>
    <row r="22" spans="1:14" ht="27.75" x14ac:dyDescent="0.2">
      <c r="A22" s="55"/>
      <c r="B22" s="56"/>
      <c r="C22" s="14" t="s">
        <v>132</v>
      </c>
      <c r="D22" s="1" t="s">
        <v>7</v>
      </c>
      <c r="E22" t="s">
        <v>58</v>
      </c>
      <c r="F22" t="s">
        <v>58</v>
      </c>
      <c r="G22" t="s">
        <v>58</v>
      </c>
      <c r="H22" t="s">
        <v>58</v>
      </c>
      <c r="I22" t="s">
        <v>58</v>
      </c>
    </row>
    <row r="23" spans="1:14" x14ac:dyDescent="0.2">
      <c r="A23" s="55"/>
      <c r="B23" s="56"/>
      <c r="C23" s="4" t="s">
        <v>34</v>
      </c>
      <c r="D23" s="4"/>
      <c r="E23" s="5"/>
      <c r="F23" s="5"/>
      <c r="G23" s="5"/>
      <c r="H23" s="5"/>
      <c r="I23" s="5"/>
    </row>
    <row r="24" spans="1:14" ht="27.75" x14ac:dyDescent="0.2">
      <c r="A24" s="55"/>
      <c r="B24" s="56"/>
      <c r="C24" s="14" t="s">
        <v>133</v>
      </c>
      <c r="D24" s="1" t="s">
        <v>8</v>
      </c>
      <c r="E24" s="14" t="s">
        <v>58</v>
      </c>
      <c r="F24" s="14" t="s">
        <v>58</v>
      </c>
      <c r="G24" s="14" t="s">
        <v>58</v>
      </c>
      <c r="H24" s="14" t="s">
        <v>58</v>
      </c>
      <c r="I24" s="14" t="s">
        <v>58</v>
      </c>
      <c r="L24" s="52" t="s">
        <v>224</v>
      </c>
      <c r="M24" s="52"/>
      <c r="N24" s="52"/>
    </row>
    <row r="25" spans="1:14" ht="41.25" x14ac:dyDescent="0.2">
      <c r="A25" s="55"/>
      <c r="B25" s="56"/>
      <c r="C25" s="14" t="s">
        <v>134</v>
      </c>
      <c r="D25" s="1" t="s">
        <v>8</v>
      </c>
      <c r="E25" s="14" t="s">
        <v>58</v>
      </c>
      <c r="F25" s="14" t="s">
        <v>58</v>
      </c>
      <c r="G25" s="14" t="s">
        <v>58</v>
      </c>
      <c r="H25" s="14" t="s">
        <v>58</v>
      </c>
      <c r="I25" s="14" t="s">
        <v>58</v>
      </c>
      <c r="L25" s="41" t="s">
        <v>233</v>
      </c>
      <c r="M25" s="41"/>
      <c r="N25" s="41"/>
    </row>
    <row r="26" spans="1:14" ht="27.75" x14ac:dyDescent="0.2">
      <c r="A26" s="55"/>
      <c r="B26" s="56"/>
      <c r="C26" s="14" t="s">
        <v>135</v>
      </c>
      <c r="D26" s="1" t="s">
        <v>8</v>
      </c>
      <c r="E26" s="14" t="s">
        <v>58</v>
      </c>
      <c r="F26" s="14" t="s">
        <v>58</v>
      </c>
      <c r="G26" s="14" t="s">
        <v>58</v>
      </c>
      <c r="H26" s="14" t="s">
        <v>58</v>
      </c>
      <c r="I26" s="14" t="s">
        <v>58</v>
      </c>
      <c r="L26" s="41"/>
      <c r="M26" s="41"/>
      <c r="N26" s="41"/>
    </row>
    <row r="27" spans="1:14" x14ac:dyDescent="0.2">
      <c r="A27" s="55"/>
      <c r="B27" s="56"/>
      <c r="C27" s="14" t="s">
        <v>136</v>
      </c>
      <c r="D27" s="1" t="s">
        <v>8</v>
      </c>
      <c r="E27" s="14" t="s">
        <v>58</v>
      </c>
      <c r="F27" s="14" t="s">
        <v>58</v>
      </c>
      <c r="G27" s="14" t="s">
        <v>58</v>
      </c>
      <c r="H27" s="14" t="s">
        <v>58</v>
      </c>
      <c r="I27" s="14" t="s">
        <v>58</v>
      </c>
      <c r="L27" s="41"/>
      <c r="M27" s="41"/>
      <c r="N27" s="41"/>
    </row>
    <row r="28" spans="1:14" x14ac:dyDescent="0.2">
      <c r="A28" s="55"/>
      <c r="B28" s="56"/>
      <c r="C28" s="14" t="s">
        <v>137</v>
      </c>
      <c r="D28" s="1" t="s">
        <v>8</v>
      </c>
      <c r="E28" s="14" t="s">
        <v>58</v>
      </c>
      <c r="F28" s="14" t="s">
        <v>58</v>
      </c>
      <c r="G28" s="14" t="s">
        <v>58</v>
      </c>
      <c r="H28" s="14" t="s">
        <v>58</v>
      </c>
      <c r="I28" s="14" t="s">
        <v>58</v>
      </c>
    </row>
    <row r="29" spans="1:14" x14ac:dyDescent="0.2">
      <c r="A29" s="55"/>
      <c r="B29" s="56"/>
      <c r="C29" s="14" t="s">
        <v>138</v>
      </c>
      <c r="D29" s="1" t="s">
        <v>8</v>
      </c>
      <c r="E29" s="14" t="s">
        <v>58</v>
      </c>
      <c r="F29" s="14" t="s">
        <v>58</v>
      </c>
      <c r="G29" s="14" t="s">
        <v>58</v>
      </c>
      <c r="H29" s="14" t="s">
        <v>58</v>
      </c>
      <c r="I29" s="14" t="s">
        <v>58</v>
      </c>
    </row>
    <row r="30" spans="1:14" ht="27.75" x14ac:dyDescent="0.2">
      <c r="A30" s="55"/>
      <c r="B30" s="56"/>
      <c r="C30" s="14" t="s">
        <v>139</v>
      </c>
      <c r="D30" s="1" t="s">
        <v>8</v>
      </c>
      <c r="E30" s="14" t="s">
        <v>58</v>
      </c>
      <c r="F30" s="14" t="s">
        <v>58</v>
      </c>
      <c r="G30" s="14" t="s">
        <v>58</v>
      </c>
      <c r="H30" s="14" t="s">
        <v>58</v>
      </c>
      <c r="I30" s="14" t="s">
        <v>58</v>
      </c>
    </row>
    <row r="31" spans="1:14" ht="27.75" x14ac:dyDescent="0.2">
      <c r="A31" s="55"/>
      <c r="B31" s="56"/>
      <c r="C31" s="14" t="s">
        <v>140</v>
      </c>
      <c r="D31" s="1" t="s">
        <v>8</v>
      </c>
      <c r="E31" s="14" t="s">
        <v>58</v>
      </c>
      <c r="F31" s="14" t="s">
        <v>58</v>
      </c>
      <c r="G31" s="14" t="s">
        <v>58</v>
      </c>
      <c r="H31" s="14" t="s">
        <v>58</v>
      </c>
      <c r="I31" s="14" t="s">
        <v>58</v>
      </c>
    </row>
    <row r="32" spans="1:14" x14ac:dyDescent="0.2">
      <c r="A32" s="55"/>
      <c r="B32" s="56"/>
      <c r="C32" s="4" t="s">
        <v>4</v>
      </c>
      <c r="D32" s="4"/>
      <c r="E32" s="5"/>
      <c r="F32" s="5"/>
      <c r="G32" s="5"/>
      <c r="H32" s="5"/>
      <c r="I32" s="5"/>
    </row>
    <row r="33" spans="1:14" x14ac:dyDescent="0.2">
      <c r="A33" s="55"/>
      <c r="B33" s="56"/>
      <c r="C33" s="14" t="s">
        <v>141</v>
      </c>
      <c r="D33" s="1" t="s">
        <v>57</v>
      </c>
      <c r="E33" t="s">
        <v>59</v>
      </c>
      <c r="F33" t="s">
        <v>59</v>
      </c>
      <c r="G33" t="s">
        <v>59</v>
      </c>
      <c r="H33" t="s">
        <v>59</v>
      </c>
      <c r="I33" t="s">
        <v>59</v>
      </c>
    </row>
    <row r="35" spans="1:14" x14ac:dyDescent="0.2">
      <c r="A35" s="54" t="s">
        <v>0</v>
      </c>
      <c r="B35" s="54"/>
      <c r="C35" s="26" t="s">
        <v>1</v>
      </c>
      <c r="D35" s="26" t="s">
        <v>2</v>
      </c>
      <c r="E35" s="26" t="s">
        <v>246</v>
      </c>
      <c r="F35" s="26" t="s">
        <v>246</v>
      </c>
      <c r="G35" s="26" t="s">
        <v>246</v>
      </c>
      <c r="H35" s="26" t="s">
        <v>246</v>
      </c>
      <c r="I35" s="26" t="s">
        <v>246</v>
      </c>
    </row>
    <row r="36" spans="1:14" x14ac:dyDescent="0.2">
      <c r="A36" s="55" t="s">
        <v>142</v>
      </c>
      <c r="B36" s="56" t="s">
        <v>143</v>
      </c>
      <c r="C36" s="4" t="s">
        <v>3</v>
      </c>
      <c r="D36" s="4"/>
      <c r="E36" s="5"/>
      <c r="F36" s="5"/>
      <c r="G36" s="5"/>
      <c r="H36" s="5"/>
      <c r="I36" s="5"/>
    </row>
    <row r="37" spans="1:14" ht="27.75" x14ac:dyDescent="0.2">
      <c r="A37" s="55"/>
      <c r="B37" s="56"/>
      <c r="C37" s="14" t="s">
        <v>144</v>
      </c>
      <c r="D37" s="1" t="s">
        <v>7</v>
      </c>
      <c r="E37" t="s">
        <v>58</v>
      </c>
      <c r="F37" t="s">
        <v>58</v>
      </c>
      <c r="G37" t="s">
        <v>58</v>
      </c>
      <c r="H37" t="s">
        <v>58</v>
      </c>
      <c r="I37" t="s">
        <v>58</v>
      </c>
    </row>
    <row r="38" spans="1:14" x14ac:dyDescent="0.2">
      <c r="A38" s="55"/>
      <c r="B38" s="56"/>
      <c r="C38" s="4" t="s">
        <v>105</v>
      </c>
      <c r="D38" s="4"/>
      <c r="E38" s="5"/>
      <c r="F38" s="5"/>
      <c r="G38" s="5"/>
      <c r="H38" s="5"/>
      <c r="I38" s="5"/>
    </row>
    <row r="39" spans="1:14" ht="41.25" x14ac:dyDescent="0.2">
      <c r="A39" s="55"/>
      <c r="B39" s="56"/>
      <c r="C39" s="14" t="s">
        <v>145</v>
      </c>
      <c r="D39" s="1" t="s">
        <v>8</v>
      </c>
      <c r="E39" s="14" t="s">
        <v>58</v>
      </c>
      <c r="F39" s="14" t="s">
        <v>58</v>
      </c>
      <c r="G39" s="14" t="s">
        <v>58</v>
      </c>
      <c r="H39" s="14" t="s">
        <v>58</v>
      </c>
      <c r="I39" s="14" t="s">
        <v>58</v>
      </c>
      <c r="L39" s="52" t="s">
        <v>224</v>
      </c>
      <c r="M39" s="52"/>
      <c r="N39" s="52"/>
    </row>
    <row r="40" spans="1:14" ht="27.75" x14ac:dyDescent="0.2">
      <c r="A40" s="55"/>
      <c r="B40" s="56"/>
      <c r="C40" s="14" t="s">
        <v>146</v>
      </c>
      <c r="D40" s="1" t="s">
        <v>8</v>
      </c>
      <c r="E40" s="14" t="s">
        <v>58</v>
      </c>
      <c r="F40" s="14" t="s">
        <v>58</v>
      </c>
      <c r="G40" s="14" t="s">
        <v>58</v>
      </c>
      <c r="H40" s="14" t="s">
        <v>58</v>
      </c>
      <c r="I40" s="14" t="s">
        <v>58</v>
      </c>
      <c r="L40" s="41" t="s">
        <v>234</v>
      </c>
      <c r="M40" s="41"/>
      <c r="N40" s="41"/>
    </row>
    <row r="41" spans="1:14" ht="41.25" x14ac:dyDescent="0.2">
      <c r="A41" s="55"/>
      <c r="B41" s="56"/>
      <c r="C41" s="14" t="s">
        <v>147</v>
      </c>
      <c r="D41" s="1" t="s">
        <v>8</v>
      </c>
      <c r="E41" s="14" t="s">
        <v>58</v>
      </c>
      <c r="F41" s="14" t="s">
        <v>58</v>
      </c>
      <c r="G41" s="14" t="s">
        <v>58</v>
      </c>
      <c r="H41" s="14" t="s">
        <v>58</v>
      </c>
      <c r="I41" s="14" t="s">
        <v>58</v>
      </c>
      <c r="L41" s="41"/>
      <c r="M41" s="41"/>
      <c r="N41" s="41"/>
    </row>
    <row r="42" spans="1:14" ht="41.25" x14ac:dyDescent="0.2">
      <c r="A42" s="55"/>
      <c r="B42" s="56"/>
      <c r="C42" s="14" t="s">
        <v>148</v>
      </c>
      <c r="D42" s="1" t="s">
        <v>8</v>
      </c>
      <c r="E42" s="14" t="s">
        <v>58</v>
      </c>
      <c r="F42" s="14" t="s">
        <v>58</v>
      </c>
      <c r="G42" s="14" t="s">
        <v>58</v>
      </c>
      <c r="H42" s="14" t="s">
        <v>58</v>
      </c>
      <c r="I42" s="14" t="s">
        <v>58</v>
      </c>
      <c r="L42" s="41"/>
      <c r="M42" s="41"/>
      <c r="N42" s="41"/>
    </row>
    <row r="43" spans="1:14" ht="27.75" x14ac:dyDescent="0.2">
      <c r="A43" s="55"/>
      <c r="B43" s="56"/>
      <c r="C43" s="14" t="s">
        <v>149</v>
      </c>
      <c r="D43" s="1" t="s">
        <v>8</v>
      </c>
      <c r="E43" s="14" t="s">
        <v>58</v>
      </c>
      <c r="F43" s="14" t="s">
        <v>58</v>
      </c>
      <c r="G43" s="14" t="s">
        <v>58</v>
      </c>
      <c r="H43" s="14" t="s">
        <v>58</v>
      </c>
      <c r="I43" s="14" t="s">
        <v>58</v>
      </c>
    </row>
    <row r="44" spans="1:14" ht="27.75" x14ac:dyDescent="0.2">
      <c r="A44" s="55"/>
      <c r="B44" s="56"/>
      <c r="C44" s="14" t="s">
        <v>150</v>
      </c>
      <c r="D44" s="1" t="s">
        <v>8</v>
      </c>
      <c r="E44" s="14" t="s">
        <v>58</v>
      </c>
      <c r="F44" s="14" t="s">
        <v>58</v>
      </c>
      <c r="G44" s="14" t="s">
        <v>58</v>
      </c>
      <c r="H44" s="14" t="s">
        <v>58</v>
      </c>
      <c r="I44" s="14" t="s">
        <v>58</v>
      </c>
    </row>
    <row r="45" spans="1:14" ht="27.75" x14ac:dyDescent="0.2">
      <c r="A45" s="55"/>
      <c r="B45" s="56"/>
      <c r="C45" s="14" t="s">
        <v>151</v>
      </c>
      <c r="D45" s="1" t="s">
        <v>8</v>
      </c>
      <c r="E45" s="14" t="s">
        <v>58</v>
      </c>
      <c r="F45" s="14" t="s">
        <v>58</v>
      </c>
      <c r="G45" s="14" t="s">
        <v>58</v>
      </c>
      <c r="H45" s="14" t="s">
        <v>58</v>
      </c>
      <c r="I45" s="14" t="s">
        <v>58</v>
      </c>
    </row>
    <row r="46" spans="1:14" ht="27.75" x14ac:dyDescent="0.2">
      <c r="A46" s="55"/>
      <c r="B46" s="56"/>
      <c r="C46" s="14" t="s">
        <v>152</v>
      </c>
      <c r="D46" s="1" t="s">
        <v>8</v>
      </c>
      <c r="E46" s="14" t="s">
        <v>58</v>
      </c>
      <c r="F46" s="14" t="s">
        <v>58</v>
      </c>
      <c r="G46" s="14" t="s">
        <v>58</v>
      </c>
      <c r="H46" s="14" t="s">
        <v>58</v>
      </c>
      <c r="I46" s="14" t="s">
        <v>58</v>
      </c>
    </row>
    <row r="47" spans="1:14" ht="27.75" x14ac:dyDescent="0.2">
      <c r="A47" s="55"/>
      <c r="B47" s="56"/>
      <c r="C47" s="14" t="s">
        <v>153</v>
      </c>
      <c r="D47" s="1" t="s">
        <v>8</v>
      </c>
      <c r="E47" s="14" t="s">
        <v>58</v>
      </c>
      <c r="F47" s="14" t="s">
        <v>58</v>
      </c>
      <c r="G47" s="14" t="s">
        <v>58</v>
      </c>
      <c r="H47" s="14" t="s">
        <v>58</v>
      </c>
      <c r="I47" s="14" t="s">
        <v>58</v>
      </c>
    </row>
    <row r="48" spans="1:14" x14ac:dyDescent="0.2">
      <c r="A48" s="55"/>
      <c r="B48" s="56"/>
      <c r="C48" s="4" t="s">
        <v>4</v>
      </c>
      <c r="D48" s="4"/>
      <c r="E48" s="5"/>
      <c r="F48" s="5"/>
      <c r="G48" s="5"/>
      <c r="H48" s="5"/>
      <c r="I48" s="5"/>
    </row>
    <row r="49" spans="1:14" x14ac:dyDescent="0.2">
      <c r="A49" s="55"/>
      <c r="B49" s="56"/>
      <c r="C49" s="14" t="s">
        <v>154</v>
      </c>
      <c r="D49" s="1" t="s">
        <v>57</v>
      </c>
      <c r="E49" t="s">
        <v>59</v>
      </c>
      <c r="F49" t="s">
        <v>59</v>
      </c>
      <c r="G49" t="s">
        <v>59</v>
      </c>
      <c r="H49" t="s">
        <v>59</v>
      </c>
      <c r="I49" t="s">
        <v>59</v>
      </c>
    </row>
    <row r="51" spans="1:14" x14ac:dyDescent="0.2">
      <c r="A51" s="54" t="s">
        <v>0</v>
      </c>
      <c r="B51" s="54"/>
      <c r="C51" s="26" t="s">
        <v>1</v>
      </c>
      <c r="D51" s="26" t="s">
        <v>2</v>
      </c>
      <c r="E51" s="26" t="s">
        <v>246</v>
      </c>
      <c r="F51" s="26" t="s">
        <v>246</v>
      </c>
      <c r="G51" s="26" t="s">
        <v>246</v>
      </c>
      <c r="H51" s="26" t="s">
        <v>246</v>
      </c>
      <c r="I51" s="26" t="s">
        <v>246</v>
      </c>
    </row>
    <row r="52" spans="1:14" x14ac:dyDescent="0.2">
      <c r="A52" s="55" t="s">
        <v>155</v>
      </c>
      <c r="B52" s="56" t="s">
        <v>156</v>
      </c>
      <c r="C52" s="4" t="s">
        <v>3</v>
      </c>
      <c r="D52" s="4"/>
      <c r="E52" s="5"/>
      <c r="F52" s="5"/>
      <c r="G52" s="5"/>
      <c r="H52" s="5"/>
      <c r="I52" s="5"/>
    </row>
    <row r="53" spans="1:14" ht="41.25" x14ac:dyDescent="0.2">
      <c r="A53" s="55"/>
      <c r="B53" s="56"/>
      <c r="C53" s="14" t="s">
        <v>157</v>
      </c>
      <c r="D53" s="1" t="s">
        <v>7</v>
      </c>
      <c r="E53" t="s">
        <v>58</v>
      </c>
      <c r="F53" t="s">
        <v>58</v>
      </c>
      <c r="G53" t="s">
        <v>58</v>
      </c>
      <c r="H53" t="s">
        <v>58</v>
      </c>
      <c r="I53" t="s">
        <v>58</v>
      </c>
    </row>
    <row r="54" spans="1:14" x14ac:dyDescent="0.2">
      <c r="A54" s="55"/>
      <c r="B54" s="56"/>
      <c r="C54" s="4" t="s">
        <v>105</v>
      </c>
      <c r="D54" s="4"/>
      <c r="E54" s="5"/>
      <c r="F54" s="5"/>
      <c r="G54" s="5"/>
      <c r="H54" s="5"/>
      <c r="I54" s="5"/>
    </row>
    <row r="55" spans="1:14" ht="41.25" x14ac:dyDescent="0.2">
      <c r="A55" s="55"/>
      <c r="B55" s="56"/>
      <c r="C55" s="14" t="s">
        <v>158</v>
      </c>
      <c r="D55" s="1" t="s">
        <v>8</v>
      </c>
      <c r="E55" s="14" t="s">
        <v>58</v>
      </c>
      <c r="F55" s="14" t="s">
        <v>58</v>
      </c>
      <c r="G55" s="14" t="s">
        <v>58</v>
      </c>
      <c r="H55" s="14" t="s">
        <v>58</v>
      </c>
      <c r="I55" s="14" t="s">
        <v>58</v>
      </c>
      <c r="L55" s="52" t="s">
        <v>224</v>
      </c>
      <c r="M55" s="52"/>
      <c r="N55" s="52"/>
    </row>
    <row r="56" spans="1:14" ht="27.75" x14ac:dyDescent="0.2">
      <c r="A56" s="55"/>
      <c r="B56" s="56"/>
      <c r="C56" s="14" t="s">
        <v>159</v>
      </c>
      <c r="D56" s="1" t="s">
        <v>8</v>
      </c>
      <c r="E56" s="14" t="s">
        <v>58</v>
      </c>
      <c r="F56" s="14" t="s">
        <v>58</v>
      </c>
      <c r="G56" s="14" t="s">
        <v>58</v>
      </c>
      <c r="H56" s="14" t="s">
        <v>58</v>
      </c>
      <c r="I56" s="14" t="s">
        <v>58</v>
      </c>
      <c r="L56" s="41" t="s">
        <v>235</v>
      </c>
      <c r="M56" s="41"/>
      <c r="N56" s="41"/>
    </row>
    <row r="57" spans="1:14" ht="41.25" x14ac:dyDescent="0.2">
      <c r="A57" s="55"/>
      <c r="B57" s="56"/>
      <c r="C57" s="14" t="s">
        <v>160</v>
      </c>
      <c r="D57" s="1" t="s">
        <v>8</v>
      </c>
      <c r="E57" s="14" t="s">
        <v>58</v>
      </c>
      <c r="F57" s="14" t="s">
        <v>58</v>
      </c>
      <c r="G57" s="14" t="s">
        <v>58</v>
      </c>
      <c r="H57" s="14" t="s">
        <v>58</v>
      </c>
      <c r="I57" s="14" t="s">
        <v>58</v>
      </c>
      <c r="L57" s="41"/>
      <c r="M57" s="41"/>
      <c r="N57" s="41"/>
    </row>
    <row r="58" spans="1:14" ht="41.25" x14ac:dyDescent="0.2">
      <c r="A58" s="55"/>
      <c r="B58" s="56"/>
      <c r="C58" s="14" t="s">
        <v>161</v>
      </c>
      <c r="D58" s="1" t="s">
        <v>8</v>
      </c>
      <c r="E58" s="14" t="s">
        <v>58</v>
      </c>
      <c r="F58" s="14" t="s">
        <v>58</v>
      </c>
      <c r="G58" s="14" t="s">
        <v>58</v>
      </c>
      <c r="H58" s="14" t="s">
        <v>58</v>
      </c>
      <c r="I58" s="14" t="s">
        <v>58</v>
      </c>
      <c r="L58" s="41"/>
      <c r="M58" s="41"/>
      <c r="N58" s="41"/>
    </row>
    <row r="59" spans="1:14" ht="27.75" x14ac:dyDescent="0.2">
      <c r="A59" s="55"/>
      <c r="B59" s="56"/>
      <c r="C59" s="14" t="s">
        <v>162</v>
      </c>
      <c r="D59" s="1" t="s">
        <v>8</v>
      </c>
      <c r="E59" s="14" t="s">
        <v>58</v>
      </c>
      <c r="F59" s="14" t="s">
        <v>58</v>
      </c>
      <c r="G59" s="14" t="s">
        <v>58</v>
      </c>
      <c r="H59" s="14" t="s">
        <v>58</v>
      </c>
      <c r="I59" s="14" t="s">
        <v>58</v>
      </c>
    </row>
    <row r="60" spans="1:14" ht="41.25" x14ac:dyDescent="0.2">
      <c r="A60" s="55"/>
      <c r="B60" s="56"/>
      <c r="C60" s="14" t="s">
        <v>163</v>
      </c>
      <c r="D60" s="1" t="s">
        <v>8</v>
      </c>
      <c r="E60" s="14" t="s">
        <v>58</v>
      </c>
      <c r="F60" s="14" t="s">
        <v>58</v>
      </c>
      <c r="G60" s="14" t="s">
        <v>58</v>
      </c>
      <c r="H60" s="14" t="s">
        <v>58</v>
      </c>
      <c r="I60" s="14" t="s">
        <v>58</v>
      </c>
    </row>
    <row r="61" spans="1:14" ht="27.75" x14ac:dyDescent="0.2">
      <c r="A61" s="55"/>
      <c r="B61" s="56"/>
      <c r="C61" s="14" t="s">
        <v>164</v>
      </c>
      <c r="D61" s="1" t="s">
        <v>8</v>
      </c>
      <c r="E61" s="14" t="s">
        <v>58</v>
      </c>
      <c r="F61" s="14" t="s">
        <v>58</v>
      </c>
      <c r="G61" s="14" t="s">
        <v>58</v>
      </c>
      <c r="H61" s="14" t="s">
        <v>58</v>
      </c>
      <c r="I61" s="14" t="s">
        <v>58</v>
      </c>
    </row>
    <row r="62" spans="1:14" ht="27.75" x14ac:dyDescent="0.2">
      <c r="A62" s="55"/>
      <c r="B62" s="56"/>
      <c r="C62" s="14" t="s">
        <v>165</v>
      </c>
      <c r="D62" s="1" t="s">
        <v>8</v>
      </c>
      <c r="E62" s="14" t="s">
        <v>58</v>
      </c>
      <c r="F62" s="14" t="s">
        <v>58</v>
      </c>
      <c r="G62" s="14" t="s">
        <v>58</v>
      </c>
      <c r="H62" s="14" t="s">
        <v>58</v>
      </c>
      <c r="I62" s="14" t="s">
        <v>58</v>
      </c>
    </row>
    <row r="63" spans="1:14" x14ac:dyDescent="0.2">
      <c r="A63" s="55"/>
      <c r="B63" s="56"/>
      <c r="C63" s="4" t="s">
        <v>4</v>
      </c>
      <c r="D63" s="4"/>
      <c r="E63" s="5"/>
      <c r="F63" s="5"/>
      <c r="G63" s="5"/>
      <c r="H63" s="5"/>
      <c r="I63" s="5"/>
    </row>
    <row r="64" spans="1:14" x14ac:dyDescent="0.2">
      <c r="A64" s="55"/>
      <c r="B64" s="56"/>
      <c r="C64" s="14" t="s">
        <v>166</v>
      </c>
      <c r="D64" s="1" t="s">
        <v>57</v>
      </c>
      <c r="E64" t="s">
        <v>59</v>
      </c>
      <c r="F64" t="s">
        <v>59</v>
      </c>
      <c r="G64" t="s">
        <v>59</v>
      </c>
      <c r="H64" t="s">
        <v>59</v>
      </c>
      <c r="I64" t="s">
        <v>59</v>
      </c>
    </row>
    <row r="65" spans="1:14" x14ac:dyDescent="0.2">
      <c r="A65" s="55"/>
      <c r="B65" s="56"/>
      <c r="C65" s="15" t="s">
        <v>5</v>
      </c>
      <c r="D65" s="15"/>
      <c r="E65" s="16"/>
      <c r="F65" s="16"/>
      <c r="G65" s="16"/>
      <c r="H65" s="16"/>
      <c r="I65" s="16"/>
    </row>
    <row r="66" spans="1:14" x14ac:dyDescent="0.2">
      <c r="A66" s="55"/>
      <c r="B66" s="56"/>
      <c r="C66" s="14" t="s">
        <v>167</v>
      </c>
      <c r="D66" s="1" t="s">
        <v>57</v>
      </c>
      <c r="E66" t="s">
        <v>59</v>
      </c>
      <c r="F66" t="s">
        <v>59</v>
      </c>
      <c r="G66" t="s">
        <v>59</v>
      </c>
      <c r="H66" t="s">
        <v>59</v>
      </c>
      <c r="I66" t="s">
        <v>59</v>
      </c>
    </row>
    <row r="68" spans="1:14" x14ac:dyDescent="0.2">
      <c r="A68" s="54" t="s">
        <v>0</v>
      </c>
      <c r="B68" s="54"/>
      <c r="C68" s="26" t="s">
        <v>1</v>
      </c>
      <c r="D68" s="26" t="s">
        <v>2</v>
      </c>
      <c r="E68" s="26" t="s">
        <v>246</v>
      </c>
      <c r="F68" s="26" t="s">
        <v>246</v>
      </c>
      <c r="G68" s="26" t="s">
        <v>246</v>
      </c>
      <c r="H68" s="26" t="s">
        <v>246</v>
      </c>
      <c r="I68" s="26" t="s">
        <v>246</v>
      </c>
    </row>
    <row r="69" spans="1:14" x14ac:dyDescent="0.2">
      <c r="A69" s="55" t="s">
        <v>168</v>
      </c>
      <c r="B69" s="56" t="s">
        <v>169</v>
      </c>
      <c r="C69" s="4" t="s">
        <v>3</v>
      </c>
      <c r="D69" s="4"/>
      <c r="E69" s="5"/>
      <c r="F69" s="5"/>
      <c r="G69" s="5"/>
      <c r="H69" s="5"/>
      <c r="I69" s="5"/>
    </row>
    <row r="70" spans="1:14" ht="27.75" x14ac:dyDescent="0.2">
      <c r="A70" s="55"/>
      <c r="B70" s="56"/>
      <c r="C70" s="14" t="s">
        <v>170</v>
      </c>
      <c r="D70" s="1" t="s">
        <v>7</v>
      </c>
      <c r="E70" t="s">
        <v>58</v>
      </c>
      <c r="F70" t="s">
        <v>58</v>
      </c>
      <c r="G70" t="s">
        <v>58</v>
      </c>
      <c r="H70" t="s">
        <v>58</v>
      </c>
      <c r="I70" t="s">
        <v>58</v>
      </c>
    </row>
    <row r="71" spans="1:14" x14ac:dyDescent="0.2">
      <c r="A71" s="55"/>
      <c r="B71" s="56"/>
      <c r="C71" s="4" t="s">
        <v>84</v>
      </c>
      <c r="D71" s="4"/>
      <c r="E71" s="5"/>
      <c r="F71" s="5"/>
      <c r="G71" s="5"/>
      <c r="H71" s="5"/>
      <c r="I71" s="5"/>
    </row>
    <row r="72" spans="1:14" ht="27.75" x14ac:dyDescent="0.2">
      <c r="A72" s="55"/>
      <c r="B72" s="56"/>
      <c r="C72" s="14" t="s">
        <v>171</v>
      </c>
      <c r="D72" s="1" t="s">
        <v>8</v>
      </c>
      <c r="E72" s="14" t="s">
        <v>58</v>
      </c>
      <c r="F72" s="14" t="s">
        <v>58</v>
      </c>
      <c r="G72" s="14" t="s">
        <v>58</v>
      </c>
      <c r="H72" s="14" t="s">
        <v>58</v>
      </c>
      <c r="I72" s="14" t="s">
        <v>58</v>
      </c>
      <c r="L72" s="52" t="s">
        <v>224</v>
      </c>
      <c r="M72" s="52"/>
      <c r="N72" s="52"/>
    </row>
    <row r="73" spans="1:14" ht="27.75" x14ac:dyDescent="0.2">
      <c r="A73" s="55"/>
      <c r="B73" s="56"/>
      <c r="C73" s="14" t="s">
        <v>172</v>
      </c>
      <c r="D73" s="1" t="s">
        <v>8</v>
      </c>
      <c r="E73" s="14" t="s">
        <v>58</v>
      </c>
      <c r="F73" s="14" t="s">
        <v>58</v>
      </c>
      <c r="G73" s="14" t="s">
        <v>58</v>
      </c>
      <c r="H73" s="14" t="s">
        <v>58</v>
      </c>
      <c r="I73" s="14" t="s">
        <v>58</v>
      </c>
      <c r="L73" s="41" t="s">
        <v>236</v>
      </c>
      <c r="M73" s="41"/>
      <c r="N73" s="41"/>
    </row>
    <row r="74" spans="1:14" ht="27.75" x14ac:dyDescent="0.2">
      <c r="A74" s="55"/>
      <c r="B74" s="56"/>
      <c r="C74" s="14" t="s">
        <v>173</v>
      </c>
      <c r="D74" s="1" t="s">
        <v>8</v>
      </c>
      <c r="E74" s="14" t="s">
        <v>58</v>
      </c>
      <c r="F74" s="14" t="s">
        <v>58</v>
      </c>
      <c r="G74" s="14" t="s">
        <v>58</v>
      </c>
      <c r="H74" s="14" t="s">
        <v>58</v>
      </c>
      <c r="I74" s="14" t="s">
        <v>58</v>
      </c>
      <c r="L74" s="41"/>
      <c r="M74" s="41"/>
      <c r="N74" s="41"/>
    </row>
    <row r="75" spans="1:14" ht="27.75" x14ac:dyDescent="0.2">
      <c r="A75" s="55"/>
      <c r="B75" s="56"/>
      <c r="C75" s="14" t="s">
        <v>174</v>
      </c>
      <c r="D75" s="1" t="s">
        <v>8</v>
      </c>
      <c r="E75" s="14" t="s">
        <v>58</v>
      </c>
      <c r="F75" s="14" t="s">
        <v>58</v>
      </c>
      <c r="G75" s="14" t="s">
        <v>58</v>
      </c>
      <c r="H75" s="14" t="s">
        <v>58</v>
      </c>
      <c r="I75" s="14" t="s">
        <v>58</v>
      </c>
      <c r="L75" s="41"/>
      <c r="M75" s="41"/>
      <c r="N75" s="41"/>
    </row>
  </sheetData>
  <mergeCells count="26">
    <mergeCell ref="A69:A75"/>
    <mergeCell ref="B69:B75"/>
    <mergeCell ref="A18:B18"/>
    <mergeCell ref="A19:A33"/>
    <mergeCell ref="B19:B33"/>
    <mergeCell ref="A35:B35"/>
    <mergeCell ref="A36:A49"/>
    <mergeCell ref="B36:B49"/>
    <mergeCell ref="A51:B51"/>
    <mergeCell ref="A52:A66"/>
    <mergeCell ref="B52:B66"/>
    <mergeCell ref="A1:B1"/>
    <mergeCell ref="A2:B2"/>
    <mergeCell ref="A3:A16"/>
    <mergeCell ref="B3:B16"/>
    <mergeCell ref="A68:B68"/>
    <mergeCell ref="L7:N7"/>
    <mergeCell ref="L8:N10"/>
    <mergeCell ref="L24:N24"/>
    <mergeCell ref="L25:N27"/>
    <mergeCell ref="L39:N39"/>
    <mergeCell ref="L40:N42"/>
    <mergeCell ref="L55:N55"/>
    <mergeCell ref="L56:N58"/>
    <mergeCell ref="L72:N72"/>
    <mergeCell ref="L73:N75"/>
  </mergeCells>
  <conditionalFormatting sqref="E4:I5">
    <cfRule type="containsText" dxfId="91" priority="184" operator="containsText" text="Feito">
      <formula>NOT(ISERROR(SEARCH("Feito",E4)))</formula>
    </cfRule>
    <cfRule type="containsText" dxfId="90" priority="183" operator="containsText" text="Fazer">
      <formula>NOT(ISERROR(SEARCH("Fazer",E4)))</formula>
    </cfRule>
  </conditionalFormatting>
  <conditionalFormatting sqref="E7:I12">
    <cfRule type="containsText" dxfId="89" priority="286" operator="containsText" text="Fazer">
      <formula>NOT(ISERROR(SEARCH("Fazer",E7)))</formula>
    </cfRule>
    <cfRule type="containsText" dxfId="88" priority="285" operator="containsText" text="Troca">
      <formula>NOT(ISERROR(SEARCH("Troca",E7)))</formula>
    </cfRule>
    <cfRule type="containsText" dxfId="87" priority="287" operator="containsText" text="Feito">
      <formula>NOT(ISERROR(SEARCH("Feito",E7)))</formula>
    </cfRule>
  </conditionalFormatting>
  <conditionalFormatting sqref="E14:I14">
    <cfRule type="containsText" dxfId="86" priority="284" operator="containsText" text="Feito">
      <formula>NOT(ISERROR(SEARCH("Feito",E14)))</formula>
    </cfRule>
    <cfRule type="containsText" dxfId="85" priority="283" operator="containsText" text="Fazer">
      <formula>NOT(ISERROR(SEARCH("Fazer",E14)))</formula>
    </cfRule>
    <cfRule type="containsText" dxfId="84" priority="282" operator="containsText" text="Optou">
      <formula>NOT(ISERROR(SEARCH("Optou",E14)))</formula>
    </cfRule>
  </conditionalFormatting>
  <conditionalFormatting sqref="E16:I16">
    <cfRule type="containsText" dxfId="83" priority="269" operator="containsText" text="Feito">
      <formula>NOT(ISERROR(SEARCH("Feito",E16)))</formula>
    </cfRule>
    <cfRule type="containsText" dxfId="82" priority="268" operator="containsText" text="Fazer">
      <formula>NOT(ISERROR(SEARCH("Fazer",E16)))</formula>
    </cfRule>
    <cfRule type="containsText" dxfId="81" priority="267" operator="containsText" text="Optou">
      <formula>NOT(ISERROR(SEARCH("Optou",E16)))</formula>
    </cfRule>
  </conditionalFormatting>
  <conditionalFormatting sqref="E20:I22">
    <cfRule type="containsText" dxfId="80" priority="140" operator="containsText" text="Feito">
      <formula>NOT(ISERROR(SEARCH("Feito",E20)))</formula>
    </cfRule>
    <cfRule type="containsText" dxfId="79" priority="139" operator="containsText" text="Fazer">
      <formula>NOT(ISERROR(SEARCH("Fazer",E20)))</formula>
    </cfRule>
  </conditionalFormatting>
  <conditionalFormatting sqref="E24:I31">
    <cfRule type="containsText" dxfId="78" priority="134" operator="containsText" text="Fazer">
      <formula>NOT(ISERROR(SEARCH("Fazer",E24)))</formula>
    </cfRule>
    <cfRule type="containsText" dxfId="77" priority="133" operator="containsText" text="Troca">
      <formula>NOT(ISERROR(SEARCH("Troca",E24)))</formula>
    </cfRule>
    <cfRule type="containsText" dxfId="76" priority="135" operator="containsText" text="Feito">
      <formula>NOT(ISERROR(SEARCH("Feito",E24)))</formula>
    </cfRule>
  </conditionalFormatting>
  <conditionalFormatting sqref="E33:I33">
    <cfRule type="containsText" dxfId="75" priority="158" operator="containsText" text="Optou">
      <formula>NOT(ISERROR(SEARCH("Optou",E33)))</formula>
    </cfRule>
    <cfRule type="containsText" dxfId="74" priority="160" operator="containsText" text="Feito">
      <formula>NOT(ISERROR(SEARCH("Feito",E33)))</formula>
    </cfRule>
    <cfRule type="containsText" dxfId="73" priority="159" operator="containsText" text="Fazer">
      <formula>NOT(ISERROR(SEARCH("Fazer",E33)))</formula>
    </cfRule>
  </conditionalFormatting>
  <conditionalFormatting sqref="E37:I37">
    <cfRule type="containsText" dxfId="72" priority="106" operator="containsText" text="Fazer">
      <formula>NOT(ISERROR(SEARCH("Fazer",E37)))</formula>
    </cfRule>
    <cfRule type="containsText" dxfId="71" priority="107" operator="containsText" text="Feito">
      <formula>NOT(ISERROR(SEARCH("Feito",E37)))</formula>
    </cfRule>
  </conditionalFormatting>
  <conditionalFormatting sqref="E39:I47">
    <cfRule type="containsText" dxfId="70" priority="95" operator="containsText" text="Troca">
      <formula>NOT(ISERROR(SEARCH("Troca",E39)))</formula>
    </cfRule>
    <cfRule type="containsText" dxfId="69" priority="96" operator="containsText" text="Fazer">
      <formula>NOT(ISERROR(SEARCH("Fazer",E39)))</formula>
    </cfRule>
    <cfRule type="containsText" dxfId="68" priority="97" operator="containsText" text="Feito">
      <formula>NOT(ISERROR(SEARCH("Feito",E39)))</formula>
    </cfRule>
  </conditionalFormatting>
  <conditionalFormatting sqref="E49:I49">
    <cfRule type="containsText" dxfId="67" priority="108" operator="containsText" text="Optou">
      <formula>NOT(ISERROR(SEARCH("Optou",E49)))</formula>
    </cfRule>
    <cfRule type="containsText" dxfId="66" priority="110" operator="containsText" text="Feito">
      <formula>NOT(ISERROR(SEARCH("Feito",E49)))</formula>
    </cfRule>
    <cfRule type="containsText" dxfId="65" priority="109" operator="containsText" text="Fazer">
      <formula>NOT(ISERROR(SEARCH("Fazer",E49)))</formula>
    </cfRule>
  </conditionalFormatting>
  <conditionalFormatting sqref="E53:I53">
    <cfRule type="containsText" dxfId="64" priority="54" operator="containsText" text="Feito">
      <formula>NOT(ISERROR(SEARCH("Feito",E53)))</formula>
    </cfRule>
    <cfRule type="containsText" dxfId="63" priority="53" operator="containsText" text="Fazer">
      <formula>NOT(ISERROR(SEARCH("Fazer",E53)))</formula>
    </cfRule>
  </conditionalFormatting>
  <conditionalFormatting sqref="E55:I62">
    <cfRule type="containsText" dxfId="62" priority="49" operator="containsText" text="Feito">
      <formula>NOT(ISERROR(SEARCH("Feito",E55)))</formula>
    </cfRule>
    <cfRule type="containsText" dxfId="61" priority="48" operator="containsText" text="Fazer">
      <formula>NOT(ISERROR(SEARCH("Fazer",E55)))</formula>
    </cfRule>
    <cfRule type="containsText" dxfId="60" priority="47" operator="containsText" text="Troca">
      <formula>NOT(ISERROR(SEARCH("Troca",E55)))</formula>
    </cfRule>
  </conditionalFormatting>
  <conditionalFormatting sqref="E64:I64">
    <cfRule type="containsText" dxfId="59" priority="72" operator="containsText" text="Feito">
      <formula>NOT(ISERROR(SEARCH("Feito",E64)))</formula>
    </cfRule>
    <cfRule type="containsText" dxfId="58" priority="71" operator="containsText" text="Fazer">
      <formula>NOT(ISERROR(SEARCH("Fazer",E64)))</formula>
    </cfRule>
    <cfRule type="containsText" dxfId="57" priority="70" operator="containsText" text="Optou">
      <formula>NOT(ISERROR(SEARCH("Optou",E64)))</formula>
    </cfRule>
  </conditionalFormatting>
  <conditionalFormatting sqref="E66:I66">
    <cfRule type="containsText" dxfId="56" priority="57" operator="containsText" text="Feito">
      <formula>NOT(ISERROR(SEARCH("Feito",E66)))</formula>
    </cfRule>
    <cfRule type="containsText" dxfId="55" priority="56" operator="containsText" text="Fazer">
      <formula>NOT(ISERROR(SEARCH("Fazer",E66)))</formula>
    </cfRule>
    <cfRule type="containsText" dxfId="54" priority="55" operator="containsText" text="Optou">
      <formula>NOT(ISERROR(SEARCH("Optou",E66)))</formula>
    </cfRule>
  </conditionalFormatting>
  <conditionalFormatting sqref="E70:I70">
    <cfRule type="containsText" dxfId="53" priority="8" operator="containsText" text="Feito">
      <formula>NOT(ISERROR(SEARCH("Feito",E70)))</formula>
    </cfRule>
    <cfRule type="containsText" dxfId="52" priority="7" operator="containsText" text="Fazer">
      <formula>NOT(ISERROR(SEARCH("Fazer",E70)))</formula>
    </cfRule>
  </conditionalFormatting>
  <conditionalFormatting sqref="E72:I75">
    <cfRule type="containsText" dxfId="51" priority="35" operator="containsText" text="Feito">
      <formula>NOT(ISERROR(SEARCH("Feito",E72)))</formula>
    </cfRule>
    <cfRule type="containsText" dxfId="50" priority="34" operator="containsText" text="Fazer">
      <formula>NOT(ISERROR(SEARCH("Fazer",E72)))</formula>
    </cfRule>
    <cfRule type="containsText" dxfId="49" priority="33" operator="containsText" text="Troca">
      <formula>NOT(ISERROR(SEARCH("Troca",E72)))</formula>
    </cfRule>
  </conditionalFormatting>
  <dataValidations count="3">
    <dataValidation type="list" allowBlank="1" showInputMessage="1" showErrorMessage="1" sqref="E14:I14 E16:I16 E33:I33 E49:I49 E64:I64 E66:I66" xr:uid="{2E3F939C-B7B3-4CE1-A809-DBF6892AD93F}">
      <formula1>"Feito,Não optou,"</formula1>
    </dataValidation>
    <dataValidation type="list" allowBlank="1" showInputMessage="1" showErrorMessage="1" sqref="E7:I12 E24:I31 E39:I47 E55:I62 E72:I75" xr:uid="{BD10767E-B24E-46DB-B654-0D7ECC9CB19A}">
      <formula1>"Feito,A fazer,Troca por Especialidade"</formula1>
    </dataValidation>
    <dataValidation type="list" allowBlank="1" showInputMessage="1" showErrorMessage="1" sqref="E4:I5 E20:I22 E37:I37 E53:I53 E70:I70" xr:uid="{1B1F83B0-DE36-4065-807A-D180597BEE13}">
      <formula1>"Feito,A fazer"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B578-CCF5-4B00-8875-E07C36B139F6}">
  <sheetPr codeName="Planilha4">
    <tabColor rgb="FFFFCCCC"/>
  </sheetPr>
  <dimension ref="A1:N62"/>
  <sheetViews>
    <sheetView tabSelected="1" topLeftCell="A52" workbookViewId="0">
      <selection activeCell="I51" sqref="I51"/>
    </sheetView>
  </sheetViews>
  <sheetFormatPr defaultRowHeight="15" x14ac:dyDescent="0.2"/>
  <cols>
    <col min="2" max="2" width="14.66015625" style="7" customWidth="1"/>
    <col min="3" max="3" width="59.0546875" customWidth="1"/>
    <col min="4" max="4" width="18.5625" style="1" customWidth="1"/>
    <col min="5" max="5" width="13.1796875" customWidth="1"/>
    <col min="6" max="9" width="13.31640625" bestFit="1" customWidth="1"/>
  </cols>
  <sheetData>
    <row r="1" spans="1:14" ht="76.5" customHeight="1" x14ac:dyDescent="0.2">
      <c r="A1" s="58"/>
      <c r="B1" s="58"/>
      <c r="C1" s="19" t="s">
        <v>11</v>
      </c>
      <c r="D1" s="6"/>
      <c r="E1" s="2"/>
      <c r="F1" s="2"/>
      <c r="G1" s="2"/>
      <c r="H1" s="2"/>
      <c r="I1" s="2"/>
    </row>
    <row r="2" spans="1:14" x14ac:dyDescent="0.2">
      <c r="A2" s="59" t="s">
        <v>0</v>
      </c>
      <c r="B2" s="59"/>
      <c r="C2" s="3" t="s">
        <v>1</v>
      </c>
      <c r="D2" s="3" t="s">
        <v>2</v>
      </c>
      <c r="E2" s="3" t="s">
        <v>246</v>
      </c>
      <c r="F2" s="3" t="s">
        <v>246</v>
      </c>
      <c r="G2" s="3" t="s">
        <v>246</v>
      </c>
      <c r="H2" s="3" t="s">
        <v>246</v>
      </c>
      <c r="I2" s="3" t="s">
        <v>246</v>
      </c>
    </row>
    <row r="3" spans="1:14" x14ac:dyDescent="0.2">
      <c r="A3" s="60" t="s">
        <v>175</v>
      </c>
      <c r="B3" s="61" t="s">
        <v>176</v>
      </c>
      <c r="C3" s="4" t="s">
        <v>3</v>
      </c>
      <c r="D3" s="4"/>
      <c r="E3" s="5"/>
      <c r="F3" s="5"/>
      <c r="G3" s="5"/>
      <c r="H3" s="5"/>
      <c r="I3" s="5"/>
    </row>
    <row r="4" spans="1:14" ht="202.5" x14ac:dyDescent="0.2">
      <c r="A4" s="60"/>
      <c r="B4" s="61"/>
      <c r="C4" s="14" t="s">
        <v>177</v>
      </c>
      <c r="D4" s="1" t="s">
        <v>7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</row>
    <row r="5" spans="1:14" ht="46.5" customHeight="1" x14ac:dyDescent="0.2">
      <c r="A5" s="60"/>
      <c r="B5" s="61"/>
      <c r="C5" s="14" t="s">
        <v>178</v>
      </c>
      <c r="D5" s="1" t="s">
        <v>7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</row>
    <row r="6" spans="1:14" x14ac:dyDescent="0.2">
      <c r="A6" s="60"/>
      <c r="B6" s="61"/>
      <c r="C6" s="4" t="s">
        <v>84</v>
      </c>
      <c r="D6" s="4"/>
      <c r="E6" s="5"/>
      <c r="F6" s="5"/>
      <c r="G6" s="5"/>
      <c r="H6" s="5"/>
      <c r="I6" s="5"/>
    </row>
    <row r="7" spans="1:14" ht="59.25" customHeight="1" x14ac:dyDescent="0.2">
      <c r="A7" s="60"/>
      <c r="B7" s="61"/>
      <c r="C7" s="14" t="s">
        <v>179</v>
      </c>
      <c r="D7" s="1" t="s">
        <v>8</v>
      </c>
      <c r="E7" s="14" t="s">
        <v>58</v>
      </c>
      <c r="F7" s="14" t="s">
        <v>58</v>
      </c>
      <c r="G7" s="14" t="s">
        <v>58</v>
      </c>
      <c r="H7" s="14" t="s">
        <v>58</v>
      </c>
      <c r="I7" s="14" t="s">
        <v>58</v>
      </c>
      <c r="L7" s="57" t="s">
        <v>224</v>
      </c>
      <c r="M7" s="57"/>
      <c r="N7" s="57"/>
    </row>
    <row r="8" spans="1:14" ht="27.75" x14ac:dyDescent="0.2">
      <c r="A8" s="60"/>
      <c r="B8" s="61"/>
      <c r="C8" s="14" t="s">
        <v>180</v>
      </c>
      <c r="D8" s="1" t="s">
        <v>8</v>
      </c>
      <c r="E8" s="14" t="s">
        <v>58</v>
      </c>
      <c r="F8" s="14" t="s">
        <v>58</v>
      </c>
      <c r="G8" s="14" t="s">
        <v>58</v>
      </c>
      <c r="H8" s="14" t="s">
        <v>58</v>
      </c>
      <c r="I8" s="14" t="s">
        <v>58</v>
      </c>
      <c r="L8" s="41" t="s">
        <v>237</v>
      </c>
      <c r="M8" s="41"/>
      <c r="N8" s="41"/>
    </row>
    <row r="9" spans="1:14" ht="27.75" x14ac:dyDescent="0.2">
      <c r="A9" s="60"/>
      <c r="B9" s="61"/>
      <c r="C9" s="14" t="s">
        <v>181</v>
      </c>
      <c r="D9" s="1" t="s">
        <v>8</v>
      </c>
      <c r="E9" s="14" t="s">
        <v>58</v>
      </c>
      <c r="F9" s="14" t="s">
        <v>58</v>
      </c>
      <c r="G9" s="14" t="s">
        <v>58</v>
      </c>
      <c r="H9" s="14" t="s">
        <v>58</v>
      </c>
      <c r="I9" s="14" t="s">
        <v>58</v>
      </c>
      <c r="L9" s="41"/>
      <c r="M9" s="41"/>
      <c r="N9" s="41"/>
    </row>
    <row r="10" spans="1:14" ht="27.75" x14ac:dyDescent="0.2">
      <c r="A10" s="60"/>
      <c r="B10" s="61"/>
      <c r="C10" s="14" t="s">
        <v>182</v>
      </c>
      <c r="D10" s="1" t="s">
        <v>8</v>
      </c>
      <c r="E10" s="14" t="s">
        <v>58</v>
      </c>
      <c r="F10" s="14" t="s">
        <v>58</v>
      </c>
      <c r="G10" s="14" t="s">
        <v>58</v>
      </c>
      <c r="H10" s="14" t="s">
        <v>58</v>
      </c>
      <c r="I10" s="14" t="s">
        <v>58</v>
      </c>
      <c r="L10" s="41"/>
      <c r="M10" s="41"/>
      <c r="N10" s="41"/>
    </row>
    <row r="11" spans="1:14" ht="27.75" x14ac:dyDescent="0.2">
      <c r="A11" s="60"/>
      <c r="B11" s="61"/>
      <c r="C11" s="14" t="s">
        <v>183</v>
      </c>
      <c r="D11" s="1" t="s">
        <v>8</v>
      </c>
      <c r="E11" s="14" t="s">
        <v>58</v>
      </c>
      <c r="F11" s="14" t="s">
        <v>58</v>
      </c>
      <c r="G11" s="14" t="s">
        <v>58</v>
      </c>
      <c r="H11" s="14" t="s">
        <v>58</v>
      </c>
      <c r="I11" s="14" t="s">
        <v>58</v>
      </c>
    </row>
    <row r="12" spans="1:14" ht="27.75" x14ac:dyDescent="0.2">
      <c r="A12" s="60"/>
      <c r="B12" s="61"/>
      <c r="C12" s="14" t="s">
        <v>184</v>
      </c>
      <c r="D12" s="1" t="s">
        <v>8</v>
      </c>
      <c r="E12" s="14" t="s">
        <v>58</v>
      </c>
      <c r="F12" s="14" t="s">
        <v>58</v>
      </c>
      <c r="G12" s="14" t="s">
        <v>58</v>
      </c>
      <c r="H12" s="14" t="s">
        <v>58</v>
      </c>
      <c r="I12" s="14" t="s">
        <v>58</v>
      </c>
    </row>
    <row r="13" spans="1:14" x14ac:dyDescent="0.2">
      <c r="A13" s="60"/>
      <c r="B13" s="61"/>
      <c r="C13" s="4" t="s">
        <v>4</v>
      </c>
      <c r="D13" s="4"/>
      <c r="E13" s="5"/>
      <c r="F13" s="5"/>
      <c r="G13" s="5"/>
      <c r="H13" s="5"/>
      <c r="I13" s="5"/>
    </row>
    <row r="14" spans="1:14" ht="18.75" customHeight="1" x14ac:dyDescent="0.2">
      <c r="A14" s="60"/>
      <c r="B14" s="61"/>
      <c r="C14" s="14" t="s">
        <v>185</v>
      </c>
      <c r="D14" s="1" t="s">
        <v>57</v>
      </c>
      <c r="E14" t="s">
        <v>59</v>
      </c>
      <c r="F14" t="s">
        <v>59</v>
      </c>
      <c r="G14" t="s">
        <v>59</v>
      </c>
      <c r="H14" t="s">
        <v>59</v>
      </c>
      <c r="I14" t="s">
        <v>59</v>
      </c>
    </row>
    <row r="16" spans="1:14" x14ac:dyDescent="0.2">
      <c r="A16" s="59" t="s">
        <v>0</v>
      </c>
      <c r="B16" s="59"/>
      <c r="C16" s="3" t="s">
        <v>1</v>
      </c>
      <c r="D16" s="3" t="s">
        <v>2</v>
      </c>
      <c r="E16" s="3" t="s">
        <v>246</v>
      </c>
      <c r="F16" s="3" t="s">
        <v>246</v>
      </c>
      <c r="G16" s="3" t="s">
        <v>246</v>
      </c>
      <c r="H16" s="3" t="s">
        <v>246</v>
      </c>
      <c r="I16" s="3" t="s">
        <v>246</v>
      </c>
    </row>
    <row r="17" spans="1:14" ht="15" customHeight="1" x14ac:dyDescent="0.2">
      <c r="A17" s="60" t="s">
        <v>186</v>
      </c>
      <c r="B17" s="61" t="s">
        <v>187</v>
      </c>
      <c r="C17" s="4" t="s">
        <v>33</v>
      </c>
      <c r="D17" s="4"/>
      <c r="E17" s="5"/>
      <c r="F17" s="5"/>
      <c r="G17" s="5"/>
      <c r="H17" s="5"/>
      <c r="I17" s="5"/>
    </row>
    <row r="18" spans="1:14" ht="27.75" x14ac:dyDescent="0.2">
      <c r="A18" s="60"/>
      <c r="B18" s="61"/>
      <c r="C18" s="14" t="s">
        <v>188</v>
      </c>
      <c r="D18" s="1" t="s">
        <v>8</v>
      </c>
      <c r="E18" s="14" t="s">
        <v>58</v>
      </c>
      <c r="F18" s="14" t="s">
        <v>58</v>
      </c>
      <c r="G18" s="14" t="s">
        <v>58</v>
      </c>
      <c r="H18" s="14" t="s">
        <v>58</v>
      </c>
      <c r="I18" s="14" t="s">
        <v>58</v>
      </c>
      <c r="L18" s="57" t="s">
        <v>224</v>
      </c>
      <c r="M18" s="57"/>
      <c r="N18" s="57"/>
    </row>
    <row r="19" spans="1:14" ht="27.75" x14ac:dyDescent="0.2">
      <c r="A19" s="60"/>
      <c r="B19" s="61"/>
      <c r="C19" s="14" t="s">
        <v>189</v>
      </c>
      <c r="D19" s="1" t="s">
        <v>8</v>
      </c>
      <c r="E19" s="14" t="s">
        <v>58</v>
      </c>
      <c r="F19" s="14" t="s">
        <v>58</v>
      </c>
      <c r="G19" s="14" t="s">
        <v>58</v>
      </c>
      <c r="H19" s="14" t="s">
        <v>58</v>
      </c>
      <c r="I19" s="14" t="s">
        <v>58</v>
      </c>
      <c r="L19" s="41" t="s">
        <v>238</v>
      </c>
      <c r="M19" s="41"/>
      <c r="N19" s="41"/>
    </row>
    <row r="20" spans="1:14" ht="27.75" x14ac:dyDescent="0.2">
      <c r="A20" s="60"/>
      <c r="B20" s="61"/>
      <c r="C20" s="14" t="s">
        <v>190</v>
      </c>
      <c r="D20" s="1" t="s">
        <v>8</v>
      </c>
      <c r="E20" s="14" t="s">
        <v>58</v>
      </c>
      <c r="F20" s="14" t="s">
        <v>58</v>
      </c>
      <c r="G20" s="14" t="s">
        <v>58</v>
      </c>
      <c r="H20" s="14" t="s">
        <v>58</v>
      </c>
      <c r="I20" s="14" t="s">
        <v>58</v>
      </c>
      <c r="L20" s="41"/>
      <c r="M20" s="41"/>
      <c r="N20" s="41"/>
    </row>
    <row r="21" spans="1:14" ht="41.25" x14ac:dyDescent="0.2">
      <c r="A21" s="60"/>
      <c r="B21" s="61"/>
      <c r="C21" s="14" t="s">
        <v>191</v>
      </c>
      <c r="D21" s="1" t="s">
        <v>8</v>
      </c>
      <c r="E21" s="14" t="s">
        <v>58</v>
      </c>
      <c r="F21" s="14" t="s">
        <v>58</v>
      </c>
      <c r="G21" s="14" t="s">
        <v>58</v>
      </c>
      <c r="H21" s="14" t="s">
        <v>58</v>
      </c>
      <c r="I21" s="14" t="s">
        <v>58</v>
      </c>
      <c r="L21" s="41"/>
      <c r="M21" s="41"/>
      <c r="N21" s="41"/>
    </row>
    <row r="22" spans="1:14" x14ac:dyDescent="0.2">
      <c r="A22" s="60"/>
      <c r="B22" s="61"/>
      <c r="C22" s="4" t="s">
        <v>4</v>
      </c>
      <c r="D22" s="4"/>
      <c r="E22" s="5"/>
      <c r="F22" s="5"/>
      <c r="G22" s="5"/>
      <c r="H22" s="5"/>
      <c r="I22" s="5"/>
    </row>
    <row r="23" spans="1:14" x14ac:dyDescent="0.2">
      <c r="A23" s="60"/>
      <c r="B23" s="61"/>
      <c r="C23" s="22" t="s">
        <v>192</v>
      </c>
      <c r="D23" s="1" t="s">
        <v>57</v>
      </c>
      <c r="E23" t="s">
        <v>59</v>
      </c>
      <c r="F23" t="s">
        <v>59</v>
      </c>
      <c r="G23" t="s">
        <v>59</v>
      </c>
      <c r="H23" t="s">
        <v>59</v>
      </c>
      <c r="I23" t="s">
        <v>59</v>
      </c>
    </row>
    <row r="24" spans="1:14" x14ac:dyDescent="0.2">
      <c r="A24" s="20"/>
      <c r="B24" s="21"/>
    </row>
    <row r="25" spans="1:14" x14ac:dyDescent="0.2">
      <c r="A25" s="59" t="s">
        <v>0</v>
      </c>
      <c r="B25" s="59"/>
      <c r="C25" s="3" t="s">
        <v>1</v>
      </c>
      <c r="D25" s="3" t="s">
        <v>2</v>
      </c>
      <c r="E25" s="3" t="s">
        <v>246</v>
      </c>
      <c r="F25" s="3" t="s">
        <v>246</v>
      </c>
      <c r="G25" s="3" t="s">
        <v>246</v>
      </c>
      <c r="H25" s="3" t="s">
        <v>246</v>
      </c>
      <c r="I25" s="3" t="s">
        <v>246</v>
      </c>
    </row>
    <row r="26" spans="1:14" x14ac:dyDescent="0.2">
      <c r="A26" s="60" t="s">
        <v>193</v>
      </c>
      <c r="B26" s="61" t="s">
        <v>194</v>
      </c>
      <c r="C26" s="4" t="s">
        <v>3</v>
      </c>
      <c r="D26" s="4"/>
      <c r="E26" s="5"/>
      <c r="F26" s="5"/>
      <c r="G26" s="5"/>
      <c r="H26" s="5"/>
      <c r="I26" s="5"/>
    </row>
    <row r="27" spans="1:14" ht="54.75" x14ac:dyDescent="0.2">
      <c r="A27" s="60"/>
      <c r="B27" s="61"/>
      <c r="C27" s="14" t="s">
        <v>195</v>
      </c>
      <c r="D27" s="1" t="s">
        <v>7</v>
      </c>
      <c r="E27" t="s">
        <v>58</v>
      </c>
      <c r="F27" t="s">
        <v>58</v>
      </c>
      <c r="G27" t="s">
        <v>58</v>
      </c>
      <c r="H27" t="s">
        <v>58</v>
      </c>
      <c r="I27" t="s">
        <v>58</v>
      </c>
    </row>
    <row r="28" spans="1:14" x14ac:dyDescent="0.2">
      <c r="A28" s="60"/>
      <c r="B28" s="61"/>
      <c r="C28" s="14" t="s">
        <v>196</v>
      </c>
      <c r="D28" s="1" t="s">
        <v>7</v>
      </c>
      <c r="E28" t="s">
        <v>58</v>
      </c>
      <c r="F28" t="s">
        <v>58</v>
      </c>
      <c r="G28" t="s">
        <v>58</v>
      </c>
      <c r="H28" t="s">
        <v>58</v>
      </c>
      <c r="I28" t="s">
        <v>58</v>
      </c>
    </row>
    <row r="29" spans="1:14" x14ac:dyDescent="0.2">
      <c r="A29" s="60"/>
      <c r="B29" s="61"/>
      <c r="C29" s="4" t="s">
        <v>84</v>
      </c>
      <c r="D29" s="4"/>
      <c r="E29" s="5"/>
      <c r="F29" s="5"/>
      <c r="G29" s="5"/>
      <c r="H29" s="5"/>
      <c r="I29" s="5"/>
    </row>
    <row r="30" spans="1:14" ht="27.75" x14ac:dyDescent="0.2">
      <c r="A30" s="60"/>
      <c r="B30" s="61"/>
      <c r="C30" s="14" t="s">
        <v>197</v>
      </c>
      <c r="D30" s="1" t="s">
        <v>8</v>
      </c>
      <c r="E30" s="14" t="s">
        <v>58</v>
      </c>
      <c r="F30" s="14" t="s">
        <v>58</v>
      </c>
      <c r="G30" s="14" t="s">
        <v>58</v>
      </c>
      <c r="H30" s="14" t="s">
        <v>58</v>
      </c>
      <c r="I30" s="14" t="s">
        <v>58</v>
      </c>
      <c r="L30" s="57" t="s">
        <v>224</v>
      </c>
      <c r="M30" s="57"/>
      <c r="N30" s="57"/>
    </row>
    <row r="31" spans="1:14" ht="41.25" x14ac:dyDescent="0.2">
      <c r="A31" s="60"/>
      <c r="B31" s="61"/>
      <c r="C31" s="14" t="s">
        <v>198</v>
      </c>
      <c r="D31" s="1" t="s">
        <v>8</v>
      </c>
      <c r="E31" s="14" t="s">
        <v>58</v>
      </c>
      <c r="F31" s="14" t="s">
        <v>58</v>
      </c>
      <c r="G31" s="14" t="s">
        <v>58</v>
      </c>
      <c r="H31" s="14" t="s">
        <v>58</v>
      </c>
      <c r="I31" s="14" t="s">
        <v>58</v>
      </c>
      <c r="L31" s="41" t="s">
        <v>239</v>
      </c>
      <c r="M31" s="41"/>
      <c r="N31" s="41"/>
    </row>
    <row r="32" spans="1:14" ht="27.75" x14ac:dyDescent="0.2">
      <c r="A32" s="60"/>
      <c r="B32" s="61"/>
      <c r="C32" s="14" t="s">
        <v>199</v>
      </c>
      <c r="D32" s="1" t="s">
        <v>8</v>
      </c>
      <c r="E32" s="14" t="s">
        <v>58</v>
      </c>
      <c r="F32" s="14" t="s">
        <v>58</v>
      </c>
      <c r="G32" s="14" t="s">
        <v>58</v>
      </c>
      <c r="H32" s="14" t="s">
        <v>58</v>
      </c>
      <c r="I32" s="14" t="s">
        <v>58</v>
      </c>
      <c r="L32" s="41"/>
      <c r="M32" s="41"/>
      <c r="N32" s="41"/>
    </row>
    <row r="33" spans="1:14" ht="27.75" x14ac:dyDescent="0.2">
      <c r="A33" s="60"/>
      <c r="B33" s="61"/>
      <c r="C33" s="14" t="s">
        <v>200</v>
      </c>
      <c r="D33" s="1" t="s">
        <v>8</v>
      </c>
      <c r="E33" s="14" t="s">
        <v>58</v>
      </c>
      <c r="F33" s="14" t="s">
        <v>58</v>
      </c>
      <c r="G33" s="14" t="s">
        <v>58</v>
      </c>
      <c r="H33" s="14" t="s">
        <v>58</v>
      </c>
      <c r="I33" s="14" t="s">
        <v>58</v>
      </c>
      <c r="L33" s="41"/>
      <c r="M33" s="41"/>
      <c r="N33" s="41"/>
    </row>
    <row r="34" spans="1:14" ht="27.75" x14ac:dyDescent="0.2">
      <c r="A34" s="60"/>
      <c r="B34" s="61"/>
      <c r="C34" s="14" t="s">
        <v>201</v>
      </c>
      <c r="D34" s="1" t="s">
        <v>8</v>
      </c>
      <c r="E34" s="14" t="s">
        <v>58</v>
      </c>
      <c r="F34" s="14" t="s">
        <v>58</v>
      </c>
      <c r="G34" s="14" t="s">
        <v>58</v>
      </c>
      <c r="H34" s="14" t="s">
        <v>58</v>
      </c>
      <c r="I34" s="14" t="s">
        <v>58</v>
      </c>
    </row>
    <row r="35" spans="1:14" x14ac:dyDescent="0.2">
      <c r="A35" s="60"/>
      <c r="B35" s="61"/>
      <c r="C35" s="4" t="s">
        <v>4</v>
      </c>
      <c r="D35" s="4"/>
      <c r="E35" s="5"/>
      <c r="F35" s="5"/>
      <c r="G35" s="5"/>
      <c r="H35" s="5"/>
      <c r="I35" s="5"/>
    </row>
    <row r="36" spans="1:14" x14ac:dyDescent="0.2">
      <c r="A36" s="60"/>
      <c r="B36" s="61"/>
      <c r="C36" s="14" t="s">
        <v>202</v>
      </c>
      <c r="D36" s="1" t="s">
        <v>57</v>
      </c>
      <c r="E36" t="s">
        <v>59</v>
      </c>
      <c r="F36" t="s">
        <v>59</v>
      </c>
      <c r="G36" t="s">
        <v>59</v>
      </c>
      <c r="H36" t="s">
        <v>59</v>
      </c>
      <c r="I36" t="s">
        <v>59</v>
      </c>
    </row>
    <row r="37" spans="1:14" x14ac:dyDescent="0.2">
      <c r="A37" s="20"/>
      <c r="B37" s="21"/>
      <c r="C37" s="1"/>
    </row>
    <row r="38" spans="1:14" x14ac:dyDescent="0.2">
      <c r="A38" s="59" t="s">
        <v>0</v>
      </c>
      <c r="B38" s="59"/>
      <c r="C38" s="3" t="s">
        <v>1</v>
      </c>
      <c r="D38" s="3" t="s">
        <v>2</v>
      </c>
      <c r="E38" s="3" t="s">
        <v>246</v>
      </c>
      <c r="F38" s="3" t="s">
        <v>246</v>
      </c>
      <c r="G38" s="3" t="s">
        <v>246</v>
      </c>
      <c r="H38" s="3" t="s">
        <v>246</v>
      </c>
      <c r="I38" s="3" t="s">
        <v>246</v>
      </c>
    </row>
    <row r="39" spans="1:14" x14ac:dyDescent="0.2">
      <c r="A39" s="60" t="s">
        <v>203</v>
      </c>
      <c r="B39" s="61" t="s">
        <v>204</v>
      </c>
      <c r="C39" s="4" t="s">
        <v>3</v>
      </c>
      <c r="D39" s="4"/>
      <c r="E39" s="5"/>
      <c r="F39" s="5"/>
      <c r="G39" s="5"/>
      <c r="H39" s="5"/>
      <c r="I39" s="5"/>
    </row>
    <row r="40" spans="1:14" ht="27.75" x14ac:dyDescent="0.2">
      <c r="A40" s="60"/>
      <c r="B40" s="61"/>
      <c r="C40" s="14" t="s">
        <v>205</v>
      </c>
      <c r="D40" s="1" t="s">
        <v>7</v>
      </c>
      <c r="E40" t="s">
        <v>58</v>
      </c>
      <c r="F40" t="s">
        <v>58</v>
      </c>
      <c r="G40" t="s">
        <v>58</v>
      </c>
      <c r="H40" t="s">
        <v>58</v>
      </c>
      <c r="I40" t="s">
        <v>58</v>
      </c>
    </row>
    <row r="41" spans="1:14" ht="41.25" x14ac:dyDescent="0.2">
      <c r="A41" s="60"/>
      <c r="B41" s="61"/>
      <c r="C41" s="14" t="s">
        <v>206</v>
      </c>
      <c r="D41" s="1" t="s">
        <v>7</v>
      </c>
      <c r="E41" t="s">
        <v>58</v>
      </c>
      <c r="F41" t="s">
        <v>58</v>
      </c>
      <c r="G41" t="s">
        <v>58</v>
      </c>
      <c r="H41" t="s">
        <v>58</v>
      </c>
      <c r="I41" t="s">
        <v>58</v>
      </c>
    </row>
    <row r="42" spans="1:14" x14ac:dyDescent="0.2">
      <c r="A42" s="60"/>
      <c r="B42" s="61"/>
      <c r="C42" s="4" t="s">
        <v>33</v>
      </c>
      <c r="D42" s="4"/>
      <c r="E42" s="5"/>
      <c r="F42" s="5"/>
      <c r="G42" s="5"/>
      <c r="H42" s="5"/>
      <c r="I42" s="5"/>
    </row>
    <row r="43" spans="1:14" ht="27.75" x14ac:dyDescent="0.2">
      <c r="A43" s="60"/>
      <c r="B43" s="61"/>
      <c r="C43" s="14" t="s">
        <v>207</v>
      </c>
      <c r="D43" s="1" t="s">
        <v>8</v>
      </c>
      <c r="E43" s="14" t="s">
        <v>58</v>
      </c>
      <c r="F43" s="14" t="s">
        <v>58</v>
      </c>
      <c r="G43" s="14" t="s">
        <v>58</v>
      </c>
      <c r="H43" s="14" t="s">
        <v>58</v>
      </c>
      <c r="I43" s="14" t="s">
        <v>58</v>
      </c>
      <c r="L43" s="57" t="s">
        <v>224</v>
      </c>
      <c r="M43" s="57"/>
      <c r="N43" s="57"/>
    </row>
    <row r="44" spans="1:14" ht="27.75" x14ac:dyDescent="0.2">
      <c r="A44" s="60"/>
      <c r="B44" s="61"/>
      <c r="C44" s="14" t="s">
        <v>208</v>
      </c>
      <c r="D44" s="1" t="s">
        <v>8</v>
      </c>
      <c r="E44" s="14" t="s">
        <v>58</v>
      </c>
      <c r="F44" s="14" t="s">
        <v>58</v>
      </c>
      <c r="G44" s="14" t="s">
        <v>58</v>
      </c>
      <c r="H44" s="14" t="s">
        <v>58</v>
      </c>
      <c r="I44" s="14" t="s">
        <v>58</v>
      </c>
      <c r="L44" s="41" t="s">
        <v>240</v>
      </c>
      <c r="M44" s="41"/>
      <c r="N44" s="41"/>
    </row>
    <row r="45" spans="1:14" ht="27.75" x14ac:dyDescent="0.2">
      <c r="A45" s="60"/>
      <c r="B45" s="61"/>
      <c r="C45" s="14" t="s">
        <v>209</v>
      </c>
      <c r="D45" s="1" t="s">
        <v>8</v>
      </c>
      <c r="E45" s="14" t="s">
        <v>58</v>
      </c>
      <c r="F45" s="14" t="s">
        <v>58</v>
      </c>
      <c r="G45" s="14" t="s">
        <v>58</v>
      </c>
      <c r="H45" s="14" t="s">
        <v>58</v>
      </c>
      <c r="I45" s="14" t="s">
        <v>58</v>
      </c>
      <c r="L45" s="41"/>
      <c r="M45" s="41"/>
      <c r="N45" s="41"/>
    </row>
    <row r="46" spans="1:14" ht="27.75" x14ac:dyDescent="0.2">
      <c r="A46" s="60"/>
      <c r="B46" s="61"/>
      <c r="C46" s="14" t="s">
        <v>210</v>
      </c>
      <c r="D46" s="1" t="s">
        <v>8</v>
      </c>
      <c r="E46" s="14" t="s">
        <v>58</v>
      </c>
      <c r="F46" s="14" t="s">
        <v>58</v>
      </c>
      <c r="G46" s="14" t="s">
        <v>58</v>
      </c>
      <c r="H46" s="14" t="s">
        <v>58</v>
      </c>
      <c r="I46" s="14" t="s">
        <v>58</v>
      </c>
      <c r="L46" s="41"/>
      <c r="M46" s="41"/>
      <c r="N46" s="41"/>
    </row>
    <row r="47" spans="1:14" ht="27.75" x14ac:dyDescent="0.2">
      <c r="A47" s="60"/>
      <c r="B47" s="61"/>
      <c r="C47" s="14" t="s">
        <v>211</v>
      </c>
      <c r="D47" s="1" t="s">
        <v>8</v>
      </c>
      <c r="E47" s="14" t="s">
        <v>58</v>
      </c>
      <c r="F47" s="14" t="s">
        <v>58</v>
      </c>
      <c r="G47" s="14" t="s">
        <v>58</v>
      </c>
      <c r="H47" s="14" t="s">
        <v>58</v>
      </c>
      <c r="I47" s="14" t="s">
        <v>58</v>
      </c>
    </row>
    <row r="48" spans="1:14" x14ac:dyDescent="0.2">
      <c r="A48" s="60"/>
      <c r="B48" s="61"/>
      <c r="C48" s="4" t="s">
        <v>4</v>
      </c>
      <c r="D48" s="4"/>
      <c r="E48" s="5"/>
      <c r="F48" s="5"/>
      <c r="G48" s="5"/>
      <c r="H48" s="5"/>
      <c r="I48" s="5"/>
    </row>
    <row r="49" spans="1:14" x14ac:dyDescent="0.2">
      <c r="A49" s="60"/>
      <c r="B49" s="61"/>
      <c r="C49" s="14" t="s">
        <v>212</v>
      </c>
      <c r="D49" s="1" t="s">
        <v>57</v>
      </c>
      <c r="E49" t="s">
        <v>59</v>
      </c>
      <c r="F49" t="s">
        <v>59</v>
      </c>
      <c r="G49" t="s">
        <v>59</v>
      </c>
      <c r="H49" t="s">
        <v>59</v>
      </c>
      <c r="I49" t="s">
        <v>59</v>
      </c>
    </row>
    <row r="51" spans="1:14" x14ac:dyDescent="0.2">
      <c r="A51" s="59" t="s">
        <v>0</v>
      </c>
      <c r="B51" s="59"/>
      <c r="C51" s="3" t="s">
        <v>1</v>
      </c>
      <c r="D51" s="3" t="s">
        <v>2</v>
      </c>
      <c r="E51" s="3" t="s">
        <v>246</v>
      </c>
      <c r="F51" s="3" t="s">
        <v>246</v>
      </c>
      <c r="G51" s="3" t="s">
        <v>246</v>
      </c>
      <c r="H51" s="3" t="s">
        <v>246</v>
      </c>
      <c r="I51" s="3" t="s">
        <v>246</v>
      </c>
    </row>
    <row r="52" spans="1:14" x14ac:dyDescent="0.2">
      <c r="A52" s="60" t="s">
        <v>213</v>
      </c>
      <c r="B52" s="61" t="s">
        <v>214</v>
      </c>
      <c r="C52" s="4" t="s">
        <v>3</v>
      </c>
      <c r="D52" s="4"/>
      <c r="E52" s="5"/>
      <c r="F52" s="5"/>
      <c r="G52" s="5"/>
      <c r="H52" s="5"/>
      <c r="I52" s="5"/>
    </row>
    <row r="53" spans="1:14" ht="41.25" x14ac:dyDescent="0.2">
      <c r="A53" s="60"/>
      <c r="B53" s="61"/>
      <c r="C53" s="14" t="s">
        <v>215</v>
      </c>
      <c r="D53" s="1" t="s">
        <v>7</v>
      </c>
      <c r="E53" t="s">
        <v>58</v>
      </c>
      <c r="F53" t="s">
        <v>58</v>
      </c>
      <c r="G53" t="s">
        <v>58</v>
      </c>
      <c r="H53" t="s">
        <v>58</v>
      </c>
      <c r="I53" t="s">
        <v>58</v>
      </c>
    </row>
    <row r="54" spans="1:14" x14ac:dyDescent="0.2">
      <c r="A54" s="60"/>
      <c r="B54" s="61"/>
      <c r="C54" s="4" t="s">
        <v>33</v>
      </c>
      <c r="D54" s="4"/>
      <c r="E54" s="5"/>
      <c r="F54" s="5"/>
      <c r="G54" s="5"/>
      <c r="H54" s="5"/>
      <c r="I54" s="5"/>
    </row>
    <row r="55" spans="1:14" ht="41.25" x14ac:dyDescent="0.2">
      <c r="A55" s="60"/>
      <c r="B55" s="61"/>
      <c r="C55" s="14" t="s">
        <v>216</v>
      </c>
      <c r="D55" s="1" t="s">
        <v>8</v>
      </c>
      <c r="E55" s="14" t="s">
        <v>58</v>
      </c>
      <c r="F55" s="14" t="s">
        <v>58</v>
      </c>
      <c r="G55" s="14" t="s">
        <v>58</v>
      </c>
      <c r="H55" s="14" t="s">
        <v>58</v>
      </c>
      <c r="I55" s="14" t="s">
        <v>58</v>
      </c>
      <c r="L55" s="57" t="s">
        <v>224</v>
      </c>
      <c r="M55" s="57"/>
      <c r="N55" s="57"/>
    </row>
    <row r="56" spans="1:14" ht="27.75" x14ac:dyDescent="0.2">
      <c r="A56" s="60"/>
      <c r="B56" s="61"/>
      <c r="C56" s="14" t="s">
        <v>217</v>
      </c>
      <c r="D56" s="1" t="s">
        <v>8</v>
      </c>
      <c r="E56" s="14" t="s">
        <v>58</v>
      </c>
      <c r="F56" s="14" t="s">
        <v>58</v>
      </c>
      <c r="G56" s="14" t="s">
        <v>58</v>
      </c>
      <c r="H56" s="14" t="s">
        <v>58</v>
      </c>
      <c r="I56" s="14" t="s">
        <v>58</v>
      </c>
      <c r="L56" s="41" t="s">
        <v>241</v>
      </c>
      <c r="M56" s="41"/>
      <c r="N56" s="41"/>
    </row>
    <row r="57" spans="1:14" ht="41.25" x14ac:dyDescent="0.2">
      <c r="A57" s="60"/>
      <c r="B57" s="61"/>
      <c r="C57" s="14" t="s">
        <v>218</v>
      </c>
      <c r="D57" s="1" t="s">
        <v>8</v>
      </c>
      <c r="E57" s="14" t="s">
        <v>58</v>
      </c>
      <c r="F57" s="14" t="s">
        <v>58</v>
      </c>
      <c r="G57" s="14" t="s">
        <v>58</v>
      </c>
      <c r="H57" s="14" t="s">
        <v>58</v>
      </c>
      <c r="I57" s="14" t="s">
        <v>58</v>
      </c>
      <c r="L57" s="41"/>
      <c r="M57" s="41"/>
      <c r="N57" s="41"/>
    </row>
    <row r="58" spans="1:14" ht="27.75" x14ac:dyDescent="0.2">
      <c r="A58" s="60"/>
      <c r="B58" s="61"/>
      <c r="C58" s="14" t="s">
        <v>219</v>
      </c>
      <c r="D58" s="1" t="s">
        <v>8</v>
      </c>
      <c r="E58" s="14" t="s">
        <v>58</v>
      </c>
      <c r="F58" s="14" t="s">
        <v>58</v>
      </c>
      <c r="G58" s="14" t="s">
        <v>58</v>
      </c>
      <c r="H58" s="14" t="s">
        <v>58</v>
      </c>
      <c r="I58" s="14" t="s">
        <v>58</v>
      </c>
      <c r="L58" s="41"/>
      <c r="M58" s="41"/>
      <c r="N58" s="41"/>
    </row>
    <row r="59" spans="1:14" ht="27.75" x14ac:dyDescent="0.2">
      <c r="A59" s="60"/>
      <c r="B59" s="61"/>
      <c r="C59" s="14" t="s">
        <v>220</v>
      </c>
      <c r="D59" s="1" t="s">
        <v>8</v>
      </c>
      <c r="E59" s="14" t="s">
        <v>58</v>
      </c>
      <c r="F59" s="14" t="s">
        <v>58</v>
      </c>
      <c r="G59" s="14" t="s">
        <v>58</v>
      </c>
      <c r="H59" s="14" t="s">
        <v>58</v>
      </c>
      <c r="I59" s="14" t="s">
        <v>58</v>
      </c>
    </row>
    <row r="60" spans="1:14" ht="41.25" x14ac:dyDescent="0.2">
      <c r="A60" s="60"/>
      <c r="B60" s="61"/>
      <c r="C60" s="14" t="s">
        <v>221</v>
      </c>
      <c r="D60" s="1" t="s">
        <v>8</v>
      </c>
      <c r="E60" s="14" t="s">
        <v>58</v>
      </c>
      <c r="F60" s="14" t="s">
        <v>58</v>
      </c>
      <c r="G60" s="14" t="s">
        <v>58</v>
      </c>
      <c r="H60" s="14" t="s">
        <v>58</v>
      </c>
      <c r="I60" s="14" t="s">
        <v>58</v>
      </c>
    </row>
    <row r="61" spans="1:14" x14ac:dyDescent="0.2">
      <c r="A61" s="60"/>
      <c r="B61" s="61"/>
      <c r="C61" s="4" t="s">
        <v>4</v>
      </c>
      <c r="D61" s="4"/>
      <c r="E61" s="5"/>
      <c r="F61" s="5"/>
      <c r="G61" s="5"/>
      <c r="H61" s="5"/>
      <c r="I61" s="5"/>
    </row>
    <row r="62" spans="1:14" x14ac:dyDescent="0.2">
      <c r="A62" s="60"/>
      <c r="B62" s="61"/>
      <c r="C62" s="14" t="s">
        <v>222</v>
      </c>
      <c r="D62" s="1" t="s">
        <v>57</v>
      </c>
      <c r="E62" t="s">
        <v>59</v>
      </c>
      <c r="F62" t="s">
        <v>59</v>
      </c>
      <c r="G62" t="s">
        <v>59</v>
      </c>
      <c r="H62" t="s">
        <v>59</v>
      </c>
      <c r="I62" t="s">
        <v>59</v>
      </c>
    </row>
  </sheetData>
  <mergeCells count="26">
    <mergeCell ref="A1:B1"/>
    <mergeCell ref="A2:B2"/>
    <mergeCell ref="A3:A14"/>
    <mergeCell ref="B3:B14"/>
    <mergeCell ref="A52:A62"/>
    <mergeCell ref="B52:B62"/>
    <mergeCell ref="A16:B16"/>
    <mergeCell ref="A17:A23"/>
    <mergeCell ref="B17:B23"/>
    <mergeCell ref="A25:B25"/>
    <mergeCell ref="A26:A36"/>
    <mergeCell ref="B26:B36"/>
    <mergeCell ref="A38:B38"/>
    <mergeCell ref="A39:A49"/>
    <mergeCell ref="B39:B49"/>
    <mergeCell ref="A51:B51"/>
    <mergeCell ref="L7:N7"/>
    <mergeCell ref="L8:N10"/>
    <mergeCell ref="L18:N18"/>
    <mergeCell ref="L19:N21"/>
    <mergeCell ref="L30:N30"/>
    <mergeCell ref="L31:N33"/>
    <mergeCell ref="L43:N43"/>
    <mergeCell ref="L44:N46"/>
    <mergeCell ref="L55:N55"/>
    <mergeCell ref="L56:N58"/>
  </mergeCells>
  <conditionalFormatting sqref="E4:I5">
    <cfRule type="containsText" dxfId="48" priority="107" operator="containsText" text="Feito">
      <formula>NOT(ISERROR(SEARCH("Feito",E4)))</formula>
    </cfRule>
    <cfRule type="containsText" dxfId="47" priority="106" operator="containsText" text="Fazer">
      <formula>NOT(ISERROR(SEARCH("Fazer",E4)))</formula>
    </cfRule>
  </conditionalFormatting>
  <conditionalFormatting sqref="E7:I12">
    <cfRule type="containsText" dxfId="46" priority="210" operator="containsText" text="Feito">
      <formula>NOT(ISERROR(SEARCH("Feito",E7)))</formula>
    </cfRule>
    <cfRule type="containsText" dxfId="45" priority="209" operator="containsText" text="Fazer">
      <formula>NOT(ISERROR(SEARCH("Fazer",E7)))</formula>
    </cfRule>
    <cfRule type="containsText" dxfId="44" priority="208" operator="containsText" text="Troca">
      <formula>NOT(ISERROR(SEARCH("Troca",E7)))</formula>
    </cfRule>
  </conditionalFormatting>
  <conditionalFormatting sqref="E14:I14">
    <cfRule type="containsText" dxfId="43" priority="207" operator="containsText" text="Feito">
      <formula>NOT(ISERROR(SEARCH("Feito",E14)))</formula>
    </cfRule>
    <cfRule type="containsText" dxfId="42" priority="206" operator="containsText" text="Fazer">
      <formula>NOT(ISERROR(SEARCH("Fazer",E14)))</formula>
    </cfRule>
    <cfRule type="containsText" dxfId="41" priority="205" operator="containsText" text="Optou">
      <formula>NOT(ISERROR(SEARCH("Optou",E14)))</formula>
    </cfRule>
  </conditionalFormatting>
  <conditionalFormatting sqref="E18:I21">
    <cfRule type="containsText" dxfId="40" priority="92" operator="containsText" text="Feito">
      <formula>NOT(ISERROR(SEARCH("Feito",E18)))</formula>
    </cfRule>
    <cfRule type="containsText" dxfId="39" priority="91" operator="containsText" text="Fazer">
      <formula>NOT(ISERROR(SEARCH("Fazer",E18)))</formula>
    </cfRule>
    <cfRule type="containsText" dxfId="38" priority="90" operator="containsText" text="Troca">
      <formula>NOT(ISERROR(SEARCH("Troca",E18)))</formula>
    </cfRule>
  </conditionalFormatting>
  <conditionalFormatting sqref="E23:I23">
    <cfRule type="containsText" dxfId="37" priority="83" operator="containsText" text="Feito">
      <formula>NOT(ISERROR(SEARCH("Feito",E23)))</formula>
    </cfRule>
    <cfRule type="containsText" dxfId="36" priority="82" operator="containsText" text="Fazer">
      <formula>NOT(ISERROR(SEARCH("Fazer",E23)))</formula>
    </cfRule>
    <cfRule type="containsText" dxfId="35" priority="81" operator="containsText" text="Optou">
      <formula>NOT(ISERROR(SEARCH("Optou",E23)))</formula>
    </cfRule>
  </conditionalFormatting>
  <conditionalFormatting sqref="E27:I28">
    <cfRule type="containsText" dxfId="34" priority="52" operator="containsText" text="Fazer">
      <formula>NOT(ISERROR(SEARCH("Fazer",E27)))</formula>
    </cfRule>
    <cfRule type="containsText" dxfId="33" priority="53" operator="containsText" text="Feito">
      <formula>NOT(ISERROR(SEARCH("Feito",E27)))</formula>
    </cfRule>
  </conditionalFormatting>
  <conditionalFormatting sqref="E30:I34">
    <cfRule type="containsText" dxfId="32" priority="62" operator="containsText" text="Feito">
      <formula>NOT(ISERROR(SEARCH("Feito",E30)))</formula>
    </cfRule>
    <cfRule type="containsText" dxfId="31" priority="61" operator="containsText" text="Fazer">
      <formula>NOT(ISERROR(SEARCH("Fazer",E30)))</formula>
    </cfRule>
    <cfRule type="containsText" dxfId="30" priority="60" operator="containsText" text="Troca">
      <formula>NOT(ISERROR(SEARCH("Troca",E30)))</formula>
    </cfRule>
  </conditionalFormatting>
  <conditionalFormatting sqref="E36:I36">
    <cfRule type="containsText" dxfId="29" priority="55" operator="containsText" text="Fazer">
      <formula>NOT(ISERROR(SEARCH("Fazer",E36)))</formula>
    </cfRule>
    <cfRule type="containsText" dxfId="28" priority="56" operator="containsText" text="Feito">
      <formula>NOT(ISERROR(SEARCH("Feito",E36)))</formula>
    </cfRule>
    <cfRule type="containsText" dxfId="27" priority="54" operator="containsText" text="Optou">
      <formula>NOT(ISERROR(SEARCH("Optou",E36)))</formula>
    </cfRule>
  </conditionalFormatting>
  <conditionalFormatting sqref="E40:I41">
    <cfRule type="containsText" dxfId="26" priority="29" operator="containsText" text="Feito">
      <formula>NOT(ISERROR(SEARCH("Feito",E40)))</formula>
    </cfRule>
    <cfRule type="containsText" dxfId="25" priority="28" operator="containsText" text="Fazer">
      <formula>NOT(ISERROR(SEARCH("Fazer",E40)))</formula>
    </cfRule>
  </conditionalFormatting>
  <conditionalFormatting sqref="E43:I47">
    <cfRule type="containsText" dxfId="24" priority="35" operator="containsText" text="Feito">
      <formula>NOT(ISERROR(SEARCH("Feito",E43)))</formula>
    </cfRule>
    <cfRule type="containsText" dxfId="23" priority="34" operator="containsText" text="Fazer">
      <formula>NOT(ISERROR(SEARCH("Fazer",E43)))</formula>
    </cfRule>
    <cfRule type="containsText" dxfId="22" priority="33" operator="containsText" text="Troca">
      <formula>NOT(ISERROR(SEARCH("Troca",E43)))</formula>
    </cfRule>
  </conditionalFormatting>
  <conditionalFormatting sqref="E49:I49">
    <cfRule type="containsText" dxfId="21" priority="32" operator="containsText" text="Feito">
      <formula>NOT(ISERROR(SEARCH("Feito",E49)))</formula>
    </cfRule>
    <cfRule type="containsText" dxfId="20" priority="31" operator="containsText" text="Fazer">
      <formula>NOT(ISERROR(SEARCH("Fazer",E49)))</formula>
    </cfRule>
    <cfRule type="containsText" dxfId="19" priority="30" operator="containsText" text="Optou">
      <formula>NOT(ISERROR(SEARCH("Optou",E49)))</formula>
    </cfRule>
  </conditionalFormatting>
  <conditionalFormatting sqref="E53:I53">
    <cfRule type="containsText" dxfId="18" priority="5" operator="containsText" text="Feito">
      <formula>NOT(ISERROR(SEARCH("Feito",E53)))</formula>
    </cfRule>
    <cfRule type="containsText" dxfId="17" priority="4" operator="containsText" text="Fazer">
      <formula>NOT(ISERROR(SEARCH("Fazer",E53)))</formula>
    </cfRule>
  </conditionalFormatting>
  <conditionalFormatting sqref="E55:I60">
    <cfRule type="containsText" dxfId="16" priority="3" operator="containsText" text="Feito">
      <formula>NOT(ISERROR(SEARCH("Feito",E55)))</formula>
    </cfRule>
    <cfRule type="containsText" dxfId="15" priority="2" operator="containsText" text="Fazer">
      <formula>NOT(ISERROR(SEARCH("Fazer",E55)))</formula>
    </cfRule>
    <cfRule type="containsText" dxfId="14" priority="1" operator="containsText" text="Troca">
      <formula>NOT(ISERROR(SEARCH("Troca",E55)))</formula>
    </cfRule>
  </conditionalFormatting>
  <conditionalFormatting sqref="E62:I62">
    <cfRule type="containsText" dxfId="13" priority="8" operator="containsText" text="Feito">
      <formula>NOT(ISERROR(SEARCH("Feito",E62)))</formula>
    </cfRule>
    <cfRule type="containsText" dxfId="12" priority="7" operator="containsText" text="Fazer">
      <formula>NOT(ISERROR(SEARCH("Fazer",E62)))</formula>
    </cfRule>
    <cfRule type="containsText" dxfId="11" priority="6" operator="containsText" text="Optou">
      <formula>NOT(ISERROR(SEARCH("Optou",E62)))</formula>
    </cfRule>
  </conditionalFormatting>
  <dataValidations count="3">
    <dataValidation type="list" allowBlank="1" showInputMessage="1" showErrorMessage="1" sqref="E14:I14 E36:I36 E23:I23 E49:I49 E62:I62" xr:uid="{58E09ABE-D4D5-4DD3-B9E0-8FDF8123B06E}">
      <formula1>"Feito,Não optou,"</formula1>
    </dataValidation>
    <dataValidation type="list" allowBlank="1" showInputMessage="1" showErrorMessage="1" sqref="E7:I12 E30:I34 E18:I21 E43:I47 E55:I60" xr:uid="{4C46335A-F312-4B96-B134-CDA6C6BBB262}">
      <formula1>"Feito,A fazer,Troca por Especialidade"</formula1>
    </dataValidation>
    <dataValidation type="list" allowBlank="1" showInputMessage="1" showErrorMessage="1" sqref="E4:I5 E27:I28 E40:I41 E53:I53" xr:uid="{8161B01A-50DA-4636-B047-8F8580103EE7}">
      <formula1>"Feito,A fazer"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4471-DC41-44A7-925E-D70B72FFB874}">
  <dimension ref="A1:L45"/>
  <sheetViews>
    <sheetView topLeftCell="A28" workbookViewId="0">
      <selection activeCell="H51" sqref="H51"/>
    </sheetView>
  </sheetViews>
  <sheetFormatPr defaultRowHeight="15" x14ac:dyDescent="0.2"/>
  <cols>
    <col min="1" max="1" width="24.75" customWidth="1"/>
    <col min="2" max="12" width="20.71484375" customWidth="1"/>
  </cols>
  <sheetData>
    <row r="1" spans="1:10" ht="31.5" x14ac:dyDescent="0.2">
      <c r="B1" s="34" t="s">
        <v>6</v>
      </c>
      <c r="C1" s="34"/>
      <c r="D1" s="34"/>
      <c r="E1" s="34"/>
      <c r="F1" s="34"/>
      <c r="G1" s="34"/>
      <c r="H1" s="34"/>
      <c r="I1" s="34"/>
    </row>
    <row r="2" spans="1:10" x14ac:dyDescent="0.2">
      <c r="B2" s="32" t="s">
        <v>12</v>
      </c>
      <c r="C2" s="32"/>
      <c r="D2" s="33" t="s">
        <v>23</v>
      </c>
      <c r="E2" s="33"/>
      <c r="F2" s="32" t="s">
        <v>36</v>
      </c>
      <c r="G2" s="32"/>
      <c r="H2" s="33" t="s">
        <v>48</v>
      </c>
      <c r="I2" s="33"/>
    </row>
    <row r="3" spans="1:10" x14ac:dyDescent="0.2">
      <c r="B3" s="28" t="s">
        <v>242</v>
      </c>
      <c r="C3" s="28" t="s">
        <v>243</v>
      </c>
      <c r="D3" s="29" t="s">
        <v>242</v>
      </c>
      <c r="E3" s="29" t="s">
        <v>243</v>
      </c>
      <c r="F3" s="28" t="s">
        <v>242</v>
      </c>
      <c r="G3" s="28" t="s">
        <v>243</v>
      </c>
      <c r="H3" s="29" t="s">
        <v>242</v>
      </c>
      <c r="I3" s="29" t="s">
        <v>243</v>
      </c>
    </row>
    <row r="4" spans="1:10" x14ac:dyDescent="0.2">
      <c r="A4" t="s">
        <v>246</v>
      </c>
      <c r="B4" t="s">
        <v>244</v>
      </c>
      <c r="C4" t="s">
        <v>244</v>
      </c>
      <c r="D4" t="s">
        <v>244</v>
      </c>
      <c r="E4" t="s">
        <v>244</v>
      </c>
      <c r="F4" t="s">
        <v>244</v>
      </c>
      <c r="G4" t="s">
        <v>244</v>
      </c>
      <c r="H4" t="s">
        <v>244</v>
      </c>
      <c r="I4" t="s">
        <v>244</v>
      </c>
      <c r="J4" s="30">
        <f>COUNTIF(B4:I4, "completo") / COUNTA(B4:I4)</f>
        <v>0</v>
      </c>
    </row>
    <row r="5" spans="1:10" x14ac:dyDescent="0.2">
      <c r="A5" t="s">
        <v>246</v>
      </c>
      <c r="B5" t="s">
        <v>244</v>
      </c>
      <c r="C5" t="s">
        <v>244</v>
      </c>
      <c r="D5" t="s">
        <v>244</v>
      </c>
      <c r="E5" t="s">
        <v>244</v>
      </c>
      <c r="F5" t="s">
        <v>244</v>
      </c>
      <c r="G5" t="s">
        <v>244</v>
      </c>
      <c r="H5" t="s">
        <v>244</v>
      </c>
      <c r="I5" t="s">
        <v>244</v>
      </c>
      <c r="J5" s="30">
        <f t="shared" ref="J5:J8" si="0">COUNTIF(B5:I5, "completo") / COUNTA(B5:I5)</f>
        <v>0</v>
      </c>
    </row>
    <row r="6" spans="1:10" x14ac:dyDescent="0.2">
      <c r="A6" t="s">
        <v>246</v>
      </c>
      <c r="B6" t="s">
        <v>244</v>
      </c>
      <c r="C6" t="s">
        <v>244</v>
      </c>
      <c r="D6" t="s">
        <v>244</v>
      </c>
      <c r="E6" t="s">
        <v>244</v>
      </c>
      <c r="F6" t="s">
        <v>244</v>
      </c>
      <c r="G6" t="s">
        <v>244</v>
      </c>
      <c r="H6" t="s">
        <v>244</v>
      </c>
      <c r="I6" t="s">
        <v>244</v>
      </c>
      <c r="J6" s="30">
        <f t="shared" si="0"/>
        <v>0</v>
      </c>
    </row>
    <row r="7" spans="1:10" x14ac:dyDescent="0.2">
      <c r="A7" t="s">
        <v>246</v>
      </c>
      <c r="B7" t="s">
        <v>244</v>
      </c>
      <c r="C7" t="s">
        <v>244</v>
      </c>
      <c r="D7" t="s">
        <v>244</v>
      </c>
      <c r="E7" t="s">
        <v>244</v>
      </c>
      <c r="F7" t="s">
        <v>244</v>
      </c>
      <c r="G7" t="s">
        <v>244</v>
      </c>
      <c r="H7" t="s">
        <v>244</v>
      </c>
      <c r="I7" t="s">
        <v>244</v>
      </c>
      <c r="J7" s="30">
        <f t="shared" si="0"/>
        <v>0</v>
      </c>
    </row>
    <row r="8" spans="1:10" x14ac:dyDescent="0.2">
      <c r="A8" t="s">
        <v>246</v>
      </c>
      <c r="B8" t="s">
        <v>244</v>
      </c>
      <c r="C8" t="s">
        <v>244</v>
      </c>
      <c r="D8" t="s">
        <v>244</v>
      </c>
      <c r="E8" t="s">
        <v>244</v>
      </c>
      <c r="F8" t="s">
        <v>244</v>
      </c>
      <c r="G8" t="s">
        <v>244</v>
      </c>
      <c r="H8" t="s">
        <v>244</v>
      </c>
      <c r="I8" t="s">
        <v>244</v>
      </c>
      <c r="J8" s="30">
        <f t="shared" si="0"/>
        <v>0</v>
      </c>
    </row>
    <row r="10" spans="1:10" ht="31.5" x14ac:dyDescent="0.2">
      <c r="B10" s="31" t="s">
        <v>10</v>
      </c>
      <c r="C10" s="31"/>
      <c r="D10" s="31"/>
      <c r="E10" s="31"/>
      <c r="F10" s="31"/>
      <c r="G10" s="31"/>
      <c r="H10" s="31"/>
      <c r="I10" s="31"/>
    </row>
    <row r="11" spans="1:10" x14ac:dyDescent="0.2">
      <c r="B11" s="32" t="s">
        <v>60</v>
      </c>
      <c r="C11" s="32"/>
      <c r="D11" s="33" t="s">
        <v>71</v>
      </c>
      <c r="E11" s="33"/>
      <c r="F11" s="32" t="s">
        <v>81</v>
      </c>
      <c r="G11" s="32"/>
      <c r="H11" s="33" t="s">
        <v>94</v>
      </c>
      <c r="I11" s="33"/>
    </row>
    <row r="12" spans="1:10" x14ac:dyDescent="0.2">
      <c r="B12" s="28" t="s">
        <v>242</v>
      </c>
      <c r="C12" s="28" t="s">
        <v>243</v>
      </c>
      <c r="D12" s="29" t="s">
        <v>242</v>
      </c>
      <c r="E12" s="29" t="s">
        <v>243</v>
      </c>
      <c r="F12" s="28" t="s">
        <v>242</v>
      </c>
      <c r="G12" s="28" t="s">
        <v>243</v>
      </c>
      <c r="H12" s="29" t="s">
        <v>242</v>
      </c>
      <c r="I12" s="29" t="s">
        <v>243</v>
      </c>
    </row>
    <row r="13" spans="1:10" x14ac:dyDescent="0.2">
      <c r="A13" t="s">
        <v>246</v>
      </c>
      <c r="B13" t="s">
        <v>244</v>
      </c>
      <c r="C13" t="s">
        <v>244</v>
      </c>
      <c r="D13" t="s">
        <v>244</v>
      </c>
      <c r="E13" t="s">
        <v>244</v>
      </c>
      <c r="F13" t="s">
        <v>244</v>
      </c>
      <c r="G13" t="s">
        <v>244</v>
      </c>
      <c r="H13" t="s">
        <v>244</v>
      </c>
      <c r="I13" t="s">
        <v>244</v>
      </c>
      <c r="J13" s="30">
        <f>COUNTIF(B13:I13, "completo") / COUNTA(B13:I13)</f>
        <v>0</v>
      </c>
    </row>
    <row r="14" spans="1:10" x14ac:dyDescent="0.2">
      <c r="A14" t="s">
        <v>246</v>
      </c>
      <c r="B14" t="s">
        <v>244</v>
      </c>
      <c r="C14" t="s">
        <v>244</v>
      </c>
      <c r="D14" t="s">
        <v>244</v>
      </c>
      <c r="E14" t="s">
        <v>244</v>
      </c>
      <c r="F14" t="s">
        <v>244</v>
      </c>
      <c r="G14" t="s">
        <v>244</v>
      </c>
      <c r="H14" t="s">
        <v>244</v>
      </c>
      <c r="I14" t="s">
        <v>244</v>
      </c>
      <c r="J14" s="30">
        <f t="shared" ref="J14:J17" si="1">COUNTIF(B14:I14, "completo") / COUNTA(B14:I14)</f>
        <v>0</v>
      </c>
    </row>
    <row r="15" spans="1:10" x14ac:dyDescent="0.2">
      <c r="A15" t="s">
        <v>246</v>
      </c>
      <c r="B15" t="s">
        <v>244</v>
      </c>
      <c r="C15" t="s">
        <v>244</v>
      </c>
      <c r="D15" t="s">
        <v>244</v>
      </c>
      <c r="E15" t="s">
        <v>244</v>
      </c>
      <c r="F15" t="s">
        <v>244</v>
      </c>
      <c r="G15" t="s">
        <v>244</v>
      </c>
      <c r="H15" t="s">
        <v>244</v>
      </c>
      <c r="I15" t="s">
        <v>244</v>
      </c>
      <c r="J15" s="30">
        <f t="shared" si="1"/>
        <v>0</v>
      </c>
    </row>
    <row r="16" spans="1:10" x14ac:dyDescent="0.2">
      <c r="A16" t="s">
        <v>246</v>
      </c>
      <c r="B16" t="s">
        <v>244</v>
      </c>
      <c r="C16" t="s">
        <v>244</v>
      </c>
      <c r="D16" t="s">
        <v>244</v>
      </c>
      <c r="E16" t="s">
        <v>244</v>
      </c>
      <c r="F16" t="s">
        <v>244</v>
      </c>
      <c r="G16" t="s">
        <v>244</v>
      </c>
      <c r="H16" t="s">
        <v>244</v>
      </c>
      <c r="I16" t="s">
        <v>244</v>
      </c>
      <c r="J16" s="30">
        <f t="shared" si="1"/>
        <v>0</v>
      </c>
    </row>
    <row r="17" spans="1:12" x14ac:dyDescent="0.2">
      <c r="A17" t="s">
        <v>246</v>
      </c>
      <c r="B17" t="s">
        <v>244</v>
      </c>
      <c r="C17" t="s">
        <v>244</v>
      </c>
      <c r="D17" t="s">
        <v>244</v>
      </c>
      <c r="E17" t="s">
        <v>244</v>
      </c>
      <c r="F17" t="s">
        <v>244</v>
      </c>
      <c r="G17" t="s">
        <v>244</v>
      </c>
      <c r="H17" t="s">
        <v>244</v>
      </c>
      <c r="I17" t="s">
        <v>244</v>
      </c>
      <c r="J17" s="30">
        <f t="shared" si="1"/>
        <v>0</v>
      </c>
    </row>
    <row r="19" spans="1:12" ht="31.5" x14ac:dyDescent="0.2">
      <c r="B19" s="35" t="s">
        <v>9</v>
      </c>
      <c r="C19" s="35"/>
      <c r="D19" s="35"/>
      <c r="E19" s="35"/>
      <c r="F19" s="35"/>
      <c r="G19" s="35"/>
      <c r="H19" s="35"/>
      <c r="I19" s="35"/>
      <c r="J19" s="35"/>
      <c r="K19" s="35"/>
    </row>
    <row r="20" spans="1:12" x14ac:dyDescent="0.2">
      <c r="B20" s="32" t="s">
        <v>116</v>
      </c>
      <c r="C20" s="32"/>
      <c r="D20" s="33" t="s">
        <v>128</v>
      </c>
      <c r="E20" s="33"/>
      <c r="F20" s="32" t="s">
        <v>142</v>
      </c>
      <c r="G20" s="32"/>
      <c r="H20" s="33" t="s">
        <v>155</v>
      </c>
      <c r="I20" s="33"/>
      <c r="J20" s="32" t="s">
        <v>168</v>
      </c>
      <c r="K20" s="32"/>
    </row>
    <row r="21" spans="1:12" x14ac:dyDescent="0.2">
      <c r="B21" s="28" t="s">
        <v>242</v>
      </c>
      <c r="C21" s="28" t="s">
        <v>243</v>
      </c>
      <c r="D21" s="29" t="s">
        <v>242</v>
      </c>
      <c r="E21" s="29" t="s">
        <v>243</v>
      </c>
      <c r="F21" s="28" t="s">
        <v>242</v>
      </c>
      <c r="G21" s="28" t="s">
        <v>243</v>
      </c>
      <c r="H21" s="29" t="s">
        <v>242</v>
      </c>
      <c r="I21" s="29" t="s">
        <v>243</v>
      </c>
      <c r="J21" s="28" t="s">
        <v>242</v>
      </c>
      <c r="K21" s="28" t="s">
        <v>243</v>
      </c>
    </row>
    <row r="22" spans="1:12" x14ac:dyDescent="0.2">
      <c r="A22" t="s">
        <v>246</v>
      </c>
      <c r="B22" t="s">
        <v>244</v>
      </c>
      <c r="C22" t="s">
        <v>244</v>
      </c>
      <c r="D22" t="s">
        <v>244</v>
      </c>
      <c r="E22" t="s">
        <v>244</v>
      </c>
      <c r="F22" t="s">
        <v>244</v>
      </c>
      <c r="G22" t="s">
        <v>244</v>
      </c>
      <c r="H22" t="s">
        <v>244</v>
      </c>
      <c r="I22" t="s">
        <v>244</v>
      </c>
      <c r="J22" t="s">
        <v>244</v>
      </c>
      <c r="K22" t="s">
        <v>244</v>
      </c>
      <c r="L22" s="30">
        <f>COUNTIF(B22:K22, "completo") / COUNTA(B22:K22)</f>
        <v>0</v>
      </c>
    </row>
    <row r="23" spans="1:12" x14ac:dyDescent="0.2">
      <c r="A23" t="s">
        <v>246</v>
      </c>
      <c r="B23" t="s">
        <v>244</v>
      </c>
      <c r="C23" t="s">
        <v>244</v>
      </c>
      <c r="D23" t="s">
        <v>244</v>
      </c>
      <c r="E23" t="s">
        <v>244</v>
      </c>
      <c r="F23" t="s">
        <v>244</v>
      </c>
      <c r="G23" t="s">
        <v>244</v>
      </c>
      <c r="H23" t="s">
        <v>244</v>
      </c>
      <c r="I23" t="s">
        <v>244</v>
      </c>
      <c r="J23" t="s">
        <v>244</v>
      </c>
      <c r="K23" t="s">
        <v>244</v>
      </c>
      <c r="L23" s="30">
        <f t="shared" ref="L23:L26" si="2">COUNTIF(B23:K23, "completo") / COUNTA(B23:K23)</f>
        <v>0</v>
      </c>
    </row>
    <row r="24" spans="1:12" x14ac:dyDescent="0.2">
      <c r="A24" t="s">
        <v>246</v>
      </c>
      <c r="B24" t="s">
        <v>244</v>
      </c>
      <c r="C24" t="s">
        <v>244</v>
      </c>
      <c r="D24" t="s">
        <v>244</v>
      </c>
      <c r="E24" t="s">
        <v>244</v>
      </c>
      <c r="F24" t="s">
        <v>244</v>
      </c>
      <c r="G24" t="s">
        <v>244</v>
      </c>
      <c r="H24" t="s">
        <v>244</v>
      </c>
      <c r="I24" t="s">
        <v>244</v>
      </c>
      <c r="J24" t="s">
        <v>244</v>
      </c>
      <c r="K24" t="s">
        <v>244</v>
      </c>
      <c r="L24" s="30">
        <f t="shared" si="2"/>
        <v>0</v>
      </c>
    </row>
    <row r="25" spans="1:12" x14ac:dyDescent="0.2">
      <c r="A25" t="s">
        <v>246</v>
      </c>
      <c r="B25" t="s">
        <v>244</v>
      </c>
      <c r="C25" t="s">
        <v>244</v>
      </c>
      <c r="D25" t="s">
        <v>244</v>
      </c>
      <c r="E25" t="s">
        <v>244</v>
      </c>
      <c r="F25" t="s">
        <v>244</v>
      </c>
      <c r="G25" t="s">
        <v>244</v>
      </c>
      <c r="H25" t="s">
        <v>244</v>
      </c>
      <c r="I25" t="s">
        <v>244</v>
      </c>
      <c r="J25" t="s">
        <v>244</v>
      </c>
      <c r="K25" t="s">
        <v>244</v>
      </c>
      <c r="L25" s="30">
        <f t="shared" si="2"/>
        <v>0</v>
      </c>
    </row>
    <row r="26" spans="1:12" x14ac:dyDescent="0.2">
      <c r="A26" t="s">
        <v>246</v>
      </c>
      <c r="B26" t="s">
        <v>244</v>
      </c>
      <c r="C26" t="s">
        <v>244</v>
      </c>
      <c r="D26" t="s">
        <v>244</v>
      </c>
      <c r="E26" t="s">
        <v>244</v>
      </c>
      <c r="F26" t="s">
        <v>244</v>
      </c>
      <c r="G26" t="s">
        <v>244</v>
      </c>
      <c r="H26" t="s">
        <v>244</v>
      </c>
      <c r="I26" t="s">
        <v>244</v>
      </c>
      <c r="J26" t="s">
        <v>244</v>
      </c>
      <c r="K26" t="s">
        <v>244</v>
      </c>
      <c r="L26" s="30">
        <f t="shared" si="2"/>
        <v>0</v>
      </c>
    </row>
    <row r="28" spans="1:12" ht="31.5" x14ac:dyDescent="0.2">
      <c r="B28" s="36" t="s">
        <v>11</v>
      </c>
      <c r="C28" s="36"/>
      <c r="D28" s="36"/>
      <c r="E28" s="36"/>
      <c r="F28" s="36"/>
      <c r="G28" s="36"/>
      <c r="H28" s="36"/>
      <c r="I28" s="36"/>
      <c r="J28" s="36"/>
      <c r="K28" s="36"/>
    </row>
    <row r="29" spans="1:12" x14ac:dyDescent="0.2">
      <c r="B29" s="32" t="s">
        <v>175</v>
      </c>
      <c r="C29" s="32"/>
      <c r="D29" s="33" t="s">
        <v>186</v>
      </c>
      <c r="E29" s="33"/>
      <c r="F29" s="32" t="s">
        <v>193</v>
      </c>
      <c r="G29" s="32"/>
      <c r="H29" s="33" t="s">
        <v>203</v>
      </c>
      <c r="I29" s="33"/>
      <c r="J29" s="32" t="s">
        <v>213</v>
      </c>
      <c r="K29" s="32"/>
    </row>
    <row r="30" spans="1:12" x14ac:dyDescent="0.2">
      <c r="B30" s="28" t="s">
        <v>242</v>
      </c>
      <c r="C30" s="28" t="s">
        <v>243</v>
      </c>
      <c r="D30" s="29" t="s">
        <v>242</v>
      </c>
      <c r="E30" s="29" t="s">
        <v>243</v>
      </c>
      <c r="F30" s="28" t="s">
        <v>242</v>
      </c>
      <c r="G30" s="28" t="s">
        <v>243</v>
      </c>
      <c r="H30" s="29" t="s">
        <v>242</v>
      </c>
      <c r="I30" s="29" t="s">
        <v>243</v>
      </c>
      <c r="J30" s="28" t="s">
        <v>242</v>
      </c>
      <c r="K30" s="28" t="s">
        <v>243</v>
      </c>
    </row>
    <row r="31" spans="1:12" x14ac:dyDescent="0.2">
      <c r="A31" t="s">
        <v>246</v>
      </c>
      <c r="B31" t="s">
        <v>244</v>
      </c>
      <c r="C31" t="s">
        <v>244</v>
      </c>
      <c r="D31" t="s">
        <v>244</v>
      </c>
      <c r="E31" t="s">
        <v>244</v>
      </c>
      <c r="F31" t="s">
        <v>244</v>
      </c>
      <c r="G31" t="s">
        <v>244</v>
      </c>
      <c r="H31" t="s">
        <v>244</v>
      </c>
      <c r="I31" t="s">
        <v>244</v>
      </c>
      <c r="J31" t="s">
        <v>244</v>
      </c>
      <c r="K31" t="s">
        <v>244</v>
      </c>
      <c r="L31" s="30">
        <f>COUNTIF(B31:K31, "completo") / COUNTA(B31:K31)</f>
        <v>0</v>
      </c>
    </row>
    <row r="32" spans="1:12" x14ac:dyDescent="0.2">
      <c r="A32" t="s">
        <v>246</v>
      </c>
      <c r="B32" t="s">
        <v>244</v>
      </c>
      <c r="C32" t="s">
        <v>244</v>
      </c>
      <c r="D32" t="s">
        <v>244</v>
      </c>
      <c r="E32" t="s">
        <v>244</v>
      </c>
      <c r="F32" t="s">
        <v>244</v>
      </c>
      <c r="G32" t="s">
        <v>244</v>
      </c>
      <c r="H32" t="s">
        <v>244</v>
      </c>
      <c r="I32" t="s">
        <v>244</v>
      </c>
      <c r="J32" t="s">
        <v>244</v>
      </c>
      <c r="K32" t="s">
        <v>244</v>
      </c>
      <c r="L32" s="30">
        <f t="shared" ref="L32:L35" si="3">COUNTIF(B32:K32, "completo") / COUNTA(B32:K32)</f>
        <v>0</v>
      </c>
    </row>
    <row r="33" spans="1:12" x14ac:dyDescent="0.2">
      <c r="A33" t="s">
        <v>246</v>
      </c>
      <c r="B33" t="s">
        <v>244</v>
      </c>
      <c r="C33" t="s">
        <v>244</v>
      </c>
      <c r="D33" t="s">
        <v>244</v>
      </c>
      <c r="E33" t="s">
        <v>244</v>
      </c>
      <c r="F33" t="s">
        <v>244</v>
      </c>
      <c r="G33" t="s">
        <v>244</v>
      </c>
      <c r="H33" t="s">
        <v>244</v>
      </c>
      <c r="I33" t="s">
        <v>244</v>
      </c>
      <c r="J33" t="s">
        <v>244</v>
      </c>
      <c r="K33" t="s">
        <v>244</v>
      </c>
      <c r="L33" s="30">
        <f t="shared" si="3"/>
        <v>0</v>
      </c>
    </row>
    <row r="34" spans="1:12" x14ac:dyDescent="0.2">
      <c r="A34" t="s">
        <v>246</v>
      </c>
      <c r="B34" t="s">
        <v>244</v>
      </c>
      <c r="C34" t="s">
        <v>244</v>
      </c>
      <c r="D34" t="s">
        <v>244</v>
      </c>
      <c r="E34" t="s">
        <v>244</v>
      </c>
      <c r="F34" t="s">
        <v>244</v>
      </c>
      <c r="G34" t="s">
        <v>244</v>
      </c>
      <c r="H34" t="s">
        <v>244</v>
      </c>
      <c r="I34" t="s">
        <v>244</v>
      </c>
      <c r="J34" t="s">
        <v>244</v>
      </c>
      <c r="K34" t="s">
        <v>244</v>
      </c>
      <c r="L34" s="30">
        <f t="shared" si="3"/>
        <v>0</v>
      </c>
    </row>
    <row r="35" spans="1:12" x14ac:dyDescent="0.2">
      <c r="A35" t="s">
        <v>246</v>
      </c>
      <c r="B35" t="s">
        <v>244</v>
      </c>
      <c r="C35" t="s">
        <v>244</v>
      </c>
      <c r="D35" t="s">
        <v>244</v>
      </c>
      <c r="E35" t="s">
        <v>244</v>
      </c>
      <c r="F35" t="s">
        <v>244</v>
      </c>
      <c r="G35" t="s">
        <v>244</v>
      </c>
      <c r="H35" t="s">
        <v>244</v>
      </c>
      <c r="I35" t="s">
        <v>244</v>
      </c>
      <c r="J35" t="s">
        <v>244</v>
      </c>
      <c r="K35" t="s">
        <v>244</v>
      </c>
      <c r="L35" s="30">
        <f t="shared" si="3"/>
        <v>0</v>
      </c>
    </row>
    <row r="40" spans="1:12" ht="31.5" customHeight="1" x14ac:dyDescent="0.2">
      <c r="B40" s="37" t="s">
        <v>245</v>
      </c>
      <c r="C40" s="37"/>
      <c r="D40" s="37"/>
      <c r="E40" s="37"/>
      <c r="F40" s="37"/>
      <c r="G40" s="37"/>
      <c r="H40" s="37"/>
      <c r="I40" s="37"/>
      <c r="J40" s="37"/>
      <c r="K40" s="37"/>
    </row>
    <row r="41" spans="1:12" x14ac:dyDescent="0.2">
      <c r="B41" s="38" t="s">
        <v>246</v>
      </c>
      <c r="C41" s="38"/>
      <c r="D41" s="38"/>
      <c r="E41" s="38"/>
      <c r="F41" s="38"/>
      <c r="G41" s="39">
        <f>AVERAGE(J4,J13,L22,L31)</f>
        <v>0</v>
      </c>
      <c r="H41" s="38"/>
      <c r="I41" s="38"/>
      <c r="J41" s="38"/>
      <c r="K41" s="38"/>
    </row>
    <row r="42" spans="1:12" x14ac:dyDescent="0.2">
      <c r="B42" s="38" t="s">
        <v>246</v>
      </c>
      <c r="C42" s="38"/>
      <c r="D42" s="38"/>
      <c r="E42" s="38"/>
      <c r="F42" s="38"/>
      <c r="G42" s="39">
        <f t="shared" ref="G42:G45" si="4">AVERAGE(J5,J14,L23,L32)</f>
        <v>0</v>
      </c>
      <c r="H42" s="38"/>
      <c r="I42" s="38"/>
      <c r="J42" s="38"/>
      <c r="K42" s="38"/>
    </row>
    <row r="43" spans="1:12" x14ac:dyDescent="0.2">
      <c r="B43" s="38" t="s">
        <v>246</v>
      </c>
      <c r="C43" s="38"/>
      <c r="D43" s="38"/>
      <c r="E43" s="38"/>
      <c r="F43" s="38"/>
      <c r="G43" s="39">
        <f t="shared" si="4"/>
        <v>0</v>
      </c>
      <c r="H43" s="38"/>
      <c r="I43" s="38"/>
      <c r="J43" s="38"/>
      <c r="K43" s="38"/>
    </row>
    <row r="44" spans="1:12" x14ac:dyDescent="0.2">
      <c r="B44" s="38" t="s">
        <v>246</v>
      </c>
      <c r="C44" s="38"/>
      <c r="D44" s="38"/>
      <c r="E44" s="38"/>
      <c r="F44" s="38"/>
      <c r="G44" s="39">
        <f t="shared" si="4"/>
        <v>0</v>
      </c>
      <c r="H44" s="38"/>
      <c r="I44" s="38"/>
      <c r="J44" s="38"/>
      <c r="K44" s="38"/>
    </row>
    <row r="45" spans="1:12" x14ac:dyDescent="0.2">
      <c r="B45" s="38" t="s">
        <v>246</v>
      </c>
      <c r="C45" s="38"/>
      <c r="D45" s="38"/>
      <c r="E45" s="38"/>
      <c r="F45" s="38"/>
      <c r="G45" s="39">
        <f t="shared" si="4"/>
        <v>0</v>
      </c>
      <c r="H45" s="38"/>
      <c r="I45" s="38"/>
      <c r="J45" s="38"/>
      <c r="K45" s="38"/>
    </row>
  </sheetData>
  <mergeCells count="33">
    <mergeCell ref="B45:F45"/>
    <mergeCell ref="G41:K41"/>
    <mergeCell ref="G42:K42"/>
    <mergeCell ref="G43:K43"/>
    <mergeCell ref="G44:K44"/>
    <mergeCell ref="G45:K45"/>
    <mergeCell ref="B40:K40"/>
    <mergeCell ref="B41:F41"/>
    <mergeCell ref="B42:F42"/>
    <mergeCell ref="B43:F43"/>
    <mergeCell ref="B44:F44"/>
    <mergeCell ref="J20:K20"/>
    <mergeCell ref="B19:K19"/>
    <mergeCell ref="B28:K28"/>
    <mergeCell ref="B29:C29"/>
    <mergeCell ref="D29:E29"/>
    <mergeCell ref="F29:G29"/>
    <mergeCell ref="H29:I29"/>
    <mergeCell ref="J29:K29"/>
    <mergeCell ref="B1:I1"/>
    <mergeCell ref="F11:G11"/>
    <mergeCell ref="H11:I11"/>
    <mergeCell ref="B20:C20"/>
    <mergeCell ref="D20:E20"/>
    <mergeCell ref="F20:G20"/>
    <mergeCell ref="H20:I20"/>
    <mergeCell ref="B10:I10"/>
    <mergeCell ref="B11:C11"/>
    <mergeCell ref="D11:E11"/>
    <mergeCell ref="B2:C2"/>
    <mergeCell ref="D2:E2"/>
    <mergeCell ref="F2:G2"/>
    <mergeCell ref="H2:I2"/>
  </mergeCells>
  <conditionalFormatting sqref="B4:I8">
    <cfRule type="containsText" dxfId="10" priority="27" operator="containsText" text="Incompleto">
      <formula>NOT(ISERROR(SEARCH("Incompleto",B4)))</formula>
    </cfRule>
    <cfRule type="containsText" dxfId="9" priority="28" operator="containsText" text="Completo">
      <formula>NOT(ISERROR(SEARCH("Completo",B4)))</formula>
    </cfRule>
  </conditionalFormatting>
  <conditionalFormatting sqref="B13:I17">
    <cfRule type="containsText" dxfId="8" priority="15" operator="containsText" text="Incompleto">
      <formula>NOT(ISERROR(SEARCH("Incompleto",B13)))</formula>
    </cfRule>
    <cfRule type="containsText" dxfId="7" priority="16" operator="containsText" text="Completo">
      <formula>NOT(ISERROR(SEARCH("Completo",B13)))</formula>
    </cfRule>
  </conditionalFormatting>
  <conditionalFormatting sqref="B22:K26">
    <cfRule type="containsText" dxfId="6" priority="11" operator="containsText" text="Incompleto">
      <formula>NOT(ISERROR(SEARCH("Incompleto",B22)))</formula>
    </cfRule>
    <cfRule type="containsText" dxfId="5" priority="12" operator="containsText" text="Completo">
      <formula>NOT(ISERROR(SEARCH("Completo",B22)))</formula>
    </cfRule>
  </conditionalFormatting>
  <conditionalFormatting sqref="B31:K35">
    <cfRule type="containsText" dxfId="4" priority="7" operator="containsText" text="Incompleto">
      <formula>NOT(ISERROR(SEARCH("Incompleto",B31)))</formula>
    </cfRule>
    <cfRule type="containsText" dxfId="3" priority="8" operator="containsText" text="Completo">
      <formula>NOT(ISERROR(SEARCH("Completo",B31)))</formula>
    </cfRule>
  </conditionalFormatting>
  <conditionalFormatting sqref="G41:K45">
    <cfRule type="cellIs" dxfId="2" priority="1" operator="between">
      <formula>0.67</formula>
      <formula>1</formula>
    </cfRule>
    <cfRule type="cellIs" dxfId="1" priority="3" operator="between">
      <formula>34%</formula>
      <formula>66%</formula>
    </cfRule>
    <cfRule type="cellIs" dxfId="0" priority="4" operator="between">
      <formula>0</formula>
      <formula>33</formula>
    </cfRule>
  </conditionalFormatting>
  <dataValidations count="1">
    <dataValidation type="list" allowBlank="1" showInputMessage="1" showErrorMessage="1" sqref="B22:K26 B4:I8 B13:I17 B31:K35" xr:uid="{9AE5DD4D-D19E-4E41-8448-57B4D557ADFB}">
      <formula1>"Completo, Incompleto"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HABILIDADES PARA VIDA</vt:lpstr>
      <vt:lpstr>MEIO AMBIENTE</vt:lpstr>
      <vt:lpstr>PAZ E DESENVOLVIMENTO</vt:lpstr>
      <vt:lpstr>SAUDE E BEM-ESTAR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</cp:lastModifiedBy>
  <dcterms:created xsi:type="dcterms:W3CDTF">2026-02-09T18:50:23Z</dcterms:created>
  <dcterms:modified xsi:type="dcterms:W3CDTF">2026-02-13T01:08:18Z</dcterms:modified>
</cp:coreProperties>
</file>