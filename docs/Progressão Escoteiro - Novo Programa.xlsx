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álise Geral" sheetId="1" r:id="rId5"/>
    <sheet state="visible" name="Progressão Pessoal" sheetId="2" r:id="rId6"/>
    <sheet state="visible" name="Escoteiro 1" sheetId="3" r:id="rId7"/>
    <sheet state="visible" name="Escoteiro 2" sheetId="4" r:id="rId8"/>
    <sheet state="visible" name="Escoteiro 3" sheetId="5" r:id="rId9"/>
    <sheet state="visible" name="Escoteiro 4" sheetId="6" r:id="rId10"/>
    <sheet state="visible" name="Escoteiro 5" sheetId="7" r:id="rId11"/>
    <sheet state="visible" name="Escoteiro 6" sheetId="8" r:id="rId12"/>
    <sheet state="visible" name="Escoteiro 7" sheetId="9" r:id="rId13"/>
    <sheet state="visible" name="Escoteiro 8" sheetId="10" r:id="rId14"/>
    <sheet state="visible" name="Escoteiro 9" sheetId="11" r:id="rId15"/>
    <sheet state="visible" name="Escoteiro 10" sheetId="12" r:id="rId16"/>
    <sheet state="visible" name="Escoteiro 11" sheetId="13" r:id="rId17"/>
    <sheet state="visible" name="Escoteiro 12" sheetId="14" r:id="rId18"/>
    <sheet state="visible" name="Escoteiro 13" sheetId="15" r:id="rId19"/>
    <sheet state="visible" name="Escoteiro 14" sheetId="16" r:id="rId20"/>
    <sheet state="visible" name="Escoteiro 15" sheetId="17" r:id="rId21"/>
    <sheet state="visible" name="Escoteiro 16" sheetId="18" r:id="rId22"/>
    <sheet state="visible" name="Escoteiro 17" sheetId="19" r:id="rId23"/>
    <sheet state="visible" name="Escoteiro 18" sheetId="20" r:id="rId24"/>
    <sheet state="visible" name="Escoteiro 19" sheetId="21" r:id="rId25"/>
    <sheet state="visible" name="Escoteiro 20" sheetId="22" r:id="rId26"/>
    <sheet state="visible" name="Escoteiro 21" sheetId="23" r:id="rId27"/>
    <sheet state="visible" name="Escoteiro 22" sheetId="24" r:id="rId28"/>
    <sheet state="visible" name="Escoteiro 23" sheetId="25" r:id="rId29"/>
    <sheet state="visible" name="Escoteiro 24" sheetId="26" r:id="rId30"/>
    <sheet state="visible" name="Escoteiro 25" sheetId="27" r:id="rId31"/>
    <sheet state="visible" name="Escoteiro 26" sheetId="28" r:id="rId32"/>
    <sheet state="visible" name="Escoteiro 27" sheetId="29" r:id="rId33"/>
    <sheet state="visible" name="Escoteiro 28" sheetId="30" r:id="rId34"/>
    <sheet state="visible" name="Escoteiro 29" sheetId="31" r:id="rId35"/>
    <sheet state="visible" name="Escoteiro 30" sheetId="32" r:id="rId36"/>
    <sheet state="visible" name="Escoteiro 31" sheetId="33" r:id="rId37"/>
    <sheet state="visible" name="Escoteiro 32" sheetId="34" r:id="rId38"/>
    <sheet state="visible" name="Escoteiro 33" sheetId="35" r:id="rId39"/>
    <sheet state="visible" name="Escoteiro 34" sheetId="36" r:id="rId40"/>
    <sheet state="visible" name="Escoteiro 35" sheetId="37" r:id="rId41"/>
    <sheet state="visible" name="Escoteiro 36" sheetId="38" r:id="rId42"/>
  </sheets>
  <definedNames>
    <definedName hidden="1" localSheetId="0" name="_xlnm._FilterDatabase">'Análise Geral'!$A$2:$H$14</definedName>
    <definedName hidden="1" localSheetId="1" name="_xlnm._FilterDatabase">'Progressão Pessoal'!$A$23:$Q$249</definedName>
    <definedName hidden="1" localSheetId="2" name="_xlnm._FilterDatabase">'Escoteiro 1'!$A$23:$Q$249</definedName>
    <definedName hidden="1" localSheetId="3" name="_xlnm._FilterDatabase">'Escoteiro 2'!$A$23:$Q$249</definedName>
    <definedName hidden="1" localSheetId="4" name="_xlnm._FilterDatabase">'Escoteiro 3'!$A$23:$Q$249</definedName>
    <definedName hidden="1" localSheetId="5" name="_xlnm._FilterDatabase">'Escoteiro 4'!$A$23:$Q$249</definedName>
    <definedName hidden="1" localSheetId="6" name="_xlnm._FilterDatabase">'Escoteiro 5'!$A$23:$Q$249</definedName>
    <definedName hidden="1" localSheetId="7" name="_xlnm._FilterDatabase">'Escoteiro 6'!$A$23:$Q$249</definedName>
    <definedName hidden="1" localSheetId="8" name="_xlnm._FilterDatabase">'Escoteiro 7'!$A$23:$Q$249</definedName>
    <definedName hidden="1" localSheetId="9" name="_xlnm._FilterDatabase">'Escoteiro 8'!$A$23:$Q$249</definedName>
    <definedName hidden="1" localSheetId="10" name="_xlnm._FilterDatabase">'Escoteiro 9'!$A$23:$Q$249</definedName>
    <definedName hidden="1" localSheetId="11" name="_xlnm._FilterDatabase">'Escoteiro 10'!$A$23:$Q$249</definedName>
    <definedName hidden="1" localSheetId="12" name="_xlnm._FilterDatabase">'Escoteiro 11'!$A$23:$Q$249</definedName>
    <definedName hidden="1" localSheetId="13" name="_xlnm._FilterDatabase">'Escoteiro 12'!$A$23:$Q$249</definedName>
    <definedName hidden="1" localSheetId="14" name="_xlnm._FilterDatabase">'Escoteiro 13'!$A$23:$Q$249</definedName>
    <definedName hidden="1" localSheetId="15" name="_xlnm._FilterDatabase">'Escoteiro 14'!$A$23:$Q$249</definedName>
    <definedName hidden="1" localSheetId="16" name="_xlnm._FilterDatabase">'Escoteiro 15'!$A$23:$Q$249</definedName>
    <definedName hidden="1" localSheetId="17" name="_xlnm._FilterDatabase">'Escoteiro 16'!$A$23:$Q$249</definedName>
    <definedName hidden="1" localSheetId="18" name="_xlnm._FilterDatabase">'Escoteiro 17'!$A$23:$Q$249</definedName>
    <definedName hidden="1" localSheetId="19" name="_xlnm._FilterDatabase">'Escoteiro 18'!$A$23:$Q$249</definedName>
    <definedName hidden="1" localSheetId="20" name="_xlnm._FilterDatabase">'Escoteiro 19'!$A$23:$Q$249</definedName>
    <definedName hidden="1" localSheetId="21" name="_xlnm._FilterDatabase">'Escoteiro 20'!$A$23:$Q$249</definedName>
    <definedName hidden="1" localSheetId="22" name="_xlnm._FilterDatabase">'Escoteiro 21'!$A$23:$Q$249</definedName>
    <definedName hidden="1" localSheetId="23" name="_xlnm._FilterDatabase">'Escoteiro 22'!$A$23:$Q$249</definedName>
    <definedName hidden="1" localSheetId="24" name="_xlnm._FilterDatabase">'Escoteiro 23'!$A$23:$Q$249</definedName>
    <definedName hidden="1" localSheetId="25" name="_xlnm._FilterDatabase">'Escoteiro 24'!$A$23:$Q$249</definedName>
    <definedName hidden="1" localSheetId="26" name="_xlnm._FilterDatabase">'Escoteiro 25'!$A$23:$Q$249</definedName>
    <definedName hidden="1" localSheetId="27" name="_xlnm._FilterDatabase">'Escoteiro 26'!$A$23:$Q$249</definedName>
    <definedName hidden="1" localSheetId="28" name="_xlnm._FilterDatabase">'Escoteiro 27'!$A$23:$Q$249</definedName>
    <definedName hidden="1" localSheetId="29" name="_xlnm._FilterDatabase">'Escoteiro 28'!$A$23:$Q$249</definedName>
    <definedName hidden="1" localSheetId="30" name="_xlnm._FilterDatabase">'Escoteiro 29'!$A$23:$Q$249</definedName>
    <definedName hidden="1" localSheetId="31" name="_xlnm._FilterDatabase">'Escoteiro 30'!$A$23:$Q$249</definedName>
    <definedName hidden="1" localSheetId="32" name="_xlnm._FilterDatabase">'Escoteiro 31'!$A$23:$Q$249</definedName>
    <definedName hidden="1" localSheetId="33" name="_xlnm._FilterDatabase">'Escoteiro 32'!$A$23:$Q$249</definedName>
    <definedName hidden="1" localSheetId="34" name="_xlnm._FilterDatabase">'Escoteiro 33'!$A$23:$Q$249</definedName>
    <definedName hidden="1" localSheetId="35" name="_xlnm._FilterDatabase">'Escoteiro 34'!$A$23:$Q$249</definedName>
    <definedName hidden="1" localSheetId="36" name="_xlnm._FilterDatabase">'Escoteiro 35'!$A$23:$Q$249</definedName>
    <definedName hidden="1" localSheetId="37" name="_xlnm._FilterDatabase">'Escoteiro 36'!$A$23:$Q$249</definedName>
  </definedNames>
  <calcPr/>
</workbook>
</file>

<file path=xl/sharedStrings.xml><?xml version="1.0" encoding="utf-8"?>
<sst xmlns="http://schemas.openxmlformats.org/spreadsheetml/2006/main" count="51788" uniqueCount="377">
  <si>
    <t>Habilidades para a Vida</t>
  </si>
  <si>
    <t>Meio Ambiente</t>
  </si>
  <si>
    <t>Paz e Desenvolvimento</t>
  </si>
  <si>
    <t>Saúde e Bem-Estar</t>
  </si>
  <si>
    <t>Escoteiro</t>
  </si>
  <si>
    <t>Ch. Progr.</t>
  </si>
  <si>
    <t>Patrulha</t>
  </si>
  <si>
    <t>Progr.</t>
  </si>
  <si>
    <t>Dt. Nasc.</t>
  </si>
  <si>
    <t>idade (ano)</t>
  </si>
  <si>
    <t>Idade</t>
  </si>
  <si>
    <t>Ações Faltantes</t>
  </si>
  <si>
    <t>Aprend. Cont. Desenv. Vocacional</t>
  </si>
  <si>
    <t>Autonomia e Liderança</t>
  </si>
  <si>
    <t>Criatividade e Inovação</t>
  </si>
  <si>
    <t>Inteligência Emocional</t>
  </si>
  <si>
    <t>Ações
Realiz.</t>
  </si>
  <si>
    <t>Tot. Ações</t>
  </si>
  <si>
    <t>Média</t>
  </si>
  <si>
    <t>Consumo Responsável</t>
  </si>
  <si>
    <t>Mudanças Climáticas</t>
  </si>
  <si>
    <t>Preservação da Biodiversidade</t>
  </si>
  <si>
    <t>Vida ao Ar Livre</t>
  </si>
  <si>
    <t>Comunidade</t>
  </si>
  <si>
    <t>Democracia</t>
  </si>
  <si>
    <t>Herança Cultural</t>
  </si>
  <si>
    <t>Promoção da Paz</t>
  </si>
  <si>
    <t>Valores</t>
  </si>
  <si>
    <t>Cuidado com o Corpo</t>
  </si>
  <si>
    <t>Espiritualidade</t>
  </si>
  <si>
    <t>Hábitos Saudáveis</t>
  </si>
  <si>
    <t>Saúde Mental</t>
  </si>
  <si>
    <t>Vínculos Saudáveis</t>
  </si>
  <si>
    <t>Média GERAL</t>
  </si>
  <si>
    <t>Ações Ideias</t>
  </si>
  <si>
    <t>% tmp ano</t>
  </si>
  <si>
    <t>Chefe 1</t>
  </si>
  <si>
    <t>Patrulha 1</t>
  </si>
  <si>
    <t xml:space="preserve">Caminho </t>
  </si>
  <si>
    <t>Patrulha 2</t>
  </si>
  <si>
    <t>Patrulha 3</t>
  </si>
  <si>
    <t>Pistas</t>
  </si>
  <si>
    <t>Chefe 2</t>
  </si>
  <si>
    <t>Patrulha 4</t>
  </si>
  <si>
    <t>Acolhimento</t>
  </si>
  <si>
    <t>Rumo</t>
  </si>
  <si>
    <t>Chefe 3</t>
  </si>
  <si>
    <t>Travessia</t>
  </si>
  <si>
    <t>Pistas para Trilha</t>
  </si>
  <si>
    <t>4 blocos</t>
  </si>
  <si>
    <t>Trilha para Rumo</t>
  </si>
  <si>
    <t>Rumo para Travessia</t>
  </si>
  <si>
    <t>5 blocos</t>
  </si>
  <si>
    <t>Travessia para Lis de Ouro</t>
  </si>
  <si>
    <t>5 blocos + Desafio pessoal + avaliação</t>
  </si>
  <si>
    <t>Observação para uso:</t>
  </si>
  <si>
    <t>Primeiramente, façam uma cópia para uso da sua tropa. (Arquivo -&gt; Fazer uma cópia)</t>
  </si>
  <si>
    <t>O nome do escoteiro deve ser mesmo nome da aba da progressão do jovem.</t>
  </si>
  <si>
    <t>Para adicionar novos escoteiros basta adicionar novas linhas e replicar as fórmulas, porém deve-se respeitar o item anterior (manter o mesmo nome do jovem na aba e na lista da Análise Geral)</t>
  </si>
  <si>
    <t>Explicações:</t>
  </si>
  <si>
    <t>coluna AM - Ações Realiz. - são o total de ações realizadas (baseado nas ações fixas e variáveis*). Utilizo para o cálculo de percentuais</t>
  </si>
  <si>
    <t>coluna AN - Média GERAL - qual o percentual realizado geral pelo jovem (baseado nas ações fixas e variáveis*)</t>
  </si>
  <si>
    <t>coluna AO - Ações Ideais - são um cálculo pela idade do jovem que ele deveria ter cumprido de ações para no fim do último ciclo estar próximo da Lis de Ouro</t>
  </si>
  <si>
    <t>coluna AP - % tmp ano - é utilizado para calcular o ideal do ano de nascimento do jovem para o dia atual</t>
  </si>
  <si>
    <t>*  quando comento q é baseado nas ações fixas e variável, se o jovem cumpre uma ação que substitui as variáveis, ele calcula automaticamente como se tivesse cumprido todas as variáveis. Por exemplo, se ele cumpre uma que substitui, o jovem fez uma ação só, mas se o bloco era 5 variáveis, eu somo 5 no total.</t>
  </si>
  <si>
    <t>coluna H - É a coluna mais importante para o chefe. São as Ações Faltantes é quantas ações o jovem deveria ter cumprido até aquela data para estar próximo da Lis de Ouro..</t>
  </si>
  <si>
    <t>ESCOTEIRO</t>
  </si>
  <si>
    <t>XXXXXX</t>
  </si>
  <si>
    <t>Progressão:</t>
  </si>
  <si>
    <t>Modalidade:</t>
  </si>
  <si>
    <t>Básico</t>
  </si>
  <si>
    <t>PROGRESSÃO</t>
  </si>
  <si>
    <t>CONCLUÍDAS</t>
  </si>
  <si>
    <t>Eixo</t>
  </si>
  <si>
    <t>Bloco</t>
  </si>
  <si>
    <t>Fixa</t>
  </si>
  <si>
    <t>Variável</t>
  </si>
  <si>
    <t>Qt. Variável</t>
  </si>
  <si>
    <t>Substitui variável</t>
  </si>
  <si>
    <t>Total ações Realizar</t>
  </si>
  <si>
    <t>Qt. Concl.</t>
  </si>
  <si>
    <t>% Concl.</t>
  </si>
  <si>
    <t>Aprendizagem Contínua e Desenvolvimento Vocacional</t>
  </si>
  <si>
    <t>Intencionalidade Educativa</t>
  </si>
  <si>
    <t>Tipo de Ação</t>
  </si>
  <si>
    <t>Ação</t>
  </si>
  <si>
    <t>Modalid.</t>
  </si>
  <si>
    <t>Requisitos/ Realizar</t>
  </si>
  <si>
    <t>Cumpriu?
(Sim)</t>
  </si>
  <si>
    <t>Data</t>
  </si>
  <si>
    <t>Explorar temas que despertam seu interesse, buscar informações confiáveis para aprender mais e experimentar novas ideias e recursos, aplicando esse conhecimento em atividades e projetos de serviço</t>
  </si>
  <si>
    <t>Conquistar, no Ramo Escoteiro, uma especialidade sobre um tema de seu interesse e que seja um conhecimento novo.</t>
  </si>
  <si>
    <t>Em conjunto com a sua patrulha, realizar um Percurso de Gilwell de pelo menos 3km</t>
  </si>
  <si>
    <t>Visitar, com a patrulha ou tropa, um aeroporto  ou aeroclube, identificando tipos de aeronaves e procedimentos de pouso e decolagem</t>
  </si>
  <si>
    <t>Ar</t>
  </si>
  <si>
    <t>Visitar, com a patrulha ou tropa, um porto, marina ou iate clube, conhecendo seu funcionamento e os tipos de embarcações.</t>
  </si>
  <si>
    <t>Mar</t>
  </si>
  <si>
    <t>Enviar e receber mensagens simples em Alfabeto Fonético, Código Internacional de Sinais, Semáfora, Heligrafia, Cifra de César ou Criptografia.</t>
  </si>
  <si>
    <t>Realizar 4 ações</t>
  </si>
  <si>
    <t>Visitar com a sua patrulha: hospital, quartel de bombeiros, delegacia, empresas, comércios locais ou outros para conhecer o funcionamento de diferentes profissões.</t>
  </si>
  <si>
    <t>Conhecer o funcionamento de serviços de internet, rádio e TV, e usar esses conhecimentos para resolver problemas técnicos.</t>
  </si>
  <si>
    <t>Convidar um especialista da comunidade para dialogar com a tropa e esclarecer dúvidas sobre determinado tema ou profissão</t>
  </si>
  <si>
    <t>Utilizar corretamente um radiocomunicador em atividade da patrulha.</t>
  </si>
  <si>
    <t>Realizar uma pesquisa aobre um tema escolhido e apresentar os resultados para a patrulha ou tropa em formato criativo (cartaz, teatro, vídeo, oficina).</t>
  </si>
  <si>
    <t>Planejar e executar, em conjunto com a sua patrulha, uma ação de serviço comunitário baseada em informações pesquisas sobre necessidades locais.</t>
  </si>
  <si>
    <t>Especialidades que podem complementar as Ações Educativas Variáveis: Aeronáutica, Arquitetura e Urbanismo, Astronomia, Biblioteconomia, Cartografia, Comunicações, Confeitaria, Construção Civil, Criptografia, Culinária, Design de Interiores, E-sports, Fiscalização de Pátio de Aeródromo, GPS, Informática, Jornalismo, Manicure, Manutenção Elétrica, Marcenaria, Marinharia, Matemática, Mecânica de Automóveis, Planador, Prevenção de Incêndio, Produção Gráfica, Programação, Química, Radioamadorismo, Radioescuta, Redes de Computadores, Segurança no Trânsito, Simulação Aérea, Sinalização, Vendas e Web Design.</t>
  </si>
  <si>
    <t>Conhecer e demostrar o funcionamento de um sistema de localização por satélite</t>
  </si>
  <si>
    <t>Aprender a história e características de uma aeronave de sua escolha</t>
  </si>
  <si>
    <t>Realizar manutenção de uma embracação, incluindo faxina, reparo. pintura ou substituição de peças.</t>
  </si>
  <si>
    <t>Calcular um rumo magnético e corrigir a rota quando se aproxima de uma linha isogônica</t>
  </si>
  <si>
    <t>Conquistar ao menos uma das seguintes insígnias: Insígnia do Aorender, Insígnia da Modalidade do Mar - Grumete, Insígnia da Modalidade do Ar - Aviador</t>
  </si>
  <si>
    <t>Substituí ações variáveis</t>
  </si>
  <si>
    <t>Assumir diferentes papéis em sua patrulha, sabendo quando colaborar e quando liderar. Aprender a administrar seu dinheiro para realizar atividades e projetos, além de planejar, executar e avaliar tarefas junto ao grupo, tomando decisões de forma responsável.</t>
  </si>
  <si>
    <t>Montar corretamente uma mochila para um acampamento, mantendo o equipamento pessoal em bom estado.</t>
  </si>
  <si>
    <t>Navegar em uma embarcação a vela ou remo, montando-a corretamente, identificando as partes (proa, popa, bombordo, boreste), usando o colete salva-vidas e respeitando as regras de segurança</t>
  </si>
  <si>
    <t>Contribuir para o planejamento e a organização de uma excursão de patrulha</t>
  </si>
  <si>
    <t>Realizar 5 ações</t>
  </si>
  <si>
    <t>Fazer uma excursão urbana com a sua patrulha ou tropa, se locomovendo por meio de transportes públicos como ônibus, trens, metrô, entre outros.</t>
  </si>
  <si>
    <t>Pesquisar a realizar as compras dos alimentos para um acampamento, apresentando para a patrulha uma prestação de contas.</t>
  </si>
  <si>
    <t>Saber onde encontrar, identificando em um mapa, os principais serviços públicos na cidade.</t>
  </si>
  <si>
    <t>Planejar e executar em patrulha um projeto de capatação de recursos para participação em uma atividade escoteira.</t>
  </si>
  <si>
    <t>Participar de atividades ou oficinas sobre finanças pessoais</t>
  </si>
  <si>
    <t>Assumir pelo menos três encargos diferentes na patrulha, sendo bem avaliado pelos seus companheiros.</t>
  </si>
  <si>
    <t>Administrar o fundo de patrulha por pelo menos três meses, registrando receitas e despesas, e utilizar os recursos em atividades planejadas pela patrulha.</t>
  </si>
  <si>
    <t>Registrar receitas e despesas simples ou da mesada em planilha ou caderno por um período determinado</t>
  </si>
  <si>
    <t>Conduzir uma reunião de patrulha como monitor ou secretário, registrando decisões e acompanhando sua execução.</t>
  </si>
  <si>
    <t>Usar a criatividade para encontrar soluções práticas para os desafios do dia-a-dia, analisando diferentes alternativas antes de tomar uma decisão</t>
  </si>
  <si>
    <t>Animar um Fogo de Conselho em um acampamento da patrulha ou de tropa</t>
  </si>
  <si>
    <t>Aplicar conceitos básicos de estruturas (cavaletes, encaixes, ancoragens) em projetos como pontes, balsas, pórticos ou outras pionerias.</t>
  </si>
  <si>
    <t>Construir uma pipa, planador e foguete, testando aerodinâmica, planagem e propulsão.</t>
  </si>
  <si>
    <t>Confeccionar e utilizar uma jangada, canoa ou bote para embarcar a sua patrulha, respeitando as regras de segurança.</t>
  </si>
  <si>
    <t>Organizar uma atividade de divulgação do escotismo no colégio, usando diferentes recursos: vídeos, cartazes, panfletos etc.</t>
  </si>
  <si>
    <t>Conhecer e cantar canções e danças apropriadas para diferentes momentos.</t>
  </si>
  <si>
    <t>Criar uma campanha publicitária divertida promovendo algum projeto ou atividade da patrulha ou Tropa Escoteira</t>
  </si>
  <si>
    <t>Construir equipamentos improvisados de campo (mesa, suporte, abrigo, utensílios) utilizando materiais disponíveis.</t>
  </si>
  <si>
    <t>Propor e implementar soluções criativas para reduzir custos de uma atividade, aproveitando materiais recicláveis ou doados.</t>
  </si>
  <si>
    <t>Ensinar e aplicar dois novos jogos para sua tropa</t>
  </si>
  <si>
    <t>Criar alternativas criativas para decorar o canto da patrulha ou o acampamento.</t>
  </si>
  <si>
    <t>Participar de um festival de talentos na tropa</t>
  </si>
  <si>
    <t>Improvisar apresentação artísticas (esquetes, músicas, danças) em um Fogo de Conselho, explorando recursos disponíveis.</t>
  </si>
  <si>
    <t>Criar um vídeo de divulgação das atividades de sua patrulha ou tropa.</t>
  </si>
  <si>
    <t>Demonstrar com 1 (um) experimento simples os seguintes princìpios: a) Sustentação das asas, explicando quais as forças envolvidas; b) O funcionamento de um aeróstato, e como sua altitudepode ser controlado.</t>
  </si>
  <si>
    <t>Fazer um trabalho artesanal marinheiro com cabos, usando nós característicos da marinharia.</t>
  </si>
  <si>
    <t>Conquistar ao menos uma das especialidades a seguir no nível 2: Arte Digital, Artes Visuais, Artesanato, Comédia,Costura e Estilismo, Encadernação, Fotografia, Grafite, HQ, Maquete, Pintura, Plastimodelismo, Propaganda e Marketing, Robótica, Videomaker.</t>
  </si>
  <si>
    <t>Reconhecer e compreender suas emoções, aprender a lidar com elas de maneira respeitosa e desenvolver resiliência ao enfrentar desafios e superar dificuldades.</t>
  </si>
  <si>
    <t>Identificar situações perigosas e de maus tratos, sabendo como agir e a quem recorrer.</t>
  </si>
  <si>
    <t>Conversar com a patrulha sobre pontos fortes e de melhorias no desempenho da equipe em atividades e acampamentos.</t>
  </si>
  <si>
    <t>Identificar seus medos e suas emoções diante a um obstáculo desafiador, trabalhando para conseguir superá-lo</t>
  </si>
  <si>
    <t>Em um acampamento, participar de um turno de ronda com outro companheiro de patrulha, refletindo sobre o cuidado com o outro</t>
  </si>
  <si>
    <t>Participar de jogos ou competições, respeitando regras e resultados.</t>
  </si>
  <si>
    <t>Em uma atividade de patrulha ou de tropa aplicar técnicas de respiração, relaxamento ou meditação antes de  um grande desafio.</t>
  </si>
  <si>
    <t>Participar de rodas de conversa ou momentos de partilha após atividades intensas, ouvindo e respeitando as emoções dos demais.</t>
  </si>
  <si>
    <t>Escrever uma pequena carta para si mesmo com palavras de incentivo, lembrando de suas qualidades e dando sugestões de como você pode superar desafios futuros.</t>
  </si>
  <si>
    <t>Criar e encenar uma pequena história em que o personagem passa por dificuldades e encontra formas saudáveis de lidar com elas.</t>
  </si>
  <si>
    <t>Praticar o consumo consciente diariamente, evitando desperdícios e ajudando a preservar os recursos naturais.</t>
  </si>
  <si>
    <t>Em acampamentos e excursões, criar soluções para melhorar a higiene e conforto e classificar os resíduos em categorias, tratando-os adequadamente.</t>
  </si>
  <si>
    <t>Planejar adequadamente e adquirir as quantidades dos alimentos para refeições em um acampamento para sua patrulha, evitando desperdício.</t>
  </si>
  <si>
    <t>Registrar e analisar o consumo de água e energia da sua residência, buscando ideias para economizar, e apresentar para sua patrulha os resultados.</t>
  </si>
  <si>
    <t>Avaliar o impacto ambiental de uma atividade e apresentar alternativas mais sustentáveis.</t>
  </si>
  <si>
    <t>Visitar uma estação de energia renovável, uma estação de tratamento de água, uma cooperativa ou usina de reciclagem ou outras opções semelhantes.</t>
  </si>
  <si>
    <t>Consertar objetos simples, como brinquedos ou pequenos eletrodomésticos.</t>
  </si>
  <si>
    <t>Utilizar embalagens retornáveis ou reutilizáveis nas refeições de campo, evitando descartáveis.</t>
  </si>
  <si>
    <t>Separar resíduos orgânicos e criar um sistema de compostagem caseira.</t>
  </si>
  <si>
    <t>Criar uma campanha educativa para a tropa sobre consumo consciente e economia de recursos.</t>
  </si>
  <si>
    <t>Trocar roupas, livros ou jogos com amigos e familiares em vez de comprar novos.</t>
  </si>
  <si>
    <t>Organizar, com sua patrulha, uma campanha de conscientização sobre consumo responsáveis.</t>
  </si>
  <si>
    <t>Confeccionar utensílios ou equipamentos a partir de materiais reutilizáveis para uso nas atividades da patrulha</t>
  </si>
  <si>
    <t>Planejar e realizar as refeições de um dia de acampamento sem carne, garantindo a ingestão adequada de proteínas.</t>
  </si>
  <si>
    <t>Organizar, cuidar e fazer reparos nos materiais da patrulha.</t>
  </si>
  <si>
    <t>Especialidades que podem complementar as Ações Educativas Variáveis: Agricultura, Aquicultura, Energia</t>
  </si>
  <si>
    <t>Conquistar ao menos uma das especialidades a seguir no nível 2: Horticultura</t>
  </si>
  <si>
    <t>Conquistar ao menos uma das seguintes insígnias: Reduzir, Reciclar, Reutilizar</t>
  </si>
  <si>
    <t>Se envolver em atividades e projetos para reduzir os impactos ambientais e combater as mudanças climáticas.</t>
  </si>
  <si>
    <t>Em um acampamento, criar uma estação meteorológia simples para registrar temperatura, umidade, direção do vento, nuvens e possíveis mudanças no tempo.</t>
  </si>
  <si>
    <t>Participar da construção de um fogão solar e usá-lo em um acampamento de patrulha ou tropa.</t>
  </si>
  <si>
    <t>Participar de uma excursão urbana com foco ecológico, identificando situações de risco para a sociedade referentes às mudanças climáticas</t>
  </si>
  <si>
    <t>Visitar ou participar de uma atividade com uma organização que atua em prol do meio ambiente.</t>
  </si>
  <si>
    <t>Em uma excursão ou acampamento em área não urbana, identificar ações prejudiciais à natureza, como extrativismo e mineração, e listar seus impactos.</t>
  </si>
  <si>
    <t>Organizar, com sua patrulha ou tropa, um projeto de conscientização sobre o uso de energia e água em sua escola, condomínio ou sede da UEL.</t>
  </si>
  <si>
    <t>Participar de multirões de plantio de mudas ou cultivo de uma horta em casa, na escola ou na UEL.</t>
  </si>
  <si>
    <t>Especialidades que podem complementar as Ações Educativas Variáveis: Agricultura, Energia, Jardinagem e Paisagismo.</t>
  </si>
  <si>
    <t>Conquistar ao menos uma das especialidades a seguir no nível 2: Meteorologia</t>
  </si>
  <si>
    <t xml:space="preserve">Conquistar ao menos uma das seguintes insígnias: Escoteiros pela Energia Solar. </t>
  </si>
  <si>
    <t>Cuidar dos animais e das plantas, entendendo como as atitudes humanas podem protegê-los ou prejudicá-los.</t>
  </si>
  <si>
    <t>Participar, em patrulha, de uma atividade de exploração em ambiente natural, reconhecendo a fauna e a flora locais e identificando riscos à preservação, além de propor soluções para evitá-los.</t>
  </si>
  <si>
    <t>Identificar algumas aves da região, seus hábitos e compreender a relação das espécies com os métodos de voo e aerodinâmica.</t>
  </si>
  <si>
    <t>Conhecer as características do bioma aquático local e os riscos para esse bioma.</t>
  </si>
  <si>
    <t>Reconhecer os animais venenosos e peçonhentos da região e saber como agir em casos de picados ou contaminação.</t>
  </si>
  <si>
    <t>Planejar e executar um projeto ambiental  com a patrulha ou tropa.</t>
  </si>
  <si>
    <t>Plantar uma espécie nativa e observar seu crescimento, registrando cada etapa.</t>
  </si>
  <si>
    <t>Identificar as pegadas de pelo menos cinco animais da fauna brasileira e realizar levantamento das pegadas em áreas naturais.</t>
  </si>
  <si>
    <t>Participar de uma atividade de mergulho que tenha o objetivo de conhecer e explorar a vida na água</t>
  </si>
  <si>
    <t>Participar de uma atividade de observação de animais noturnos com sua patrulha</t>
  </si>
  <si>
    <t>Observar e registrar espécies de aves, insetos, plantas ou outros animais durante um acampamento ou excursão</t>
  </si>
  <si>
    <t>Visitar parque, reservas ou centros de proteção ambiental para conhecer ações de preservação da fauna e da flora.</t>
  </si>
  <si>
    <t>Construir comedouros ou bebedouros para aves e instalar em áreas adequadas, acompanhando seu uso</t>
  </si>
  <si>
    <t>Criar materiais educativos, como vídeos ou posts, sobre a importância de preservação a biodiversidade</t>
  </si>
  <si>
    <t>Especialidades que podem complementar as Ações Educativas Variáveis: Animais venenosos e peçonhentos, Aquarismo, Biologia, Cuidados com animais de estimação, Entomologia, Geologia, Meliponicultura, Microbiologia.</t>
  </si>
  <si>
    <t>Conquistar ao menos uma das especialidades a seguir no nível 2: Botânica, Oceanologia, Zoologia.</t>
  </si>
  <si>
    <t>Conquistar ao menos uma das seguintes insígnias: Campeões da Natureza.</t>
  </si>
  <si>
    <t>Aproveitar as atividades ao ar livre com responsabilidade, respeitando a natureza e deixando os lugares sempre melhores do que encontrou.</t>
  </si>
  <si>
    <t>Montar o campo de patrulha com pioneirias como mesa, pórtico e canto do lenhador, utilizando amarras adequadas.</t>
  </si>
  <si>
    <t>Aplicar os nós direito, correr, aselha, volta do fiel, escota, durante um acampamento sabendo sua utilização</t>
  </si>
  <si>
    <t>Escolher corretamente o local para montagem da barraca, incluindo técnicas de montagem, desmontagem e acondicionamento durante um acampamento de patrulha ou tropa</t>
  </si>
  <si>
    <t>Manusear corretamente ferramentas de corte e sapa durante um acampamento de patrulha ou tropa, zelando pela segurança e realizando reparos</t>
  </si>
  <si>
    <t>Preparar e executar uma fogueira para uma refeição mateira durante um acampamento de patrulha ou tropa, seguindo as técnicas de segurança</t>
  </si>
  <si>
    <t>Participar de ao menos duas excursões ao ar livre (patrulha ou tropa), utilizando normas de baixo impacto ambiental</t>
  </si>
  <si>
    <t>Participar de ao menos  dois acampamentos ao ar livre (patrulha ou tropa), utilizando normas de baixo impacto ambiental</t>
  </si>
  <si>
    <t>Orientar-se com recursos naturais, bússola e mapa, utilizando azimutes</t>
  </si>
  <si>
    <t>Durante um acampamento, realizar observação das estrelas, identificando constelações e fases da lua, explicando suas interferências na natureza.</t>
  </si>
  <si>
    <t>Durante uma atividade náutica, utilizar nós de modalidade do mar, como lais de guia, nó de cunho, pinha de retinida e nó de defensa</t>
  </si>
  <si>
    <t>Participar de um percurso no campo de pelo menos 1km utilizando sinais de pista</t>
  </si>
  <si>
    <t>Colaborar na preparação de alimentos para a patrulha em pelo menos três atividades ao ar livre, sendo uma delas no estilo comida mateira, sem utensílios.</t>
  </si>
  <si>
    <t>Desenvolver soluções para purificação e consumo de água em um acampamento</t>
  </si>
  <si>
    <t>Aplicar técnicas de "tocaia" em jogos com a patrulha</t>
  </si>
  <si>
    <t>Participar da construção de um fogão suspenso ou forno de acampamento para o preparo de uma refeição</t>
  </si>
  <si>
    <t>Construir e pernoitar em um bivaque ou abrigo natural durante uma atividade de patrulha</t>
  </si>
  <si>
    <t>Confeccionar falcaças, nó catau, lais de guia, pescador, oito duplo e demonstrar cuidados com as cordas</t>
  </si>
  <si>
    <t>Participar de uma atividade de uma atividade aquática com a tropa, seguindo as normas de segurança</t>
  </si>
  <si>
    <t>Desenhar um croqui de um acampamento, usando sinais topográficos</t>
  </si>
  <si>
    <t>Especialidades que podem complementar as Ações Educativas Variáveis: Corrida de Orientação, Culinária Mateira, Escalada, Espeleoturismo, Ferramentas de Corte, Mountain Bike, Pesca, Rastreamento</t>
  </si>
  <si>
    <t>Conquistar ao menos uma das especialidades a seguir no nível 2: Acampamento, Excursões, Montanhismo, Pioneiria, Sobrevivência.</t>
  </si>
  <si>
    <t>Realizar boas ações diariamente e trabalhar em equipe para organizar atividades e projetos de serviço que benefeciem a comunidade.</t>
  </si>
  <si>
    <t>Identificar, sozinho ou em patrulha, uma necessidade da comunidade e planejar e executar uma ação comunitária.</t>
  </si>
  <si>
    <t>Identificar os riscos de desastres naturais na comunidade e conhecer os hospitais e contatos de emergência, sabendo quando acionar cada um.</t>
  </si>
  <si>
    <t>Aplicar o conhecimento adquirido nas especialidades em ações de serviço à comunidade.</t>
  </si>
  <si>
    <t>Realizar 3 ações</t>
  </si>
  <si>
    <t>Participar ativamente de pelo menos uma campanha de serviço e desenvolvimento comunitário organizandas pelo UEL, distrito ou região.</t>
  </si>
  <si>
    <t>Organizar uma oficina de brinquedo, doando os itens consertados para uma instituição que atende crianças carentes</t>
  </si>
  <si>
    <t>Colaborar em ações organizadas por outras instituições de serviço</t>
  </si>
  <si>
    <t>Especialidades que podem complementar as Ações Educativas Variáveis: Inclusão, Libras</t>
  </si>
  <si>
    <t>Conquistar ao menos uma das especialidades a seguir no nível 2: Defesa Civil</t>
  </si>
  <si>
    <t>Conquistar ao menos uma das seguintes insígnias: Mensageiros da Paz, Insígnia da Ação Comunitária</t>
  </si>
  <si>
    <t>Participar das decisões da tropa, contribuindo com suas ideias, respeitando as opiniões dos colegas e se comprometendo a seguir o que foi decidido coletivamente</t>
  </si>
  <si>
    <t>Participar ativamente das decisões do Conselho de Patrulha, contribuindo com ideias, votando e assumindo responsabilidades, respeitando os resultados.</t>
  </si>
  <si>
    <t>Participar ativamente das decisões da Assembleia de Tropa, contribuindo com ideias, votando e assumindo responsabilidades, respeitando os resultados.</t>
  </si>
  <si>
    <t>Participar da eleição do monitor da patrulha e das decisões de encargos, respeitando os resultados.</t>
  </si>
  <si>
    <t>Visitar a sede administrativa de qualquer um dos três poderes, e explicar a importância e as particularidades desta forma de governo, conhecendo a constituição e os símbolos nacionais, do estado e município.</t>
  </si>
  <si>
    <t>Realizar 2 ações</t>
  </si>
  <si>
    <t>Conhecer a estrutura do grupo escoteiro ou seção autônoma e participar de uma Assembleia de Grupo Escoteiro.</t>
  </si>
  <si>
    <t>Participar ativamente de um fórum de jovens do grupo escoteiro</t>
  </si>
  <si>
    <t>Aprender e compartilhar sobre a história do voto e da democracia no Brasil</t>
  </si>
  <si>
    <t>Especialidades que podem complementar as Ações Educativas Variáveis: Geografia, Paz e Justiça, Prevenção de Fake News</t>
  </si>
  <si>
    <t>Explorar e valorizar a cultura de sua comunidade e de seu país, conhecendo costumes, tradições, folclore e geografia, e propor atividades para compartilhar esse conhecimento com os outros</t>
  </si>
  <si>
    <t>Realizar o hasteamento ou arriamento da bandeira em cerimônia de abertura ou encerramento de atividade</t>
  </si>
  <si>
    <t>Desenvolver sua "Arvore Genealógica", pesquisando seu sobrenome, significado e a história dos seus antepassados, situando-os no contexto histórico, e apresentá-la para sua patrulha</t>
  </si>
  <si>
    <t>Participar das cerimônias com os símbolos nacionais e cantar o Hino Nacional corretamente</t>
  </si>
  <si>
    <t>Apresentar para sua patrulha ou tropa histórias de mulheres que se destacaram em nosso país</t>
  </si>
  <si>
    <t>Participar, com sua patrulha, de uma comemoração ou festa típica da sua região</t>
  </si>
  <si>
    <t>Participar, com sua patrulha, de um safari fotográfico em sua cidade, identificando os locais de importância histórica da localidade.</t>
  </si>
  <si>
    <t>Paticipar de um jantar festivos representando um estado diferente do seu</t>
  </si>
  <si>
    <t>Aplicar jogos e atividades típicas da sua região</t>
  </si>
  <si>
    <t>Visitar museus, centro culturais ou pontos históricos locais para conhecer o patrimônio da região.</t>
  </si>
  <si>
    <t>Investigar lendas, histórias ou personagens do folclore brasileiro e dramatizá-los em esquetes no Fogo de Conselho.</t>
  </si>
  <si>
    <t>Aplicar canções e danças típicas do Brasil</t>
  </si>
  <si>
    <t>Confeccionar artesanato típico de alguma região do Brasil</t>
  </si>
  <si>
    <t>Apresentar a cultura da sua cidade em um evento regional ou nacional, como feira das cidades ou noite folclórica</t>
  </si>
  <si>
    <t>Especialidades que podem complementar as Ações Educativas Variáveis: Anime, Arqueologia, Arte da Marinharia, Artes Cênicas, Capoeira, Civilizações da Antiguidade, Cosplay, Culinária Típica, Danças Folclóricas, História Aeroespacial, História da Aviação, História Brasileira, História da Arte, História do Escotismo, História Local, História Marítima, Literatura, Mitologias, Museologia, Origami, Paleontologia, Poesia.</t>
  </si>
  <si>
    <t>Conquistar ao menos uma das especialidades a seguir no nível 2: Brasilidades, Genealogia, Tradições dos Povos Originários.</t>
  </si>
  <si>
    <t>Promover a paz, a inclusão e a diversidade em suas ações diárias, respeitando e demonstrando interesse por diferentes crenças e tradições espirituais.</t>
  </si>
  <si>
    <t>Aplicar uma atividade para a patrulha sobre Direitos Humanos ou os Direitos das Criança e do Adolescente</t>
  </si>
  <si>
    <t>Convidar a patrulha a cooperar em ações organizadas por uma comunidade em favor de pessoas vulneráveis</t>
  </si>
  <si>
    <t>Participar de uma excursão com sua patrulha ou tropa visitando diferentes templos e conhecendo um pouco mais sobre cada religião.</t>
  </si>
  <si>
    <t>Participar de eventos de trocas culturais entre jovens de diferentes origens para estimular o respeito mútuo.</t>
  </si>
  <si>
    <t>Participar de uma atividade com outro grupo escoteiro ou seção autônoma e refletir sobre o que é Fraternidade Mundial Escoteira</t>
  </si>
  <si>
    <t>Conhecer as diferentes denominações de fé e crença de amigos da patrulha, tropa, escola e comunidade.</t>
  </si>
  <si>
    <t>Promover uma campanha que incentive atitudes de respeito e cooperação entre todos.</t>
  </si>
  <si>
    <t>Convidar representantes de diferentes crenças para compartilhar experiências e responder perguntas da tropa</t>
  </si>
  <si>
    <t>Criar com sua patrulha ou seção um calendário de celebrações religiosas das diferentes denominações de fé e crença ali presente.</t>
  </si>
  <si>
    <t>Especialidades que podem complementar as Ações Educativas Variáveis: Geografia, História Mundial, Inclusão, Libras, Línguas, Paz e Justiça.</t>
  </si>
  <si>
    <t>Conquistar ao menos uma das seguintes insígnias: Insígnia da Lusofonia, Insígnia do Cone Sul, Diálogos pela Paz.</t>
  </si>
  <si>
    <t>Atuar de acordo com seus valores pessoais e os princípios do Movimento Escoteiro, vivendo sua Promessa e a Lei Escoteira em todas as suas atitudes.</t>
  </si>
  <si>
    <t>Avaliar, com seus companheiros de patrulha, a vivência da Promessa e Lei Escoteira.</t>
  </si>
  <si>
    <t>Participar da avaliação da sua Progressão Pessoal e dos companheiros da patrulha.</t>
  </si>
  <si>
    <t>Explicar o significado da Lei e da Promessa Escoteira aos novos membros da patrulha.</t>
  </si>
  <si>
    <t>Auxiliar um companheiro de patrulha a realizar sua Promessa Escoteira.</t>
  </si>
  <si>
    <t>Explicar aos novos membros da patrulha os significados da flor-de-lis e da Saudação Escoteira</t>
  </si>
  <si>
    <t>Conhecer e cantar o Hino Alerta</t>
  </si>
  <si>
    <t>Especialidade que podem complementar as Ações Educativas Variáveis: Fogo de Conselho, História do Escotismo.</t>
  </si>
  <si>
    <t>Conquistar ao menos uma das especialidades a seguir no nível 2: Escotismo Mundial</t>
  </si>
  <si>
    <t>Compreender e respeitar as mudanças do seu próprio corpo e das outras pessoas, independentemente de aparência, identidade ou orientação sexual. Se desafiar a superar suas limitações físicas e aprender técnicas básicas de primeiros socorros.</t>
  </si>
  <si>
    <t>Conhecer as ações iniciais em acidentes e como cuidar de: Pequenos cortes; Contusões; Escoriações; Queimaduras; Picadas de animais peçonhentos.</t>
  </si>
  <si>
    <t>Aplicar técnicas de bandagens e transportes de feridos</t>
  </si>
  <si>
    <t>Cuidar da segurança física e mental nas atividades escoteiras, respeitando os limites próprios e dos outros, e seguindo as orientações dos escotistas.</t>
  </si>
  <si>
    <t>Conhecer as medidas do seu corpo (palmo, envergadura, passo simples e duplo) e aplicá-las durante uma excursão com sua patrulha</t>
  </si>
  <si>
    <t>Participar de uma atividade, oficina, palestra que trate dos malefícios dos seguintes assuntos: anorexia, bulimia, drogas, álcool, cigarro e cigarro eletrônico.</t>
  </si>
  <si>
    <t>Saber contato dos órgãos de emergência e saber como informar os sinais vitais e situações da vítima</t>
  </si>
  <si>
    <t>Participar de uma simulação de acidente e atuar em conjunto com a sua patrulha.</t>
  </si>
  <si>
    <t>Proteger-se do sol e do frio durante as atividades, identificando casos de desidratação e insolação, e respeitar os limites do seu corpo.</t>
  </si>
  <si>
    <t>Demonstrar como ajudar uma pessoa em casos de obstrução das vias aéreas e convulsões.</t>
  </si>
  <si>
    <t>Conhecer os itens que compõem a caixa de primeiros socorros da patrulha e mantê la organizada.</t>
  </si>
  <si>
    <t>Saber agir em casos de hemorragia.</t>
  </si>
  <si>
    <t>Especialidades que podem complementar as Ações Educativas Variáveis: Babá, Cuidados com idosos, Maquiagem, Salvamento, Segurança, Segurança e Emergencia Náutica, Vigilância Epidemiológica.</t>
  </si>
  <si>
    <t>Arremessar um cabo de retinida com pinha ou bóia salva-vidas a 10 metros, utilizando a técnica de lançamento para salvamento, e conhecer as técnicas de natação para salvamento, transporte, reanimação e aquecimento de afogados.</t>
  </si>
  <si>
    <t>Conquistar ao menos uma das especialidades a seguir no nível 2: Anatomia Humana, Prevenção em Saúde, Primeiros Socorros</t>
  </si>
  <si>
    <t>Explora a espiritualidade observando as maravilhas da natureza, praticando a solidariedade e conhecendo diferentes crenças. Além disso, se esforça para viver seus princípios diariamente.</t>
  </si>
  <si>
    <t>Fazer reflexões espirituais rotineiras na tropa ou patrulha, ao ar livre.</t>
  </si>
  <si>
    <t>Apresentar um pequeno relato à patrulha ou tropa sobre os ensinamentos de sua crença ou religião.</t>
  </si>
  <si>
    <t>Auxiliar na realização de uma celebração de sua comunidade religiosa.</t>
  </si>
  <si>
    <t>Celebrar sua crença ou religião regularmente.</t>
  </si>
  <si>
    <t>Colaborar na organização de um culto interconfessional em uma atividade escoteira.</t>
  </si>
  <si>
    <t>Participar de um momento de reflexão e conexão com um ambiente natural em que possa apreciar e agradecer a beleza do mundo natural.</t>
  </si>
  <si>
    <t>Conquistar ao menos uma das especialidades a seguir no nível 2: Yoga</t>
  </si>
  <si>
    <t>Conquistar ao menos uma das seguintes insígnias: Diálogo Inter-religioso</t>
  </si>
  <si>
    <t>Cuidar da própria saúde praticando exercícios físicos, mantendo uma alimentaçã equilibrada e garantindo bons hábitos de higiene pessoal e organização do seu espaço.</t>
  </si>
  <si>
    <t>Planejar e executar um cardápio completo e saudável (café da manhã, almoço e jantar) para a patrulha em acampamento</t>
  </si>
  <si>
    <t>Conhecer e aplicar normas de limpeza no tratamento e conservação de alimentos nas atividades de patrulha</t>
  </si>
  <si>
    <t>Manter hábitos de higiene pessoal, utilizar o vestuário ou uniforme adequadamente, demonstrando aplicação correta dos distintivos.</t>
  </si>
  <si>
    <t>Contribuir para manter a sede do grupo e canto de patrulha em ordem e em perfeito estado de conservação.</t>
  </si>
  <si>
    <t>Montar um cronograma semanal, equilibrando estudos, responsabilidades e momentos de lazer.</t>
  </si>
  <si>
    <t>Praticar uma atividade física regularmente</t>
  </si>
  <si>
    <t>Promover um piquinique com alimentos saudáveis com sua patrulha ou tropa</t>
  </si>
  <si>
    <t>Manter adequada rotina de sono e alimentação saudável</t>
  </si>
  <si>
    <t>Saber o que são as indicações de rótulos, o que são gorduras saturadas, conservantes, corantes além dos selos de advertência</t>
  </si>
  <si>
    <t>Arrumar e limpar seu quarto e contribuir nas rotinas da casa</t>
  </si>
  <si>
    <t>Especialidades que podem complementar as Ações Educativas Variáveis: Artes Marciais, Canoagem, Ciclismo, Corrida de Rua, Culinária Vegetariana, Cuidados Bucais, Dança, Desportos Inclusivos, Esportes de Quadra, Futebol, Ginásticas, Hipismo, Mergulho, Natação, Patinação, Plantas Medicinais, Remo, Skateboard, Slackline, Técnicas Verticais, Tênis, Tênis de Mesa, Tiro com Arco, Triatlo, Vela, Yoga.</t>
  </si>
  <si>
    <t>Conquistar ao menos uma das especialidades a seguir no nível 2: Nutrição</t>
  </si>
  <si>
    <t>Adotar práticas que ajudam a manter o equilíbrio da sua saúde mental, buscando estratégias para lidar com desafios e contribuindo para o bem-estar das pessoas ao seu redor.</t>
  </si>
  <si>
    <t>Conhecer o conceito de Espaços Seguros e aplicá-lo em todas as atividades de sua patrulha ou tropa</t>
  </si>
  <si>
    <t>Aprender a identificar sinais de tristeza ou isolamento em colegas e saber como oferecer apoio inicial, como conversar com respeito e buscar ajuda de um adulto de confiança.</t>
  </si>
  <si>
    <t>Participar de uma atividade sobre a importância do autocuidado e da saúde mental</t>
  </si>
  <si>
    <t>Conduzir uma sessão de relaxamento como yoga, meditação, caminhadas silenciosas na natureza, alongamento, entre outras, para sua patrulha ou tropa</t>
  </si>
  <si>
    <t>Organizar sua rotina de atividades semanais, considerando a importância do equilíbrio entre as atividades do mundo digital e real e realizar uma atividade de bem-estar offline</t>
  </si>
  <si>
    <t>Propor momentos de descontração com a família ao ar livre, evitando o uso da tecnologia e compartilhar como foi a experiência.</t>
  </si>
  <si>
    <t>Participar com sua patrulha de uma atividade que promova o contato com seus sentidos e promova momentos de equilíbrio emocional como por exemplo: uma trilha sensorial, pintura livre, roda de canções, observando de céu ou fogueira etc.</t>
  </si>
  <si>
    <t>Especialidades que podem complementar as Ações Educativas Variáveis: Aeromodelismo, Canto, Coleções, Cubo Mágico, Dança, Expressão Musical, Ioiô, Jogos de Cartas Colecionáveis, Jogos de Tabuleiro, Mágica e Ilusionismo, Maquiagem, Pipas, Quebra-Cabeças, RPG, Xadrez.</t>
  </si>
  <si>
    <t>Conquistar ao menos uma das especialidades a seguir no nível 2: Prevenção aos Vícios</t>
  </si>
  <si>
    <t>Criar laços de amizade de forma saudável, respeitosa e empátia, fortalecendo suas relações pessoais de maneira positiva.</t>
  </si>
  <si>
    <t>Realizar uma companha para combater o bullying e cyberbullying para a comunidade</t>
  </si>
  <si>
    <t>Participar de jogos com a patrulha ou a tropa, respeitando as regras e seus participantes</t>
  </si>
  <si>
    <t>Organizar uma atividade de patrulha em sua casa ou na casa de um membro da patrulha</t>
  </si>
  <si>
    <t>Ensinar uma canção escoteira a outros escoteiros</t>
  </si>
  <si>
    <t>Ajudar outro membros da UEL  a conquistar uma especialidade ou insígnia</t>
  </si>
  <si>
    <t>Propor metas para melhorar a convivência na vida na patrulha e na tropa, compreendendo como todos se sentem quanto a isso</t>
  </si>
  <si>
    <t>Participar de uma atividade entre diferentes grupos escoteiros ou atividade regional ou nacional</t>
  </si>
  <si>
    <t>Acolher os novos integrantes da patrulha</t>
  </si>
  <si>
    <t>Assumir tarefas domésticas para melhorar a convivência em casa</t>
  </si>
  <si>
    <t>Participar de uma atividade da tropa com a família ou responsáveis</t>
  </si>
  <si>
    <t>Convidar um colega da mesma faixa para participar de um Fogo de Conselho, integrado a sua patrulha e com o devido "Registro de Visitante".</t>
  </si>
  <si>
    <t>Participar de um torneio de aeromodelos</t>
  </si>
  <si>
    <t>Conquistar ao menos uma das especialidades a seguir no nível 2: Prevenção ao Bullying</t>
  </si>
  <si>
    <t>Escoteiro 1</t>
  </si>
  <si>
    <t>Escoteiro 2</t>
  </si>
  <si>
    <t>Escoteiro 3</t>
  </si>
  <si>
    <t>Escoteiro 4</t>
  </si>
  <si>
    <t>Escoteiro 5</t>
  </si>
  <si>
    <t>Escoteiro 6</t>
  </si>
  <si>
    <t>Escoteiro 7</t>
  </si>
  <si>
    <t>Escoteiro 8</t>
  </si>
  <si>
    <t>Escoteiro 9</t>
  </si>
  <si>
    <t>Escoteiro 10</t>
  </si>
  <si>
    <t>Escoteiro 11</t>
  </si>
  <si>
    <t>Escoteiro 12</t>
  </si>
  <si>
    <t>Escoteiro 13</t>
  </si>
  <si>
    <t>Escoteiro 14</t>
  </si>
  <si>
    <t>Escoteiro 15</t>
  </si>
  <si>
    <t>Escoteiro 16</t>
  </si>
  <si>
    <t>Escoteiro 17</t>
  </si>
  <si>
    <t>Escoteiro 18</t>
  </si>
  <si>
    <t>Escoteiro 19</t>
  </si>
  <si>
    <t>Escoteiro 20</t>
  </si>
  <si>
    <t>Escoteiro 21</t>
  </si>
  <si>
    <t>Escoteiro 22</t>
  </si>
  <si>
    <t>Escoteiro 23</t>
  </si>
  <si>
    <t>Escoteiro 24</t>
  </si>
  <si>
    <t>Escoteiro 25</t>
  </si>
  <si>
    <t>Escoteiro 26</t>
  </si>
  <si>
    <t>Escoteiro 27</t>
  </si>
  <si>
    <t>Escoteiro 28</t>
  </si>
  <si>
    <t>Escoteiro 29</t>
  </si>
  <si>
    <t>Escoteiro 30</t>
  </si>
  <si>
    <t>Escoteiro 31</t>
  </si>
  <si>
    <t>Escoteiro 32</t>
  </si>
  <si>
    <t>Escoteiro 33</t>
  </si>
  <si>
    <t>Escoteiro 34</t>
  </si>
  <si>
    <t>Escoteiro 35</t>
  </si>
  <si>
    <t>Escoteiro 36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</si>
</sst>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yy"/>
  </numFmts>
  <fonts count="10">
    <font>
      <sz val="11.0"/>
      <color theme="1"/>
      <name val="Calibri"/>
      <scheme val="minor"/>
    </font>
    <font>
      <sz val="10.0"/>
      <color theme="1"/>
      <name val="Arial"/>
    </font>
    <font>
      <b/>
      <sz val="10.0"/>
      <color theme="1"/>
      <name val="Arial"/>
    </font>
    <font>
      <color theme="1"/>
      <name val="Calibri"/>
      <scheme val="minor"/>
    </font>
    <font>
      <b/>
      <color theme="1"/>
      <name val="Arial"/>
    </font>
    <font>
      <sz val="11.0"/>
      <color theme="1"/>
      <name val="Calibri"/>
    </font>
    <font>
      <color theme="1"/>
      <name val="Arial"/>
    </font>
    <font>
      <b/>
      <sz val="12.0"/>
      <color theme="1"/>
      <name val="Arial"/>
    </font>
    <font/>
    <font>
      <b/>
      <sz val="14.0"/>
      <color theme="1"/>
      <name val="Arial"/>
    </font>
  </fonts>
  <fills count="7">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3F3F3"/>
        <bgColor rgb="FFF3F3F3"/>
      </patternFill>
    </fill>
  </fills>
  <borders count="14">
    <border/>
    <border>
      <left style="thick">
        <color rgb="FF000000"/>
      </left>
      <top style="thick">
        <color rgb="FF000000"/>
      </top>
    </border>
    <border>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left style="thick">
        <color rgb="FF000000"/>
      </left>
    </border>
    <border>
      <left style="thick">
        <color rgb="FF000000"/>
      </left>
      <right style="thick">
        <color rgb="FF000000"/>
      </right>
    </border>
    <border>
      <right style="thick">
        <color rgb="FF000000"/>
      </right>
    </border>
    <border>
      <left style="thick">
        <color rgb="FF000000"/>
      </left>
      <bottom style="thick">
        <color rgb="FF000000"/>
      </bottom>
    </border>
    <border>
      <left style="thick">
        <color rgb="FF000000"/>
      </left>
      <right style="thick">
        <color rgb="FF000000"/>
      </righ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horizontal="center" readingOrder="0" vertical="center"/>
    </xf>
    <xf borderId="0" fillId="0" fontId="2" numFmtId="0" xfId="0" applyAlignment="1" applyFont="1">
      <alignment horizontal="center" vertical="center"/>
    </xf>
    <xf borderId="0" fillId="2" fontId="2" numFmtId="0" xfId="0" applyAlignment="1" applyFill="1" applyFont="1">
      <alignment horizontal="center" vertical="center"/>
    </xf>
    <xf borderId="0" fillId="3" fontId="2" numFmtId="0" xfId="0" applyAlignment="1" applyFill="1" applyFont="1">
      <alignment horizontal="center" vertical="center"/>
    </xf>
    <xf borderId="0" fillId="4" fontId="2" numFmtId="0" xfId="0" applyAlignment="1" applyFill="1" applyFont="1">
      <alignment horizontal="center" vertical="center"/>
    </xf>
    <xf borderId="0" fillId="5" fontId="2" numFmtId="0" xfId="0" applyAlignment="1" applyFill="1" applyFont="1">
      <alignment horizontal="center" vertical="center"/>
    </xf>
    <xf borderId="0" fillId="6" fontId="1" numFmtId="0" xfId="0" applyAlignment="1" applyFill="1" applyFont="1">
      <alignment horizontal="center" vertical="center"/>
    </xf>
    <xf borderId="0" fillId="6" fontId="1" numFmtId="1" xfId="0" applyAlignment="1" applyFont="1" applyNumberFormat="1">
      <alignment horizontal="center" vertical="center"/>
    </xf>
    <xf borderId="0" fillId="6" fontId="1" numFmtId="164" xfId="0" applyAlignment="1" applyFont="1" applyNumberFormat="1">
      <alignment horizontal="center" vertical="center"/>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3" fontId="1" numFmtId="0" xfId="0" applyAlignment="1" applyFont="1">
      <alignment horizontal="center" shrinkToFit="0" vertical="center" wrapText="1"/>
    </xf>
    <xf borderId="0" fillId="3" fontId="1"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4" fontId="1" numFmtId="0" xfId="0" applyAlignment="1" applyFont="1">
      <alignment horizontal="center" readingOrder="0" shrinkToFit="0" vertical="center" wrapText="1"/>
    </xf>
    <xf borderId="0" fillId="5" fontId="1"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6" fontId="1" numFmtId="0" xfId="0" applyAlignment="1" applyFont="1">
      <alignment horizontal="center" readingOrder="0" shrinkToFit="0" vertical="center" wrapText="1"/>
    </xf>
    <xf borderId="0" fillId="6" fontId="1" numFmtId="1" xfId="0" applyAlignment="1" applyFont="1" applyNumberFormat="1">
      <alignment horizontal="center" readingOrder="0" shrinkToFit="0" vertical="center" wrapText="1"/>
    </xf>
    <xf borderId="0" fillId="6" fontId="1" numFmtId="164" xfId="0" applyAlignment="1" applyFont="1" applyNumberFormat="1">
      <alignment horizontal="center" readingOrder="0" shrinkToFit="0" vertical="center" wrapText="1"/>
    </xf>
    <xf borderId="0" fillId="0" fontId="1" numFmtId="165" xfId="0" applyAlignment="1" applyFont="1" applyNumberFormat="1">
      <alignment horizontal="center" readingOrder="0" vertical="center"/>
    </xf>
    <xf borderId="0" fillId="6" fontId="1" numFmtId="0" xfId="0" applyAlignment="1" applyFont="1">
      <alignment horizontal="center" readingOrder="0" vertical="center"/>
    </xf>
    <xf borderId="0" fillId="0" fontId="1" numFmtId="1" xfId="0" applyAlignment="1" applyFont="1" applyNumberFormat="1">
      <alignment horizontal="center" vertical="center"/>
    </xf>
    <xf borderId="0" fillId="2" fontId="1" numFmtId="9" xfId="0" applyAlignment="1" applyFont="1" applyNumberFormat="1">
      <alignment horizontal="center" vertical="center"/>
    </xf>
    <xf borderId="0" fillId="2" fontId="1" numFmtId="0" xfId="0" applyAlignment="1" applyFont="1">
      <alignment horizontal="center" vertical="center"/>
    </xf>
    <xf borderId="0" fillId="3" fontId="1" numFmtId="9" xfId="0" applyAlignment="1" applyFont="1" applyNumberFormat="1">
      <alignment horizontal="center" vertical="center"/>
    </xf>
    <xf borderId="0" fillId="3" fontId="1" numFmtId="0" xfId="0" applyAlignment="1" applyFont="1">
      <alignment horizontal="center" vertical="center"/>
    </xf>
    <xf borderId="0" fillId="4" fontId="1" numFmtId="9" xfId="0" applyAlignment="1" applyFont="1" applyNumberFormat="1">
      <alignment horizontal="center" vertical="center"/>
    </xf>
    <xf borderId="0" fillId="4" fontId="1" numFmtId="0" xfId="0" applyAlignment="1" applyFont="1">
      <alignment horizontal="center" vertical="center"/>
    </xf>
    <xf borderId="0" fillId="5" fontId="1" numFmtId="9" xfId="0" applyAlignment="1" applyFont="1" applyNumberFormat="1">
      <alignment horizontal="center" vertical="center"/>
    </xf>
    <xf borderId="0" fillId="5" fontId="1" numFmtId="0" xfId="0" applyAlignment="1" applyFont="1">
      <alignment horizontal="center" vertical="center"/>
    </xf>
    <xf borderId="0" fillId="6" fontId="1" numFmtId="0" xfId="0" applyAlignment="1" applyFont="1">
      <alignment horizontal="center" vertical="center"/>
    </xf>
    <xf borderId="0" fillId="6" fontId="1" numFmtId="9" xfId="0" applyAlignment="1" applyFont="1" applyNumberFormat="1">
      <alignment horizontal="center" vertical="center"/>
    </xf>
    <xf borderId="0" fillId="0" fontId="1" numFmtId="0" xfId="0" applyAlignment="1" applyFont="1">
      <alignment vertical="center"/>
    </xf>
    <xf borderId="0" fillId="0" fontId="1" numFmtId="0" xfId="0" applyAlignment="1" applyFont="1">
      <alignment horizontal="center" vertical="center"/>
    </xf>
    <xf borderId="0" fillId="0" fontId="1" numFmtId="1" xfId="0" applyAlignment="1" applyFont="1" applyNumberFormat="1">
      <alignment vertical="center"/>
    </xf>
    <xf borderId="0" fillId="0" fontId="1" numFmtId="164" xfId="0" applyAlignment="1" applyFont="1" applyNumberFormat="1">
      <alignment vertical="center"/>
    </xf>
    <xf borderId="0" fillId="0" fontId="3" numFmtId="0" xfId="0" applyAlignment="1" applyFont="1">
      <alignment readingOrder="0"/>
    </xf>
    <xf borderId="0" fillId="0" fontId="3" numFmtId="0" xfId="0" applyAlignment="1" applyFont="1">
      <alignment horizontal="center" readingOrder="0"/>
    </xf>
    <xf borderId="0" fillId="0" fontId="1" numFmtId="9" xfId="0" applyAlignment="1" applyFont="1" applyNumberFormat="1">
      <alignment horizontal="center" readingOrder="0" vertical="center"/>
    </xf>
    <xf borderId="0" fillId="0" fontId="1" numFmtId="0" xfId="0" applyAlignment="1" applyFont="1">
      <alignment horizontal="center" vertical="center"/>
    </xf>
    <xf borderId="0" fillId="0" fontId="4" numFmtId="0" xfId="0" applyFont="1"/>
    <xf borderId="0" fillId="0" fontId="5" numFmtId="0" xfId="0" applyFont="1"/>
    <xf borderId="0" fillId="0" fontId="5" numFmtId="0" xfId="0" applyFont="1"/>
    <xf borderId="0" fillId="0" fontId="5" numFmtId="1" xfId="0" applyFont="1" applyNumberFormat="1"/>
    <xf borderId="0" fillId="0" fontId="5" numFmtId="164" xfId="0" applyFont="1" applyNumberFormat="1"/>
    <xf borderId="0" fillId="0" fontId="6" numFmtId="0" xfId="0" applyFont="1"/>
    <xf borderId="0" fillId="0" fontId="5" numFmtId="0" xfId="0" applyFont="1"/>
    <xf borderId="0" fillId="0" fontId="6" numFmtId="0" xfId="0" applyAlignment="1" applyFont="1">
      <alignment readingOrder="0"/>
    </xf>
    <xf borderId="0" fillId="0" fontId="5" numFmtId="0" xfId="0" applyAlignment="1" applyFont="1">
      <alignment vertical="bottom"/>
    </xf>
    <xf borderId="0" fillId="0" fontId="1" numFmtId="0" xfId="0" applyAlignment="1" applyFont="1">
      <alignment shrinkToFit="0" vertical="center" wrapText="1"/>
    </xf>
    <xf borderId="1" fillId="0" fontId="7" numFmtId="0" xfId="0" applyAlignment="1" applyBorder="1" applyFont="1">
      <alignment horizontal="right" readingOrder="0" shrinkToFit="0" vertical="center" wrapText="1"/>
    </xf>
    <xf borderId="2" fillId="0" fontId="7" numFmtId="0" xfId="0" applyAlignment="1" applyBorder="1" applyFont="1">
      <alignment horizontal="center" readingOrder="0" shrinkToFit="0" vertical="center" wrapText="1"/>
    </xf>
    <xf borderId="2" fillId="0" fontId="8" numFmtId="0" xfId="0" applyBorder="1" applyFont="1"/>
    <xf borderId="3" fillId="0" fontId="1" numFmtId="0" xfId="0" applyAlignment="1" applyBorder="1" applyFont="1">
      <alignment horizontal="right" readingOrder="0" shrinkToFit="0" vertical="center" wrapText="1"/>
    </xf>
    <xf borderId="4" fillId="0" fontId="9" numFmtId="9"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3" numFmtId="0" xfId="0" applyAlignment="1" applyFont="1">
      <alignment horizontal="center"/>
    </xf>
    <xf borderId="5" fillId="0" fontId="1" numFmtId="0" xfId="0" applyAlignment="1" applyBorder="1" applyFont="1">
      <alignment shrinkToFit="0" vertical="center" wrapText="1"/>
    </xf>
    <xf borderId="5" fillId="0" fontId="1"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6" fillId="0" fontId="8" numFmtId="0" xfId="0" applyBorder="1" applyFont="1"/>
    <xf borderId="4" fillId="0" fontId="8" numFmtId="0" xfId="0" applyBorder="1" applyFont="1"/>
    <xf borderId="5" fillId="0" fontId="1" numFmtId="0" xfId="0" applyAlignment="1" applyBorder="1" applyFont="1">
      <alignment horizontal="center" shrinkToFit="0" vertical="center" wrapText="1"/>
    </xf>
    <xf borderId="7" fillId="2" fontId="1" numFmtId="0" xfId="0" applyAlignment="1" applyBorder="1" applyFont="1">
      <alignment shrinkToFit="0" vertical="center" wrapText="1"/>
    </xf>
    <xf borderId="8" fillId="2" fontId="1" numFmtId="0" xfId="0" applyAlignment="1" applyBorder="1" applyFont="1">
      <alignment shrinkToFit="0" vertical="center" wrapText="1"/>
    </xf>
    <xf borderId="7" fillId="2" fontId="1"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9" fillId="2" fontId="1" numFmtId="9" xfId="0" applyAlignment="1" applyBorder="1" applyFont="1" applyNumberFormat="1">
      <alignment horizontal="center" shrinkToFit="0" vertical="center" wrapText="1"/>
    </xf>
    <xf borderId="7" fillId="3" fontId="5" numFmtId="0" xfId="0" applyAlignment="1" applyBorder="1" applyFont="1">
      <alignment shrinkToFit="0" vertical="center" wrapText="1"/>
    </xf>
    <xf borderId="8" fillId="3" fontId="5" numFmtId="0" xfId="0" applyAlignment="1" applyBorder="1" applyFont="1">
      <alignment shrinkToFit="0" vertical="center" wrapText="1"/>
    </xf>
    <xf borderId="7" fillId="3" fontId="1" numFmtId="0" xfId="0" applyAlignment="1" applyBorder="1" applyFont="1">
      <alignment horizontal="center" shrinkToFit="0" vertical="center" wrapText="1"/>
    </xf>
    <xf borderId="9" fillId="3" fontId="1" numFmtId="0" xfId="0" applyAlignment="1" applyBorder="1" applyFont="1">
      <alignment horizontal="center" shrinkToFit="0" vertical="center" wrapText="1"/>
    </xf>
    <xf borderId="9" fillId="3" fontId="1" numFmtId="9" xfId="0" applyAlignment="1" applyBorder="1" applyFont="1" applyNumberFormat="1">
      <alignment horizontal="center" shrinkToFit="0" vertical="center" wrapText="1"/>
    </xf>
    <xf borderId="7" fillId="4" fontId="5" numFmtId="0" xfId="0" applyAlignment="1" applyBorder="1" applyFont="1">
      <alignment shrinkToFit="0" vertical="center" wrapText="1"/>
    </xf>
    <xf borderId="8" fillId="4" fontId="5" numFmtId="0" xfId="0" applyAlignment="1" applyBorder="1" applyFont="1">
      <alignment shrinkToFit="0" vertical="center" wrapText="1"/>
    </xf>
    <xf borderId="7"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9" xfId="0" applyAlignment="1" applyBorder="1" applyFont="1" applyNumberFormat="1">
      <alignment horizontal="center" shrinkToFit="0" vertical="center" wrapText="1"/>
    </xf>
    <xf borderId="7" fillId="5" fontId="5" numFmtId="0" xfId="0" applyAlignment="1" applyBorder="1" applyFont="1">
      <alignment shrinkToFit="0" vertical="center" wrapText="1"/>
    </xf>
    <xf borderId="8" fillId="5" fontId="5" numFmtId="0" xfId="0" applyAlignment="1" applyBorder="1" applyFont="1">
      <alignment shrinkToFit="0" vertical="center" wrapText="1"/>
    </xf>
    <xf borderId="7" fillId="5" fontId="1" numFmtId="0" xfId="0" applyAlignment="1" applyBorder="1" applyFont="1">
      <alignment horizontal="center" shrinkToFit="0" vertical="center" wrapText="1"/>
    </xf>
    <xf borderId="9" fillId="5" fontId="1" numFmtId="0" xfId="0" applyAlignment="1" applyBorder="1" applyFont="1">
      <alignment horizontal="center" shrinkToFit="0" vertical="center" wrapText="1"/>
    </xf>
    <xf borderId="9" fillId="5" fontId="1" numFmtId="9" xfId="0" applyAlignment="1" applyBorder="1" applyFont="1" applyNumberFormat="1">
      <alignment horizontal="center" shrinkToFit="0" vertical="center" wrapText="1"/>
    </xf>
    <xf borderId="10" fillId="5" fontId="5" numFmtId="0" xfId="0" applyAlignment="1" applyBorder="1" applyFont="1">
      <alignment shrinkToFit="0" vertical="center" wrapText="1"/>
    </xf>
    <xf borderId="11" fillId="5" fontId="5" numFmtId="0" xfId="0" applyAlignment="1" applyBorder="1" applyFont="1">
      <alignment shrinkToFit="0" vertical="center" wrapText="1"/>
    </xf>
    <xf borderId="10" fillId="5" fontId="1" numFmtId="0" xfId="0" applyAlignment="1" applyBorder="1" applyFont="1">
      <alignment horizontal="center" shrinkToFit="0" vertical="center" wrapText="1"/>
    </xf>
    <xf borderId="12" fillId="5" fontId="1" numFmtId="0" xfId="0" applyAlignment="1" applyBorder="1" applyFont="1">
      <alignment horizontal="center" shrinkToFit="0" vertical="center" wrapText="1"/>
    </xf>
    <xf borderId="12" fillId="5" fontId="1" numFmtId="0" xfId="0" applyAlignment="1" applyBorder="1" applyFont="1">
      <alignment horizontal="center" readingOrder="0" shrinkToFit="0" vertical="center" wrapText="1"/>
    </xf>
    <xf borderId="13" fillId="5" fontId="1" numFmtId="0" xfId="0" applyAlignment="1" applyBorder="1" applyFont="1">
      <alignment horizontal="center" shrinkToFit="0" vertical="center" wrapText="1"/>
    </xf>
    <xf borderId="13" fillId="5" fontId="1" numFmtId="9" xfId="0" applyAlignment="1" applyBorder="1" applyFont="1" applyNumberFormat="1">
      <alignment horizontal="center" shrinkToFit="0" vertical="center" wrapText="1"/>
    </xf>
    <xf borderId="0" fillId="0" fontId="2" numFmtId="0" xfId="0" applyAlignment="1" applyFont="1">
      <alignment horizontal="center" readingOrder="0" vertical="center"/>
    </xf>
    <xf borderId="0" fillId="0" fontId="1" numFmtId="0" xfId="0" applyAlignment="1" applyFont="1">
      <alignment horizontal="center" shrinkToFit="0" vertical="center" wrapText="1"/>
    </xf>
    <xf borderId="0" fillId="0" fontId="1" numFmtId="0" xfId="0" applyAlignment="1" applyFont="1">
      <alignment vertical="center"/>
    </xf>
    <xf borderId="0" fillId="0" fontId="5" numFmtId="0" xfId="0" applyAlignment="1" applyFont="1">
      <alignment horizontal="center"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vertical="center"/>
    </xf>
    <xf borderId="0" fillId="0" fontId="5" numFmtId="0" xfId="0" applyAlignment="1" applyFont="1">
      <alignment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0"/>
    <col customWidth="1" min="2" max="2" width="15.14"/>
    <col customWidth="1" min="3" max="3" width="19.0"/>
    <col customWidth="1" min="4" max="4" width="20.43"/>
    <col customWidth="1" min="5" max="5" width="12.14"/>
    <col customWidth="1" min="6" max="6" width="11.0"/>
    <col customWidth="1" min="7" max="7" width="9.0"/>
    <col customWidth="1" min="8" max="8" width="12.43"/>
    <col customWidth="1" min="9" max="9" width="12.86"/>
    <col customWidth="1" min="10" max="10" width="11.29"/>
    <col customWidth="1" min="11" max="11" width="12.29"/>
    <col customWidth="1" min="12" max="12" width="10.71"/>
    <col customWidth="1" min="13" max="14" width="6.86"/>
    <col customWidth="1" min="15" max="15" width="6.29"/>
    <col customWidth="1" min="16" max="16" width="13.86"/>
    <col customWidth="1" min="17" max="17" width="10.0"/>
    <col customWidth="1" min="18" max="18" width="13.57"/>
    <col customWidth="1" min="19" max="19" width="10.0"/>
    <col customWidth="1" min="20" max="20" width="7.0"/>
    <col customWidth="1" min="21" max="21" width="6.43"/>
    <col customWidth="1" min="22" max="22" width="6.29"/>
    <col customWidth="1" min="23" max="23" width="13.14"/>
    <col customWidth="1" min="24" max="24" width="11.29"/>
    <col customWidth="1" min="25" max="25" width="8.29"/>
    <col customWidth="1" min="26" max="26" width="9.86"/>
    <col customWidth="1" min="27" max="27" width="7.43"/>
    <col customWidth="1" min="28" max="28" width="7.0"/>
    <col customWidth="1" min="29" max="29" width="6.71"/>
    <col customWidth="1" min="30" max="30" width="6.29"/>
    <col customWidth="1" min="31" max="31" width="9.71"/>
    <col customWidth="1" min="32" max="32" width="13.57"/>
    <col customWidth="1" min="33" max="33" width="10.0"/>
    <col customWidth="1" min="34" max="34" width="8.14"/>
    <col customWidth="1" min="35" max="35" width="10.0"/>
    <col customWidth="1" min="36" max="36" width="7.0"/>
    <col customWidth="1" min="37" max="37" width="6.43"/>
    <col customWidth="1" min="38" max="38" width="6.29"/>
    <col customWidth="1" min="39" max="39" width="7.0"/>
    <col customWidth="1" min="40" max="40" width="7.57"/>
    <col customWidth="1" min="41" max="41" width="6.43"/>
    <col customWidth="1" min="42" max="42" width="5.0"/>
  </cols>
  <sheetData>
    <row r="1">
      <c r="A1" s="1"/>
      <c r="B1" s="1"/>
      <c r="C1" s="1"/>
      <c r="D1" s="1"/>
      <c r="E1" s="2"/>
      <c r="F1" s="2"/>
      <c r="G1" s="2"/>
      <c r="H1" s="3"/>
      <c r="I1" s="4" t="s">
        <v>0</v>
      </c>
      <c r="P1" s="5" t="s">
        <v>1</v>
      </c>
      <c r="W1" s="6" t="s">
        <v>2</v>
      </c>
      <c r="AE1" s="7" t="s">
        <v>3</v>
      </c>
      <c r="AM1" s="8"/>
      <c r="AN1" s="8"/>
      <c r="AO1" s="9"/>
      <c r="AP1" s="10"/>
    </row>
    <row r="2">
      <c r="A2" s="11" t="s">
        <v>4</v>
      </c>
      <c r="B2" s="11" t="s">
        <v>5</v>
      </c>
      <c r="C2" s="11" t="s">
        <v>6</v>
      </c>
      <c r="D2" s="11" t="s">
        <v>7</v>
      </c>
      <c r="E2" s="12" t="s">
        <v>8</v>
      </c>
      <c r="F2" s="12" t="s">
        <v>9</v>
      </c>
      <c r="G2" s="12" t="s">
        <v>10</v>
      </c>
      <c r="H2" s="12" t="s">
        <v>11</v>
      </c>
      <c r="I2" s="13" t="s">
        <v>12</v>
      </c>
      <c r="J2" s="14" t="s">
        <v>13</v>
      </c>
      <c r="K2" s="14" t="s">
        <v>14</v>
      </c>
      <c r="L2" s="14" t="s">
        <v>15</v>
      </c>
      <c r="M2" s="13" t="s">
        <v>16</v>
      </c>
      <c r="N2" s="13" t="s">
        <v>17</v>
      </c>
      <c r="O2" s="13" t="s">
        <v>18</v>
      </c>
      <c r="P2" s="15" t="s">
        <v>19</v>
      </c>
      <c r="Q2" s="15" t="s">
        <v>20</v>
      </c>
      <c r="R2" s="15" t="s">
        <v>21</v>
      </c>
      <c r="S2" s="15" t="s">
        <v>22</v>
      </c>
      <c r="T2" s="16" t="s">
        <v>16</v>
      </c>
      <c r="U2" s="16" t="s">
        <v>17</v>
      </c>
      <c r="V2" s="16" t="s">
        <v>18</v>
      </c>
      <c r="W2" s="17" t="s">
        <v>23</v>
      </c>
      <c r="X2" s="17" t="s">
        <v>24</v>
      </c>
      <c r="Y2" s="17" t="s">
        <v>25</v>
      </c>
      <c r="Z2" s="17" t="s">
        <v>26</v>
      </c>
      <c r="AA2" s="17" t="s">
        <v>27</v>
      </c>
      <c r="AB2" s="18" t="s">
        <v>16</v>
      </c>
      <c r="AC2" s="18" t="s">
        <v>17</v>
      </c>
      <c r="AD2" s="18" t="s">
        <v>18</v>
      </c>
      <c r="AE2" s="19" t="s">
        <v>28</v>
      </c>
      <c r="AF2" s="19" t="s">
        <v>29</v>
      </c>
      <c r="AG2" s="19" t="s">
        <v>30</v>
      </c>
      <c r="AH2" s="19" t="s">
        <v>31</v>
      </c>
      <c r="AI2" s="19" t="s">
        <v>32</v>
      </c>
      <c r="AJ2" s="20" t="s">
        <v>16</v>
      </c>
      <c r="AK2" s="20" t="s">
        <v>17</v>
      </c>
      <c r="AL2" s="20" t="s">
        <v>18</v>
      </c>
      <c r="AM2" s="21" t="s">
        <v>16</v>
      </c>
      <c r="AN2" s="21" t="s">
        <v>33</v>
      </c>
      <c r="AO2" s="22" t="s">
        <v>34</v>
      </c>
      <c r="AP2" s="23" t="s">
        <v>35</v>
      </c>
    </row>
    <row r="3">
      <c r="A3" s="1" t="str">
        <f>'Escoteiro 1'!C1</f>
        <v>Escoteiro 1</v>
      </c>
      <c r="B3" s="1" t="s">
        <v>36</v>
      </c>
      <c r="C3" s="1" t="s">
        <v>37</v>
      </c>
      <c r="D3" s="1" t="s">
        <v>38</v>
      </c>
      <c r="E3" s="24">
        <v>42005.0</v>
      </c>
      <c r="F3" s="10">
        <f t="shared" ref="F3:F38" si="1">DATEDIF(E3,TODAY(),"M")/12</f>
        <v>11.08333333</v>
      </c>
      <c r="G3" s="25" t="str">
        <f t="shared" ref="G3:G38" si="2">datedif(E3,today(),"Y")&amp;" a "&amp;datedif(E3,today(),"YM")&amp;" m"</f>
        <v>11 a 1 m</v>
      </c>
      <c r="H3" s="26">
        <f t="shared" ref="H3:H38" si="3">AO3-AM3</f>
        <v>1.708333333</v>
      </c>
      <c r="I3" s="27">
        <f t="shared" ref="I3:I38" si="4">INDIRECT("'"&amp;A3&amp;"'!$L$4")</f>
        <v>0</v>
      </c>
      <c r="J3" s="27">
        <f t="shared" ref="J3:J38" si="5">INDIRECT("'"&amp;A3&amp;"'!$L$5")</f>
        <v>0</v>
      </c>
      <c r="K3" s="27">
        <f t="shared" ref="K3:K38" si="6">INDIRECT("'"&amp;A3&amp;"'!$L$6")</f>
        <v>0</v>
      </c>
      <c r="L3" s="27">
        <f t="shared" ref="L3:L38" si="7">INDIRECT("'"&amp;A3&amp;"'!$L$7")</f>
        <v>0</v>
      </c>
      <c r="M3" s="28">
        <f t="shared" ref="M3:M38" si="8">sum(INDIRECT("'"&amp;A3&amp;"'!$K$4:$K$7"))</f>
        <v>0</v>
      </c>
      <c r="N3" s="28">
        <f t="shared" ref="N3:N38" si="9">sum(INDIRECT("'"&amp;A3&amp;"'!$G$4:$G$7"))</f>
        <v>23</v>
      </c>
      <c r="O3" s="27">
        <f t="shared" ref="O3:O38" si="10">average(I3:L3)</f>
        <v>0</v>
      </c>
      <c r="P3" s="29">
        <f t="shared" ref="P3:P38" si="11">INDIRECT("'"&amp;A3&amp;"'!$L$8")</f>
        <v>0</v>
      </c>
      <c r="Q3" s="29">
        <f t="shared" ref="Q3:Q38" si="12">INDIRECT("'"&amp;A3&amp;"'!$L$9")</f>
        <v>0</v>
      </c>
      <c r="R3" s="29">
        <f t="shared" ref="R3:R38" si="13">INDIRECT("'"&amp;A3&amp;"'!$L$10")</f>
        <v>0</v>
      </c>
      <c r="S3" s="29">
        <f t="shared" ref="S3:S38" si="14">INDIRECT("'"&amp;A3&amp;"'!$L$11")</f>
        <v>0</v>
      </c>
      <c r="T3" s="30">
        <f t="shared" ref="T3:T38" si="15">sum(INDIRECT("'"&amp;A3&amp;"'!$K$8:$K$11"))</f>
        <v>0</v>
      </c>
      <c r="U3" s="30">
        <f t="shared" ref="U3:U38" si="16">sum(INDIRECT("'"&amp;A3&amp;"'!$G$8:$G$11"))</f>
        <v>29</v>
      </c>
      <c r="V3" s="29">
        <f t="shared" ref="V3:V38" si="17">average(P3:S3)</f>
        <v>0</v>
      </c>
      <c r="W3" s="31">
        <f t="shared" ref="W3:W38" si="18">INDIRECT("'"&amp;A3&amp;"'!$L$12")</f>
        <v>0</v>
      </c>
      <c r="X3" s="31">
        <f t="shared" ref="X3:X38" si="19">INDIRECT("'"&amp;A3&amp;"'!$L$13")</f>
        <v>0</v>
      </c>
      <c r="Y3" s="31">
        <f t="shared" ref="Y3:Y38" si="20">INDIRECT("'"&amp;A3&amp;"'!$L$14")</f>
        <v>0</v>
      </c>
      <c r="Z3" s="31">
        <f t="shared" ref="Z3:Z38" si="21">INDIRECT("'"&amp;A3&amp;"'!$L$15")</f>
        <v>0</v>
      </c>
      <c r="AA3" s="31">
        <f t="shared" ref="AA3:AA38" si="22">INDIRECT("'"&amp;A3&amp;"'!$L$16")</f>
        <v>0</v>
      </c>
      <c r="AB3" s="32">
        <f t="shared" ref="AB3:AB38" si="23">sum(INDIRECT("'"&amp;A3&amp;"'!$K$12:$K$16"))</f>
        <v>0</v>
      </c>
      <c r="AC3" s="32">
        <f t="shared" ref="AC3:AC38" si="24">sum(INDIRECT("'"&amp;A3&amp;"'!$G$12:$G$16"))</f>
        <v>28</v>
      </c>
      <c r="AD3" s="31">
        <f t="shared" ref="AD3:AD38" si="25">average(W3:AA3)</f>
        <v>0</v>
      </c>
      <c r="AE3" s="33">
        <f t="shared" ref="AE3:AE38" si="26">INDIRECT("'"&amp;A3&amp;"'!$L$17")</f>
        <v>0</v>
      </c>
      <c r="AF3" s="33">
        <f t="shared" ref="AF3:AF38" si="27">INDIRECT("'"&amp;A3&amp;"'!$L$18")</f>
        <v>0</v>
      </c>
      <c r="AG3" s="33">
        <f t="shared" ref="AG3:AG38" si="28">INDIRECT("'"&amp;A3&amp;"'!$L$19")</f>
        <v>0</v>
      </c>
      <c r="AH3" s="33">
        <f t="shared" ref="AH3:AH38" si="29">INDIRECT("'"&amp;A3&amp;"'!$L$20")</f>
        <v>0</v>
      </c>
      <c r="AI3" s="33">
        <f t="shared" ref="AI3:AI38" si="30">INDIRECT("'"&amp;A3&amp;"'!$L$21")</f>
        <v>0</v>
      </c>
      <c r="AJ3" s="34">
        <f t="shared" ref="AJ3:AJ38" si="31">sum(INDIRECT("'"&amp;A3&amp;"'!$K$17:$K$21"))</f>
        <v>0</v>
      </c>
      <c r="AK3" s="34">
        <f t="shared" ref="AK3:AK38" si="32">sum(INDIRECT("'"&amp;A3&amp;"'!$G$17:$G$21"))</f>
        <v>30</v>
      </c>
      <c r="AL3" s="33">
        <f t="shared" ref="AL3:AL38" si="33">average(AE3:AI3)</f>
        <v>0</v>
      </c>
      <c r="AM3" s="35">
        <f t="shared" ref="AM3:AM38" si="34">M3+T3+AB3+AJ3</f>
        <v>0</v>
      </c>
      <c r="AN3" s="35">
        <f t="shared" ref="AN3:AN38" si="35">AM3/(N3+U3+AC3+AK3)</f>
        <v>0</v>
      </c>
      <c r="AO3" s="9">
        <f t="shared" ref="AO3:AO38" si="36">(N3+U3+AB3+AK3)*AP3</f>
        <v>1.708333333</v>
      </c>
      <c r="AP3" s="36">
        <f t="shared" ref="AP3:AP4" si="37">(F3-11)/4</f>
        <v>0.02083333333</v>
      </c>
    </row>
    <row r="4">
      <c r="A4" s="1" t="str">
        <f>'Escoteiro 2'!C1</f>
        <v>Escoteiro 2</v>
      </c>
      <c r="B4" s="1" t="s">
        <v>36</v>
      </c>
      <c r="C4" s="1" t="s">
        <v>39</v>
      </c>
      <c r="D4" s="1" t="s">
        <v>38</v>
      </c>
      <c r="E4" s="24">
        <v>42006.0</v>
      </c>
      <c r="F4" s="10">
        <f t="shared" si="1"/>
        <v>11.08333333</v>
      </c>
      <c r="G4" s="25" t="str">
        <f t="shared" si="2"/>
        <v>11 a 1 m</v>
      </c>
      <c r="H4" s="26">
        <f t="shared" si="3"/>
        <v>1.708333333</v>
      </c>
      <c r="I4" s="27">
        <f t="shared" si="4"/>
        <v>0</v>
      </c>
      <c r="J4" s="27">
        <f t="shared" si="5"/>
        <v>0</v>
      </c>
      <c r="K4" s="27">
        <f t="shared" si="6"/>
        <v>0</v>
      </c>
      <c r="L4" s="27">
        <f t="shared" si="7"/>
        <v>0</v>
      </c>
      <c r="M4" s="28">
        <f t="shared" si="8"/>
        <v>0</v>
      </c>
      <c r="N4" s="28">
        <f t="shared" si="9"/>
        <v>23</v>
      </c>
      <c r="O4" s="27">
        <f t="shared" si="10"/>
        <v>0</v>
      </c>
      <c r="P4" s="29">
        <f t="shared" si="11"/>
        <v>0</v>
      </c>
      <c r="Q4" s="29">
        <f t="shared" si="12"/>
        <v>0</v>
      </c>
      <c r="R4" s="29">
        <f t="shared" si="13"/>
        <v>0</v>
      </c>
      <c r="S4" s="29">
        <f t="shared" si="14"/>
        <v>0</v>
      </c>
      <c r="T4" s="30">
        <f t="shared" si="15"/>
        <v>0</v>
      </c>
      <c r="U4" s="30">
        <f t="shared" si="16"/>
        <v>29</v>
      </c>
      <c r="V4" s="29">
        <f t="shared" si="17"/>
        <v>0</v>
      </c>
      <c r="W4" s="31">
        <f t="shared" si="18"/>
        <v>0</v>
      </c>
      <c r="X4" s="31">
        <f t="shared" si="19"/>
        <v>0</v>
      </c>
      <c r="Y4" s="31">
        <f t="shared" si="20"/>
        <v>0</v>
      </c>
      <c r="Z4" s="31">
        <f t="shared" si="21"/>
        <v>0</v>
      </c>
      <c r="AA4" s="31">
        <f t="shared" si="22"/>
        <v>0</v>
      </c>
      <c r="AB4" s="32">
        <f t="shared" si="23"/>
        <v>0</v>
      </c>
      <c r="AC4" s="32">
        <f t="shared" si="24"/>
        <v>28</v>
      </c>
      <c r="AD4" s="31">
        <f t="shared" si="25"/>
        <v>0</v>
      </c>
      <c r="AE4" s="33">
        <f t="shared" si="26"/>
        <v>0</v>
      </c>
      <c r="AF4" s="33">
        <f t="shared" si="27"/>
        <v>0</v>
      </c>
      <c r="AG4" s="33">
        <f t="shared" si="28"/>
        <v>0</v>
      </c>
      <c r="AH4" s="33">
        <f t="shared" si="29"/>
        <v>0</v>
      </c>
      <c r="AI4" s="33">
        <f t="shared" si="30"/>
        <v>0</v>
      </c>
      <c r="AJ4" s="34">
        <f t="shared" si="31"/>
        <v>0</v>
      </c>
      <c r="AK4" s="34">
        <f t="shared" si="32"/>
        <v>30</v>
      </c>
      <c r="AL4" s="33">
        <f t="shared" si="33"/>
        <v>0</v>
      </c>
      <c r="AM4" s="35">
        <f t="shared" si="34"/>
        <v>0</v>
      </c>
      <c r="AN4" s="35">
        <f t="shared" si="35"/>
        <v>0</v>
      </c>
      <c r="AO4" s="9">
        <f t="shared" si="36"/>
        <v>1.708333333</v>
      </c>
      <c r="AP4" s="36">
        <f t="shared" si="37"/>
        <v>0.02083333333</v>
      </c>
    </row>
    <row r="5">
      <c r="A5" s="1" t="str">
        <f>'Escoteiro 3'!C1</f>
        <v>Escoteiro 3</v>
      </c>
      <c r="B5" s="1" t="s">
        <v>36</v>
      </c>
      <c r="C5" s="1" t="s">
        <v>40</v>
      </c>
      <c r="D5" s="1" t="s">
        <v>38</v>
      </c>
      <c r="E5" s="24">
        <v>42007.0</v>
      </c>
      <c r="F5" s="10">
        <f t="shared" si="1"/>
        <v>11.08333333</v>
      </c>
      <c r="G5" s="25" t="str">
        <f t="shared" si="2"/>
        <v>11 a 1 m</v>
      </c>
      <c r="H5" s="26">
        <f t="shared" si="3"/>
        <v>93.95833333</v>
      </c>
      <c r="I5" s="27">
        <f t="shared" si="4"/>
        <v>0</v>
      </c>
      <c r="J5" s="27">
        <f t="shared" si="5"/>
        <v>0</v>
      </c>
      <c r="K5" s="27">
        <f t="shared" si="6"/>
        <v>0</v>
      </c>
      <c r="L5" s="27">
        <f t="shared" si="7"/>
        <v>0</v>
      </c>
      <c r="M5" s="28">
        <f t="shared" si="8"/>
        <v>0</v>
      </c>
      <c r="N5" s="28">
        <f t="shared" si="9"/>
        <v>23</v>
      </c>
      <c r="O5" s="27">
        <f t="shared" si="10"/>
        <v>0</v>
      </c>
      <c r="P5" s="29">
        <f t="shared" si="11"/>
        <v>0</v>
      </c>
      <c r="Q5" s="29">
        <f t="shared" si="12"/>
        <v>0</v>
      </c>
      <c r="R5" s="29">
        <f t="shared" si="13"/>
        <v>0</v>
      </c>
      <c r="S5" s="29">
        <f t="shared" si="14"/>
        <v>0</v>
      </c>
      <c r="T5" s="30">
        <f t="shared" si="15"/>
        <v>0</v>
      </c>
      <c r="U5" s="30">
        <f t="shared" si="16"/>
        <v>29</v>
      </c>
      <c r="V5" s="29">
        <f t="shared" si="17"/>
        <v>0</v>
      </c>
      <c r="W5" s="31">
        <f t="shared" si="18"/>
        <v>0</v>
      </c>
      <c r="X5" s="31">
        <f t="shared" si="19"/>
        <v>0</v>
      </c>
      <c r="Y5" s="31">
        <f t="shared" si="20"/>
        <v>0</v>
      </c>
      <c r="Z5" s="31">
        <f t="shared" si="21"/>
        <v>0</v>
      </c>
      <c r="AA5" s="31">
        <f t="shared" si="22"/>
        <v>0</v>
      </c>
      <c r="AB5" s="32">
        <f t="shared" si="23"/>
        <v>0</v>
      </c>
      <c r="AC5" s="32">
        <f t="shared" si="24"/>
        <v>28</v>
      </c>
      <c r="AD5" s="31">
        <f t="shared" si="25"/>
        <v>0</v>
      </c>
      <c r="AE5" s="33">
        <f t="shared" si="26"/>
        <v>0</v>
      </c>
      <c r="AF5" s="33">
        <f t="shared" si="27"/>
        <v>0</v>
      </c>
      <c r="AG5" s="33">
        <f t="shared" si="28"/>
        <v>0</v>
      </c>
      <c r="AH5" s="33">
        <f t="shared" si="29"/>
        <v>0</v>
      </c>
      <c r="AI5" s="33">
        <f t="shared" si="30"/>
        <v>0</v>
      </c>
      <c r="AJ5" s="34">
        <f t="shared" si="31"/>
        <v>0</v>
      </c>
      <c r="AK5" s="34">
        <f t="shared" si="32"/>
        <v>30</v>
      </c>
      <c r="AL5" s="33">
        <f t="shared" si="33"/>
        <v>0</v>
      </c>
      <c r="AM5" s="35">
        <f t="shared" si="34"/>
        <v>0</v>
      </c>
      <c r="AN5" s="35">
        <f t="shared" si="35"/>
        <v>0</v>
      </c>
      <c r="AO5" s="9">
        <f t="shared" si="36"/>
        <v>93.95833333</v>
      </c>
      <c r="AP5" s="36">
        <f t="shared" ref="AP5:AP38" si="38">(F5-6.5)/4</f>
        <v>1.145833333</v>
      </c>
    </row>
    <row r="6">
      <c r="A6" s="1" t="str">
        <f>'Escoteiro 4'!C1</f>
        <v>Escoteiro 4</v>
      </c>
      <c r="B6" s="1" t="s">
        <v>36</v>
      </c>
      <c r="C6" s="1" t="s">
        <v>37</v>
      </c>
      <c r="D6" s="1" t="s">
        <v>41</v>
      </c>
      <c r="E6" s="24">
        <v>42008.0</v>
      </c>
      <c r="F6" s="10">
        <f t="shared" si="1"/>
        <v>11.08333333</v>
      </c>
      <c r="G6" s="25" t="str">
        <f t="shared" si="2"/>
        <v>11 a 1 m</v>
      </c>
      <c r="H6" s="26">
        <f t="shared" si="3"/>
        <v>93.95833333</v>
      </c>
      <c r="I6" s="27">
        <f t="shared" si="4"/>
        <v>0</v>
      </c>
      <c r="J6" s="27">
        <f t="shared" si="5"/>
        <v>0</v>
      </c>
      <c r="K6" s="27">
        <f t="shared" si="6"/>
        <v>0</v>
      </c>
      <c r="L6" s="27">
        <f t="shared" si="7"/>
        <v>0</v>
      </c>
      <c r="M6" s="28">
        <f t="shared" si="8"/>
        <v>0</v>
      </c>
      <c r="N6" s="28">
        <f t="shared" si="9"/>
        <v>23</v>
      </c>
      <c r="O6" s="27">
        <f t="shared" si="10"/>
        <v>0</v>
      </c>
      <c r="P6" s="29">
        <f t="shared" si="11"/>
        <v>0</v>
      </c>
      <c r="Q6" s="29">
        <f t="shared" si="12"/>
        <v>0</v>
      </c>
      <c r="R6" s="29">
        <f t="shared" si="13"/>
        <v>0</v>
      </c>
      <c r="S6" s="29">
        <f t="shared" si="14"/>
        <v>0</v>
      </c>
      <c r="T6" s="30">
        <f t="shared" si="15"/>
        <v>0</v>
      </c>
      <c r="U6" s="30">
        <f t="shared" si="16"/>
        <v>29</v>
      </c>
      <c r="V6" s="29">
        <f t="shared" si="17"/>
        <v>0</v>
      </c>
      <c r="W6" s="31">
        <f t="shared" si="18"/>
        <v>0</v>
      </c>
      <c r="X6" s="31">
        <f t="shared" si="19"/>
        <v>0</v>
      </c>
      <c r="Y6" s="31">
        <f t="shared" si="20"/>
        <v>0</v>
      </c>
      <c r="Z6" s="31">
        <f t="shared" si="21"/>
        <v>0</v>
      </c>
      <c r="AA6" s="31">
        <f t="shared" si="22"/>
        <v>0</v>
      </c>
      <c r="AB6" s="32">
        <f t="shared" si="23"/>
        <v>0</v>
      </c>
      <c r="AC6" s="32">
        <f t="shared" si="24"/>
        <v>28</v>
      </c>
      <c r="AD6" s="31">
        <f t="shared" si="25"/>
        <v>0</v>
      </c>
      <c r="AE6" s="33">
        <f t="shared" si="26"/>
        <v>0</v>
      </c>
      <c r="AF6" s="33">
        <f t="shared" si="27"/>
        <v>0</v>
      </c>
      <c r="AG6" s="33">
        <f t="shared" si="28"/>
        <v>0</v>
      </c>
      <c r="AH6" s="33">
        <f t="shared" si="29"/>
        <v>0</v>
      </c>
      <c r="AI6" s="33">
        <f t="shared" si="30"/>
        <v>0</v>
      </c>
      <c r="AJ6" s="34">
        <f t="shared" si="31"/>
        <v>0</v>
      </c>
      <c r="AK6" s="34">
        <f t="shared" si="32"/>
        <v>30</v>
      </c>
      <c r="AL6" s="33">
        <f t="shared" si="33"/>
        <v>0</v>
      </c>
      <c r="AM6" s="35">
        <f t="shared" si="34"/>
        <v>0</v>
      </c>
      <c r="AN6" s="35">
        <f t="shared" si="35"/>
        <v>0</v>
      </c>
      <c r="AO6" s="9">
        <f t="shared" si="36"/>
        <v>93.95833333</v>
      </c>
      <c r="AP6" s="36">
        <f t="shared" si="38"/>
        <v>1.145833333</v>
      </c>
    </row>
    <row r="7">
      <c r="A7" s="1" t="str">
        <f>'Escoteiro 5'!C1</f>
        <v>Escoteiro 5</v>
      </c>
      <c r="B7" s="1" t="s">
        <v>36</v>
      </c>
      <c r="C7" s="1" t="s">
        <v>39</v>
      </c>
      <c r="D7" s="1" t="s">
        <v>41</v>
      </c>
      <c r="E7" s="24">
        <v>42009.0</v>
      </c>
      <c r="F7" s="10">
        <f t="shared" si="1"/>
        <v>11.08333333</v>
      </c>
      <c r="G7" s="25" t="str">
        <f t="shared" si="2"/>
        <v>11 a 1 m</v>
      </c>
      <c r="H7" s="26">
        <f t="shared" si="3"/>
        <v>93.95833333</v>
      </c>
      <c r="I7" s="27">
        <f t="shared" si="4"/>
        <v>0</v>
      </c>
      <c r="J7" s="27">
        <f t="shared" si="5"/>
        <v>0</v>
      </c>
      <c r="K7" s="27">
        <f t="shared" si="6"/>
        <v>0</v>
      </c>
      <c r="L7" s="27">
        <f t="shared" si="7"/>
        <v>0</v>
      </c>
      <c r="M7" s="28">
        <f t="shared" si="8"/>
        <v>0</v>
      </c>
      <c r="N7" s="28">
        <f t="shared" si="9"/>
        <v>23</v>
      </c>
      <c r="O7" s="27">
        <f t="shared" si="10"/>
        <v>0</v>
      </c>
      <c r="P7" s="29">
        <f t="shared" si="11"/>
        <v>0</v>
      </c>
      <c r="Q7" s="29">
        <f t="shared" si="12"/>
        <v>0</v>
      </c>
      <c r="R7" s="29">
        <f t="shared" si="13"/>
        <v>0</v>
      </c>
      <c r="S7" s="29">
        <f t="shared" si="14"/>
        <v>0</v>
      </c>
      <c r="T7" s="30">
        <f t="shared" si="15"/>
        <v>0</v>
      </c>
      <c r="U7" s="30">
        <f t="shared" si="16"/>
        <v>29</v>
      </c>
      <c r="V7" s="29">
        <f t="shared" si="17"/>
        <v>0</v>
      </c>
      <c r="W7" s="31">
        <f t="shared" si="18"/>
        <v>0</v>
      </c>
      <c r="X7" s="31">
        <f t="shared" si="19"/>
        <v>0</v>
      </c>
      <c r="Y7" s="31">
        <f t="shared" si="20"/>
        <v>0</v>
      </c>
      <c r="Z7" s="31">
        <f t="shared" si="21"/>
        <v>0</v>
      </c>
      <c r="AA7" s="31">
        <f t="shared" si="22"/>
        <v>0</v>
      </c>
      <c r="AB7" s="32">
        <f t="shared" si="23"/>
        <v>0</v>
      </c>
      <c r="AC7" s="32">
        <f t="shared" si="24"/>
        <v>28</v>
      </c>
      <c r="AD7" s="31">
        <f t="shared" si="25"/>
        <v>0</v>
      </c>
      <c r="AE7" s="33">
        <f t="shared" si="26"/>
        <v>0</v>
      </c>
      <c r="AF7" s="33">
        <f t="shared" si="27"/>
        <v>0</v>
      </c>
      <c r="AG7" s="33">
        <f t="shared" si="28"/>
        <v>0</v>
      </c>
      <c r="AH7" s="33">
        <f t="shared" si="29"/>
        <v>0</v>
      </c>
      <c r="AI7" s="33">
        <f t="shared" si="30"/>
        <v>0</v>
      </c>
      <c r="AJ7" s="34">
        <f t="shared" si="31"/>
        <v>0</v>
      </c>
      <c r="AK7" s="34">
        <f t="shared" si="32"/>
        <v>30</v>
      </c>
      <c r="AL7" s="33">
        <f t="shared" si="33"/>
        <v>0</v>
      </c>
      <c r="AM7" s="35">
        <f t="shared" si="34"/>
        <v>0</v>
      </c>
      <c r="AN7" s="35">
        <f t="shared" si="35"/>
        <v>0</v>
      </c>
      <c r="AO7" s="9">
        <f t="shared" si="36"/>
        <v>93.95833333</v>
      </c>
      <c r="AP7" s="36">
        <f t="shared" si="38"/>
        <v>1.145833333</v>
      </c>
    </row>
    <row r="8">
      <c r="A8" s="1" t="str">
        <f>'Escoteiro 6'!C1</f>
        <v>Escoteiro 6</v>
      </c>
      <c r="B8" s="1" t="s">
        <v>42</v>
      </c>
      <c r="C8" s="1" t="s">
        <v>43</v>
      </c>
      <c r="D8" s="1" t="s">
        <v>44</v>
      </c>
      <c r="E8" s="24">
        <v>42010.0</v>
      </c>
      <c r="F8" s="10">
        <f t="shared" si="1"/>
        <v>11.08333333</v>
      </c>
      <c r="G8" s="25" t="str">
        <f t="shared" si="2"/>
        <v>11 a 1 m</v>
      </c>
      <c r="H8" s="26">
        <f t="shared" si="3"/>
        <v>93.95833333</v>
      </c>
      <c r="I8" s="27">
        <f t="shared" si="4"/>
        <v>0</v>
      </c>
      <c r="J8" s="27">
        <f t="shared" si="5"/>
        <v>0</v>
      </c>
      <c r="K8" s="27">
        <f t="shared" si="6"/>
        <v>0</v>
      </c>
      <c r="L8" s="27">
        <f t="shared" si="7"/>
        <v>0</v>
      </c>
      <c r="M8" s="28">
        <f t="shared" si="8"/>
        <v>0</v>
      </c>
      <c r="N8" s="28">
        <f t="shared" si="9"/>
        <v>23</v>
      </c>
      <c r="O8" s="27">
        <f t="shared" si="10"/>
        <v>0</v>
      </c>
      <c r="P8" s="29">
        <f t="shared" si="11"/>
        <v>0</v>
      </c>
      <c r="Q8" s="29">
        <f t="shared" si="12"/>
        <v>0</v>
      </c>
      <c r="R8" s="29">
        <f t="shared" si="13"/>
        <v>0</v>
      </c>
      <c r="S8" s="29">
        <f t="shared" si="14"/>
        <v>0</v>
      </c>
      <c r="T8" s="30">
        <f t="shared" si="15"/>
        <v>0</v>
      </c>
      <c r="U8" s="30">
        <f t="shared" si="16"/>
        <v>29</v>
      </c>
      <c r="V8" s="29">
        <f t="shared" si="17"/>
        <v>0</v>
      </c>
      <c r="W8" s="31">
        <f t="shared" si="18"/>
        <v>0</v>
      </c>
      <c r="X8" s="31">
        <f t="shared" si="19"/>
        <v>0</v>
      </c>
      <c r="Y8" s="31">
        <f t="shared" si="20"/>
        <v>0</v>
      </c>
      <c r="Z8" s="31">
        <f t="shared" si="21"/>
        <v>0</v>
      </c>
      <c r="AA8" s="31">
        <f t="shared" si="22"/>
        <v>0</v>
      </c>
      <c r="AB8" s="32">
        <f t="shared" si="23"/>
        <v>0</v>
      </c>
      <c r="AC8" s="32">
        <f t="shared" si="24"/>
        <v>28</v>
      </c>
      <c r="AD8" s="31">
        <f t="shared" si="25"/>
        <v>0</v>
      </c>
      <c r="AE8" s="33">
        <f t="shared" si="26"/>
        <v>0</v>
      </c>
      <c r="AF8" s="33">
        <f t="shared" si="27"/>
        <v>0</v>
      </c>
      <c r="AG8" s="33">
        <f t="shared" si="28"/>
        <v>0</v>
      </c>
      <c r="AH8" s="33">
        <f t="shared" si="29"/>
        <v>0</v>
      </c>
      <c r="AI8" s="33">
        <f t="shared" si="30"/>
        <v>0</v>
      </c>
      <c r="AJ8" s="34">
        <f t="shared" si="31"/>
        <v>0</v>
      </c>
      <c r="AK8" s="34">
        <f t="shared" si="32"/>
        <v>30</v>
      </c>
      <c r="AL8" s="33">
        <f t="shared" si="33"/>
        <v>0</v>
      </c>
      <c r="AM8" s="35">
        <f t="shared" si="34"/>
        <v>0</v>
      </c>
      <c r="AN8" s="35">
        <f t="shared" si="35"/>
        <v>0</v>
      </c>
      <c r="AO8" s="9">
        <f t="shared" si="36"/>
        <v>93.95833333</v>
      </c>
      <c r="AP8" s="36">
        <f t="shared" si="38"/>
        <v>1.145833333</v>
      </c>
    </row>
    <row r="9">
      <c r="A9" s="1" t="str">
        <f>'Escoteiro 7'!C1</f>
        <v>Escoteiro 7</v>
      </c>
      <c r="B9" s="1" t="s">
        <v>42</v>
      </c>
      <c r="C9" s="1" t="s">
        <v>40</v>
      </c>
      <c r="D9" s="1" t="s">
        <v>45</v>
      </c>
      <c r="E9" s="24">
        <v>42011.0</v>
      </c>
      <c r="F9" s="10">
        <f t="shared" si="1"/>
        <v>11.08333333</v>
      </c>
      <c r="G9" s="25" t="str">
        <f t="shared" si="2"/>
        <v>11 a 1 m</v>
      </c>
      <c r="H9" s="26">
        <f t="shared" si="3"/>
        <v>93.95833333</v>
      </c>
      <c r="I9" s="27">
        <f t="shared" si="4"/>
        <v>0</v>
      </c>
      <c r="J9" s="27">
        <f t="shared" si="5"/>
        <v>0</v>
      </c>
      <c r="K9" s="27">
        <f t="shared" si="6"/>
        <v>0</v>
      </c>
      <c r="L9" s="27">
        <f t="shared" si="7"/>
        <v>0</v>
      </c>
      <c r="M9" s="28">
        <f t="shared" si="8"/>
        <v>0</v>
      </c>
      <c r="N9" s="28">
        <f t="shared" si="9"/>
        <v>23</v>
      </c>
      <c r="O9" s="27">
        <f t="shared" si="10"/>
        <v>0</v>
      </c>
      <c r="P9" s="29">
        <f t="shared" si="11"/>
        <v>0</v>
      </c>
      <c r="Q9" s="29">
        <f t="shared" si="12"/>
        <v>0</v>
      </c>
      <c r="R9" s="29">
        <f t="shared" si="13"/>
        <v>0</v>
      </c>
      <c r="S9" s="29">
        <f t="shared" si="14"/>
        <v>0</v>
      </c>
      <c r="T9" s="30">
        <f t="shared" si="15"/>
        <v>0</v>
      </c>
      <c r="U9" s="30">
        <f t="shared" si="16"/>
        <v>29</v>
      </c>
      <c r="V9" s="29">
        <f t="shared" si="17"/>
        <v>0</v>
      </c>
      <c r="W9" s="31">
        <f t="shared" si="18"/>
        <v>0</v>
      </c>
      <c r="X9" s="31">
        <f t="shared" si="19"/>
        <v>0</v>
      </c>
      <c r="Y9" s="31">
        <f t="shared" si="20"/>
        <v>0</v>
      </c>
      <c r="Z9" s="31">
        <f t="shared" si="21"/>
        <v>0</v>
      </c>
      <c r="AA9" s="31">
        <f t="shared" si="22"/>
        <v>0</v>
      </c>
      <c r="AB9" s="32">
        <f t="shared" si="23"/>
        <v>0</v>
      </c>
      <c r="AC9" s="32">
        <f t="shared" si="24"/>
        <v>28</v>
      </c>
      <c r="AD9" s="31">
        <f t="shared" si="25"/>
        <v>0</v>
      </c>
      <c r="AE9" s="33">
        <f t="shared" si="26"/>
        <v>0</v>
      </c>
      <c r="AF9" s="33">
        <f t="shared" si="27"/>
        <v>0</v>
      </c>
      <c r="AG9" s="33">
        <f t="shared" si="28"/>
        <v>0</v>
      </c>
      <c r="AH9" s="33">
        <f t="shared" si="29"/>
        <v>0</v>
      </c>
      <c r="AI9" s="33">
        <f t="shared" si="30"/>
        <v>0</v>
      </c>
      <c r="AJ9" s="34">
        <f t="shared" si="31"/>
        <v>0</v>
      </c>
      <c r="AK9" s="34">
        <f t="shared" si="32"/>
        <v>30</v>
      </c>
      <c r="AL9" s="33">
        <f t="shared" si="33"/>
        <v>0</v>
      </c>
      <c r="AM9" s="35">
        <f t="shared" si="34"/>
        <v>0</v>
      </c>
      <c r="AN9" s="35">
        <f t="shared" si="35"/>
        <v>0</v>
      </c>
      <c r="AO9" s="9">
        <f t="shared" si="36"/>
        <v>93.95833333</v>
      </c>
      <c r="AP9" s="36">
        <f t="shared" si="38"/>
        <v>1.145833333</v>
      </c>
    </row>
    <row r="10">
      <c r="A10" s="1" t="str">
        <f>'Escoteiro 8'!C1</f>
        <v>Escoteiro 8</v>
      </c>
      <c r="B10" s="1" t="s">
        <v>42</v>
      </c>
      <c r="C10" s="1" t="s">
        <v>37</v>
      </c>
      <c r="D10" s="1" t="s">
        <v>45</v>
      </c>
      <c r="E10" s="24">
        <v>42012.0</v>
      </c>
      <c r="F10" s="10">
        <f t="shared" si="1"/>
        <v>11.08333333</v>
      </c>
      <c r="G10" s="25" t="str">
        <f t="shared" si="2"/>
        <v>11 a 1 m</v>
      </c>
      <c r="H10" s="26">
        <f t="shared" si="3"/>
        <v>93.95833333</v>
      </c>
      <c r="I10" s="27">
        <f t="shared" si="4"/>
        <v>0</v>
      </c>
      <c r="J10" s="27">
        <f t="shared" si="5"/>
        <v>0</v>
      </c>
      <c r="K10" s="27">
        <f t="shared" si="6"/>
        <v>0</v>
      </c>
      <c r="L10" s="27">
        <f t="shared" si="7"/>
        <v>0</v>
      </c>
      <c r="M10" s="28">
        <f t="shared" si="8"/>
        <v>0</v>
      </c>
      <c r="N10" s="28">
        <f t="shared" si="9"/>
        <v>23</v>
      </c>
      <c r="O10" s="27">
        <f t="shared" si="10"/>
        <v>0</v>
      </c>
      <c r="P10" s="29">
        <f t="shared" si="11"/>
        <v>0</v>
      </c>
      <c r="Q10" s="29">
        <f t="shared" si="12"/>
        <v>0</v>
      </c>
      <c r="R10" s="29">
        <f t="shared" si="13"/>
        <v>0</v>
      </c>
      <c r="S10" s="29">
        <f t="shared" si="14"/>
        <v>0</v>
      </c>
      <c r="T10" s="30">
        <f t="shared" si="15"/>
        <v>0</v>
      </c>
      <c r="U10" s="30">
        <f t="shared" si="16"/>
        <v>29</v>
      </c>
      <c r="V10" s="29">
        <f t="shared" si="17"/>
        <v>0</v>
      </c>
      <c r="W10" s="31">
        <f t="shared" si="18"/>
        <v>0</v>
      </c>
      <c r="X10" s="31">
        <f t="shared" si="19"/>
        <v>0</v>
      </c>
      <c r="Y10" s="31">
        <f t="shared" si="20"/>
        <v>0</v>
      </c>
      <c r="Z10" s="31">
        <f t="shared" si="21"/>
        <v>0</v>
      </c>
      <c r="AA10" s="31">
        <f t="shared" si="22"/>
        <v>0</v>
      </c>
      <c r="AB10" s="32">
        <f t="shared" si="23"/>
        <v>0</v>
      </c>
      <c r="AC10" s="32">
        <f t="shared" si="24"/>
        <v>28</v>
      </c>
      <c r="AD10" s="31">
        <f t="shared" si="25"/>
        <v>0</v>
      </c>
      <c r="AE10" s="33">
        <f t="shared" si="26"/>
        <v>0</v>
      </c>
      <c r="AF10" s="33">
        <f t="shared" si="27"/>
        <v>0</v>
      </c>
      <c r="AG10" s="33">
        <f t="shared" si="28"/>
        <v>0</v>
      </c>
      <c r="AH10" s="33">
        <f t="shared" si="29"/>
        <v>0</v>
      </c>
      <c r="AI10" s="33">
        <f t="shared" si="30"/>
        <v>0</v>
      </c>
      <c r="AJ10" s="34">
        <f t="shared" si="31"/>
        <v>0</v>
      </c>
      <c r="AK10" s="34">
        <f t="shared" si="32"/>
        <v>30</v>
      </c>
      <c r="AL10" s="33">
        <f t="shared" si="33"/>
        <v>0</v>
      </c>
      <c r="AM10" s="35">
        <f t="shared" si="34"/>
        <v>0</v>
      </c>
      <c r="AN10" s="35">
        <f t="shared" si="35"/>
        <v>0</v>
      </c>
      <c r="AO10" s="9">
        <f t="shared" si="36"/>
        <v>93.95833333</v>
      </c>
      <c r="AP10" s="36">
        <f t="shared" si="38"/>
        <v>1.145833333</v>
      </c>
    </row>
    <row r="11">
      <c r="A11" s="1" t="str">
        <f>'Escoteiro 9'!C1</f>
        <v>Escoteiro 9</v>
      </c>
      <c r="B11" s="1" t="s">
        <v>42</v>
      </c>
      <c r="C11" s="1" t="s">
        <v>40</v>
      </c>
      <c r="D11" s="1" t="s">
        <v>45</v>
      </c>
      <c r="E11" s="24">
        <v>42013.0</v>
      </c>
      <c r="F11" s="10">
        <f t="shared" si="1"/>
        <v>11.08333333</v>
      </c>
      <c r="G11" s="25" t="str">
        <f t="shared" si="2"/>
        <v>11 a 1 m</v>
      </c>
      <c r="H11" s="26">
        <f t="shared" si="3"/>
        <v>93.95833333</v>
      </c>
      <c r="I11" s="27">
        <f t="shared" si="4"/>
        <v>0</v>
      </c>
      <c r="J11" s="27">
        <f t="shared" si="5"/>
        <v>0</v>
      </c>
      <c r="K11" s="27">
        <f t="shared" si="6"/>
        <v>0</v>
      </c>
      <c r="L11" s="27">
        <f t="shared" si="7"/>
        <v>0</v>
      </c>
      <c r="M11" s="28">
        <f t="shared" si="8"/>
        <v>0</v>
      </c>
      <c r="N11" s="28">
        <f t="shared" si="9"/>
        <v>23</v>
      </c>
      <c r="O11" s="27">
        <f t="shared" si="10"/>
        <v>0</v>
      </c>
      <c r="P11" s="29">
        <f t="shared" si="11"/>
        <v>0</v>
      </c>
      <c r="Q11" s="29">
        <f t="shared" si="12"/>
        <v>0</v>
      </c>
      <c r="R11" s="29">
        <f t="shared" si="13"/>
        <v>0</v>
      </c>
      <c r="S11" s="29">
        <f t="shared" si="14"/>
        <v>0</v>
      </c>
      <c r="T11" s="30">
        <f t="shared" si="15"/>
        <v>0</v>
      </c>
      <c r="U11" s="30">
        <f t="shared" si="16"/>
        <v>29</v>
      </c>
      <c r="V11" s="29">
        <f t="shared" si="17"/>
        <v>0</v>
      </c>
      <c r="W11" s="31">
        <f t="shared" si="18"/>
        <v>0</v>
      </c>
      <c r="X11" s="31">
        <f t="shared" si="19"/>
        <v>0</v>
      </c>
      <c r="Y11" s="31">
        <f t="shared" si="20"/>
        <v>0</v>
      </c>
      <c r="Z11" s="31">
        <f t="shared" si="21"/>
        <v>0</v>
      </c>
      <c r="AA11" s="31">
        <f t="shared" si="22"/>
        <v>0</v>
      </c>
      <c r="AB11" s="32">
        <f t="shared" si="23"/>
        <v>0</v>
      </c>
      <c r="AC11" s="32">
        <f t="shared" si="24"/>
        <v>28</v>
      </c>
      <c r="AD11" s="31">
        <f t="shared" si="25"/>
        <v>0</v>
      </c>
      <c r="AE11" s="33">
        <f t="shared" si="26"/>
        <v>0</v>
      </c>
      <c r="AF11" s="33">
        <f t="shared" si="27"/>
        <v>0</v>
      </c>
      <c r="AG11" s="33">
        <f t="shared" si="28"/>
        <v>0</v>
      </c>
      <c r="AH11" s="33">
        <f t="shared" si="29"/>
        <v>0</v>
      </c>
      <c r="AI11" s="33">
        <f t="shared" si="30"/>
        <v>0</v>
      </c>
      <c r="AJ11" s="34">
        <f t="shared" si="31"/>
        <v>0</v>
      </c>
      <c r="AK11" s="34">
        <f t="shared" si="32"/>
        <v>30</v>
      </c>
      <c r="AL11" s="33">
        <f t="shared" si="33"/>
        <v>0</v>
      </c>
      <c r="AM11" s="35">
        <f t="shared" si="34"/>
        <v>0</v>
      </c>
      <c r="AN11" s="35">
        <f t="shared" si="35"/>
        <v>0</v>
      </c>
      <c r="AO11" s="9">
        <f t="shared" si="36"/>
        <v>93.95833333</v>
      </c>
      <c r="AP11" s="36">
        <f t="shared" si="38"/>
        <v>1.145833333</v>
      </c>
    </row>
    <row r="12">
      <c r="A12" s="1" t="str">
        <f>'Escoteiro 10'!C1</f>
        <v>Escoteiro 10</v>
      </c>
      <c r="B12" s="1" t="s">
        <v>46</v>
      </c>
      <c r="C12" s="1" t="s">
        <v>43</v>
      </c>
      <c r="D12" s="1" t="s">
        <v>41</v>
      </c>
      <c r="E12" s="24">
        <v>42014.0</v>
      </c>
      <c r="F12" s="10">
        <f t="shared" si="1"/>
        <v>11.08333333</v>
      </c>
      <c r="G12" s="25" t="str">
        <f t="shared" si="2"/>
        <v>11 a 1 m</v>
      </c>
      <c r="H12" s="26">
        <f t="shared" si="3"/>
        <v>93.95833333</v>
      </c>
      <c r="I12" s="27">
        <f t="shared" si="4"/>
        <v>0</v>
      </c>
      <c r="J12" s="27">
        <f t="shared" si="5"/>
        <v>0</v>
      </c>
      <c r="K12" s="27">
        <f t="shared" si="6"/>
        <v>0</v>
      </c>
      <c r="L12" s="27">
        <f t="shared" si="7"/>
        <v>0</v>
      </c>
      <c r="M12" s="28">
        <f t="shared" si="8"/>
        <v>0</v>
      </c>
      <c r="N12" s="28">
        <f t="shared" si="9"/>
        <v>23</v>
      </c>
      <c r="O12" s="27">
        <f t="shared" si="10"/>
        <v>0</v>
      </c>
      <c r="P12" s="29">
        <f t="shared" si="11"/>
        <v>0</v>
      </c>
      <c r="Q12" s="29">
        <f t="shared" si="12"/>
        <v>0</v>
      </c>
      <c r="R12" s="29">
        <f t="shared" si="13"/>
        <v>0</v>
      </c>
      <c r="S12" s="29">
        <f t="shared" si="14"/>
        <v>0</v>
      </c>
      <c r="T12" s="30">
        <f t="shared" si="15"/>
        <v>0</v>
      </c>
      <c r="U12" s="30">
        <f t="shared" si="16"/>
        <v>29</v>
      </c>
      <c r="V12" s="29">
        <f t="shared" si="17"/>
        <v>0</v>
      </c>
      <c r="W12" s="31">
        <f t="shared" si="18"/>
        <v>0</v>
      </c>
      <c r="X12" s="31">
        <f t="shared" si="19"/>
        <v>0</v>
      </c>
      <c r="Y12" s="31">
        <f t="shared" si="20"/>
        <v>0</v>
      </c>
      <c r="Z12" s="31">
        <f t="shared" si="21"/>
        <v>0</v>
      </c>
      <c r="AA12" s="31">
        <f t="shared" si="22"/>
        <v>0</v>
      </c>
      <c r="AB12" s="32">
        <f t="shared" si="23"/>
        <v>0</v>
      </c>
      <c r="AC12" s="32">
        <f t="shared" si="24"/>
        <v>28</v>
      </c>
      <c r="AD12" s="31">
        <f t="shared" si="25"/>
        <v>0</v>
      </c>
      <c r="AE12" s="33">
        <f t="shared" si="26"/>
        <v>0</v>
      </c>
      <c r="AF12" s="33">
        <f t="shared" si="27"/>
        <v>0</v>
      </c>
      <c r="AG12" s="33">
        <f t="shared" si="28"/>
        <v>0</v>
      </c>
      <c r="AH12" s="33">
        <f t="shared" si="29"/>
        <v>0</v>
      </c>
      <c r="AI12" s="33">
        <f t="shared" si="30"/>
        <v>0</v>
      </c>
      <c r="AJ12" s="34">
        <f t="shared" si="31"/>
        <v>0</v>
      </c>
      <c r="AK12" s="34">
        <f t="shared" si="32"/>
        <v>30</v>
      </c>
      <c r="AL12" s="33">
        <f t="shared" si="33"/>
        <v>0</v>
      </c>
      <c r="AM12" s="35">
        <f t="shared" si="34"/>
        <v>0</v>
      </c>
      <c r="AN12" s="35">
        <f t="shared" si="35"/>
        <v>0</v>
      </c>
      <c r="AO12" s="9">
        <f t="shared" si="36"/>
        <v>93.95833333</v>
      </c>
      <c r="AP12" s="36">
        <f t="shared" si="38"/>
        <v>1.145833333</v>
      </c>
    </row>
    <row r="13">
      <c r="A13" s="1" t="str">
        <f>'Escoteiro 11'!C1</f>
        <v>Escoteiro 11</v>
      </c>
      <c r="B13" s="1" t="s">
        <v>46</v>
      </c>
      <c r="C13" s="1" t="s">
        <v>43</v>
      </c>
      <c r="D13" s="1" t="s">
        <v>47</v>
      </c>
      <c r="E13" s="24">
        <v>42015.0</v>
      </c>
      <c r="F13" s="10">
        <f t="shared" si="1"/>
        <v>11.08333333</v>
      </c>
      <c r="G13" s="25" t="str">
        <f t="shared" si="2"/>
        <v>11 a 1 m</v>
      </c>
      <c r="H13" s="26">
        <f t="shared" si="3"/>
        <v>93.95833333</v>
      </c>
      <c r="I13" s="27">
        <f t="shared" si="4"/>
        <v>0</v>
      </c>
      <c r="J13" s="27">
        <f t="shared" si="5"/>
        <v>0</v>
      </c>
      <c r="K13" s="27">
        <f t="shared" si="6"/>
        <v>0</v>
      </c>
      <c r="L13" s="27">
        <f t="shared" si="7"/>
        <v>0</v>
      </c>
      <c r="M13" s="28">
        <f t="shared" si="8"/>
        <v>0</v>
      </c>
      <c r="N13" s="28">
        <f t="shared" si="9"/>
        <v>23</v>
      </c>
      <c r="O13" s="27">
        <f t="shared" si="10"/>
        <v>0</v>
      </c>
      <c r="P13" s="29">
        <f t="shared" si="11"/>
        <v>0</v>
      </c>
      <c r="Q13" s="29">
        <f t="shared" si="12"/>
        <v>0</v>
      </c>
      <c r="R13" s="29">
        <f t="shared" si="13"/>
        <v>0</v>
      </c>
      <c r="S13" s="29">
        <f t="shared" si="14"/>
        <v>0</v>
      </c>
      <c r="T13" s="30">
        <f t="shared" si="15"/>
        <v>0</v>
      </c>
      <c r="U13" s="30">
        <f t="shared" si="16"/>
        <v>29</v>
      </c>
      <c r="V13" s="29">
        <f t="shared" si="17"/>
        <v>0</v>
      </c>
      <c r="W13" s="31">
        <f t="shared" si="18"/>
        <v>0</v>
      </c>
      <c r="X13" s="31">
        <f t="shared" si="19"/>
        <v>0</v>
      </c>
      <c r="Y13" s="31">
        <f t="shared" si="20"/>
        <v>0</v>
      </c>
      <c r="Z13" s="31">
        <f t="shared" si="21"/>
        <v>0</v>
      </c>
      <c r="AA13" s="31">
        <f t="shared" si="22"/>
        <v>0</v>
      </c>
      <c r="AB13" s="32">
        <f t="shared" si="23"/>
        <v>0</v>
      </c>
      <c r="AC13" s="32">
        <f t="shared" si="24"/>
        <v>28</v>
      </c>
      <c r="AD13" s="31">
        <f t="shared" si="25"/>
        <v>0</v>
      </c>
      <c r="AE13" s="33">
        <f t="shared" si="26"/>
        <v>0</v>
      </c>
      <c r="AF13" s="33">
        <f t="shared" si="27"/>
        <v>0</v>
      </c>
      <c r="AG13" s="33">
        <f t="shared" si="28"/>
        <v>0</v>
      </c>
      <c r="AH13" s="33">
        <f t="shared" si="29"/>
        <v>0</v>
      </c>
      <c r="AI13" s="33">
        <f t="shared" si="30"/>
        <v>0</v>
      </c>
      <c r="AJ13" s="34">
        <f t="shared" si="31"/>
        <v>0</v>
      </c>
      <c r="AK13" s="34">
        <f t="shared" si="32"/>
        <v>30</v>
      </c>
      <c r="AL13" s="33">
        <f t="shared" si="33"/>
        <v>0</v>
      </c>
      <c r="AM13" s="35">
        <f t="shared" si="34"/>
        <v>0</v>
      </c>
      <c r="AN13" s="35">
        <f t="shared" si="35"/>
        <v>0</v>
      </c>
      <c r="AO13" s="9">
        <f t="shared" si="36"/>
        <v>93.95833333</v>
      </c>
      <c r="AP13" s="36">
        <f t="shared" si="38"/>
        <v>1.145833333</v>
      </c>
    </row>
    <row r="14">
      <c r="A14" s="1" t="str">
        <f>'Escoteiro 12'!C1</f>
        <v>Escoteiro 12</v>
      </c>
      <c r="B14" s="1" t="s">
        <v>46</v>
      </c>
      <c r="C14" s="1" t="s">
        <v>39</v>
      </c>
      <c r="D14" s="1" t="s">
        <v>47</v>
      </c>
      <c r="E14" s="24">
        <v>42016.0</v>
      </c>
      <c r="F14" s="10">
        <f t="shared" si="1"/>
        <v>11.08333333</v>
      </c>
      <c r="G14" s="25" t="str">
        <f t="shared" si="2"/>
        <v>11 a 1 m</v>
      </c>
      <c r="H14" s="26">
        <f t="shared" si="3"/>
        <v>93.95833333</v>
      </c>
      <c r="I14" s="27">
        <f t="shared" si="4"/>
        <v>0</v>
      </c>
      <c r="J14" s="27">
        <f t="shared" si="5"/>
        <v>0</v>
      </c>
      <c r="K14" s="27">
        <f t="shared" si="6"/>
        <v>0</v>
      </c>
      <c r="L14" s="27">
        <f t="shared" si="7"/>
        <v>0</v>
      </c>
      <c r="M14" s="28">
        <f t="shared" si="8"/>
        <v>0</v>
      </c>
      <c r="N14" s="28">
        <f t="shared" si="9"/>
        <v>23</v>
      </c>
      <c r="O14" s="27">
        <f t="shared" si="10"/>
        <v>0</v>
      </c>
      <c r="P14" s="29">
        <f t="shared" si="11"/>
        <v>0</v>
      </c>
      <c r="Q14" s="29">
        <f t="shared" si="12"/>
        <v>0</v>
      </c>
      <c r="R14" s="29">
        <f t="shared" si="13"/>
        <v>0</v>
      </c>
      <c r="S14" s="29">
        <f t="shared" si="14"/>
        <v>0</v>
      </c>
      <c r="T14" s="30">
        <f t="shared" si="15"/>
        <v>0</v>
      </c>
      <c r="U14" s="30">
        <f t="shared" si="16"/>
        <v>29</v>
      </c>
      <c r="V14" s="29">
        <f t="shared" si="17"/>
        <v>0</v>
      </c>
      <c r="W14" s="31">
        <f t="shared" si="18"/>
        <v>0</v>
      </c>
      <c r="X14" s="31">
        <f t="shared" si="19"/>
        <v>0</v>
      </c>
      <c r="Y14" s="31">
        <f t="shared" si="20"/>
        <v>0</v>
      </c>
      <c r="Z14" s="31">
        <f t="shared" si="21"/>
        <v>0</v>
      </c>
      <c r="AA14" s="31">
        <f t="shared" si="22"/>
        <v>0</v>
      </c>
      <c r="AB14" s="32">
        <f t="shared" si="23"/>
        <v>0</v>
      </c>
      <c r="AC14" s="32">
        <f t="shared" si="24"/>
        <v>28</v>
      </c>
      <c r="AD14" s="31">
        <f t="shared" si="25"/>
        <v>0</v>
      </c>
      <c r="AE14" s="33">
        <f t="shared" si="26"/>
        <v>0</v>
      </c>
      <c r="AF14" s="33">
        <f t="shared" si="27"/>
        <v>0</v>
      </c>
      <c r="AG14" s="33">
        <f t="shared" si="28"/>
        <v>0</v>
      </c>
      <c r="AH14" s="33">
        <f t="shared" si="29"/>
        <v>0</v>
      </c>
      <c r="AI14" s="33">
        <f t="shared" si="30"/>
        <v>0</v>
      </c>
      <c r="AJ14" s="34">
        <f t="shared" si="31"/>
        <v>0</v>
      </c>
      <c r="AK14" s="34">
        <f t="shared" si="32"/>
        <v>30</v>
      </c>
      <c r="AL14" s="33">
        <f t="shared" si="33"/>
        <v>0</v>
      </c>
      <c r="AM14" s="35">
        <f t="shared" si="34"/>
        <v>0</v>
      </c>
      <c r="AN14" s="35">
        <f t="shared" si="35"/>
        <v>0</v>
      </c>
      <c r="AO14" s="9">
        <f t="shared" si="36"/>
        <v>93.95833333</v>
      </c>
      <c r="AP14" s="36">
        <f t="shared" si="38"/>
        <v>1.145833333</v>
      </c>
    </row>
    <row r="15">
      <c r="A15" s="1" t="str">
        <f>'Escoteiro 13'!C1</f>
        <v>Escoteiro 13</v>
      </c>
      <c r="B15" s="1" t="s">
        <v>36</v>
      </c>
      <c r="C15" s="1" t="s">
        <v>37</v>
      </c>
      <c r="D15" s="1" t="s">
        <v>38</v>
      </c>
      <c r="E15" s="24">
        <v>42017.0</v>
      </c>
      <c r="F15" s="10">
        <f t="shared" si="1"/>
        <v>11.08333333</v>
      </c>
      <c r="G15" s="25" t="str">
        <f t="shared" si="2"/>
        <v>11 a 1 m</v>
      </c>
      <c r="H15" s="26">
        <f t="shared" si="3"/>
        <v>93.95833333</v>
      </c>
      <c r="I15" s="27">
        <f t="shared" si="4"/>
        <v>0</v>
      </c>
      <c r="J15" s="27">
        <f t="shared" si="5"/>
        <v>0</v>
      </c>
      <c r="K15" s="27">
        <f t="shared" si="6"/>
        <v>0</v>
      </c>
      <c r="L15" s="27">
        <f t="shared" si="7"/>
        <v>0</v>
      </c>
      <c r="M15" s="28">
        <f t="shared" si="8"/>
        <v>0</v>
      </c>
      <c r="N15" s="28">
        <f t="shared" si="9"/>
        <v>23</v>
      </c>
      <c r="O15" s="27">
        <f t="shared" si="10"/>
        <v>0</v>
      </c>
      <c r="P15" s="29">
        <f t="shared" si="11"/>
        <v>0</v>
      </c>
      <c r="Q15" s="29">
        <f t="shared" si="12"/>
        <v>0</v>
      </c>
      <c r="R15" s="29">
        <f t="shared" si="13"/>
        <v>0</v>
      </c>
      <c r="S15" s="29">
        <f t="shared" si="14"/>
        <v>0</v>
      </c>
      <c r="T15" s="30">
        <f t="shared" si="15"/>
        <v>0</v>
      </c>
      <c r="U15" s="30">
        <f t="shared" si="16"/>
        <v>29</v>
      </c>
      <c r="V15" s="29">
        <f t="shared" si="17"/>
        <v>0</v>
      </c>
      <c r="W15" s="31">
        <f t="shared" si="18"/>
        <v>0</v>
      </c>
      <c r="X15" s="31">
        <f t="shared" si="19"/>
        <v>0</v>
      </c>
      <c r="Y15" s="31">
        <f t="shared" si="20"/>
        <v>0</v>
      </c>
      <c r="Z15" s="31">
        <f t="shared" si="21"/>
        <v>0</v>
      </c>
      <c r="AA15" s="31">
        <f t="shared" si="22"/>
        <v>0</v>
      </c>
      <c r="AB15" s="32">
        <f t="shared" si="23"/>
        <v>0</v>
      </c>
      <c r="AC15" s="32">
        <f t="shared" si="24"/>
        <v>28</v>
      </c>
      <c r="AD15" s="31">
        <f t="shared" si="25"/>
        <v>0</v>
      </c>
      <c r="AE15" s="33">
        <f t="shared" si="26"/>
        <v>0</v>
      </c>
      <c r="AF15" s="33">
        <f t="shared" si="27"/>
        <v>0</v>
      </c>
      <c r="AG15" s="33">
        <f t="shared" si="28"/>
        <v>0</v>
      </c>
      <c r="AH15" s="33">
        <f t="shared" si="29"/>
        <v>0</v>
      </c>
      <c r="AI15" s="33">
        <f t="shared" si="30"/>
        <v>0</v>
      </c>
      <c r="AJ15" s="34">
        <f t="shared" si="31"/>
        <v>0</v>
      </c>
      <c r="AK15" s="34">
        <f t="shared" si="32"/>
        <v>30</v>
      </c>
      <c r="AL15" s="33">
        <f t="shared" si="33"/>
        <v>0</v>
      </c>
      <c r="AM15" s="35">
        <f t="shared" si="34"/>
        <v>0</v>
      </c>
      <c r="AN15" s="35">
        <f t="shared" si="35"/>
        <v>0</v>
      </c>
      <c r="AO15" s="9">
        <f t="shared" si="36"/>
        <v>93.95833333</v>
      </c>
      <c r="AP15" s="36">
        <f t="shared" si="38"/>
        <v>1.145833333</v>
      </c>
    </row>
    <row r="16">
      <c r="A16" s="1" t="str">
        <f>'Escoteiro 14'!C1</f>
        <v>Escoteiro 14</v>
      </c>
      <c r="B16" s="1" t="s">
        <v>36</v>
      </c>
      <c r="C16" s="1" t="s">
        <v>39</v>
      </c>
      <c r="D16" s="1" t="s">
        <v>38</v>
      </c>
      <c r="E16" s="24">
        <v>42018.0</v>
      </c>
      <c r="F16" s="10">
        <f t="shared" si="1"/>
        <v>11</v>
      </c>
      <c r="G16" s="25" t="str">
        <f t="shared" si="2"/>
        <v>11 a 0 m</v>
      </c>
      <c r="H16" s="26">
        <f t="shared" si="3"/>
        <v>92.25</v>
      </c>
      <c r="I16" s="27">
        <f t="shared" si="4"/>
        <v>0</v>
      </c>
      <c r="J16" s="27">
        <f t="shared" si="5"/>
        <v>0</v>
      </c>
      <c r="K16" s="27">
        <f t="shared" si="6"/>
        <v>0</v>
      </c>
      <c r="L16" s="27">
        <f t="shared" si="7"/>
        <v>0</v>
      </c>
      <c r="M16" s="28">
        <f t="shared" si="8"/>
        <v>0</v>
      </c>
      <c r="N16" s="28">
        <f t="shared" si="9"/>
        <v>23</v>
      </c>
      <c r="O16" s="27">
        <f t="shared" si="10"/>
        <v>0</v>
      </c>
      <c r="P16" s="29">
        <f t="shared" si="11"/>
        <v>0</v>
      </c>
      <c r="Q16" s="29">
        <f t="shared" si="12"/>
        <v>0</v>
      </c>
      <c r="R16" s="29">
        <f t="shared" si="13"/>
        <v>0</v>
      </c>
      <c r="S16" s="29">
        <f t="shared" si="14"/>
        <v>0</v>
      </c>
      <c r="T16" s="30">
        <f t="shared" si="15"/>
        <v>0</v>
      </c>
      <c r="U16" s="30">
        <f t="shared" si="16"/>
        <v>29</v>
      </c>
      <c r="V16" s="29">
        <f t="shared" si="17"/>
        <v>0</v>
      </c>
      <c r="W16" s="31">
        <f t="shared" si="18"/>
        <v>0</v>
      </c>
      <c r="X16" s="31">
        <f t="shared" si="19"/>
        <v>0</v>
      </c>
      <c r="Y16" s="31">
        <f t="shared" si="20"/>
        <v>0</v>
      </c>
      <c r="Z16" s="31">
        <f t="shared" si="21"/>
        <v>0</v>
      </c>
      <c r="AA16" s="31">
        <f t="shared" si="22"/>
        <v>0</v>
      </c>
      <c r="AB16" s="32">
        <f t="shared" si="23"/>
        <v>0</v>
      </c>
      <c r="AC16" s="32">
        <f t="shared" si="24"/>
        <v>28</v>
      </c>
      <c r="AD16" s="31">
        <f t="shared" si="25"/>
        <v>0</v>
      </c>
      <c r="AE16" s="33">
        <f t="shared" si="26"/>
        <v>0</v>
      </c>
      <c r="AF16" s="33">
        <f t="shared" si="27"/>
        <v>0</v>
      </c>
      <c r="AG16" s="33">
        <f t="shared" si="28"/>
        <v>0</v>
      </c>
      <c r="AH16" s="33">
        <f t="shared" si="29"/>
        <v>0</v>
      </c>
      <c r="AI16" s="33">
        <f t="shared" si="30"/>
        <v>0</v>
      </c>
      <c r="AJ16" s="34">
        <f t="shared" si="31"/>
        <v>0</v>
      </c>
      <c r="AK16" s="34">
        <f t="shared" si="32"/>
        <v>30</v>
      </c>
      <c r="AL16" s="33">
        <f t="shared" si="33"/>
        <v>0</v>
      </c>
      <c r="AM16" s="35">
        <f t="shared" si="34"/>
        <v>0</v>
      </c>
      <c r="AN16" s="35">
        <f t="shared" si="35"/>
        <v>0</v>
      </c>
      <c r="AO16" s="9">
        <f t="shared" si="36"/>
        <v>92.25</v>
      </c>
      <c r="AP16" s="36">
        <f t="shared" si="38"/>
        <v>1.125</v>
      </c>
    </row>
    <row r="17">
      <c r="A17" s="1" t="str">
        <f>'Escoteiro 15'!C1</f>
        <v>Escoteiro 15</v>
      </c>
      <c r="B17" s="1" t="s">
        <v>36</v>
      </c>
      <c r="C17" s="1" t="s">
        <v>40</v>
      </c>
      <c r="D17" s="1" t="s">
        <v>38</v>
      </c>
      <c r="E17" s="24">
        <v>42019.0</v>
      </c>
      <c r="F17" s="10">
        <f t="shared" si="1"/>
        <v>11</v>
      </c>
      <c r="G17" s="25" t="str">
        <f t="shared" si="2"/>
        <v>11 a 0 m</v>
      </c>
      <c r="H17" s="26">
        <f t="shared" si="3"/>
        <v>92.25</v>
      </c>
      <c r="I17" s="27">
        <f t="shared" si="4"/>
        <v>0</v>
      </c>
      <c r="J17" s="27">
        <f t="shared" si="5"/>
        <v>0</v>
      </c>
      <c r="K17" s="27">
        <f t="shared" si="6"/>
        <v>0</v>
      </c>
      <c r="L17" s="27">
        <f t="shared" si="7"/>
        <v>0</v>
      </c>
      <c r="M17" s="28">
        <f t="shared" si="8"/>
        <v>0</v>
      </c>
      <c r="N17" s="28">
        <f t="shared" si="9"/>
        <v>23</v>
      </c>
      <c r="O17" s="27">
        <f t="shared" si="10"/>
        <v>0</v>
      </c>
      <c r="P17" s="29">
        <f t="shared" si="11"/>
        <v>0</v>
      </c>
      <c r="Q17" s="29">
        <f t="shared" si="12"/>
        <v>0</v>
      </c>
      <c r="R17" s="29">
        <f t="shared" si="13"/>
        <v>0</v>
      </c>
      <c r="S17" s="29">
        <f t="shared" si="14"/>
        <v>0</v>
      </c>
      <c r="T17" s="30">
        <f t="shared" si="15"/>
        <v>0</v>
      </c>
      <c r="U17" s="30">
        <f t="shared" si="16"/>
        <v>29</v>
      </c>
      <c r="V17" s="29">
        <f t="shared" si="17"/>
        <v>0</v>
      </c>
      <c r="W17" s="31">
        <f t="shared" si="18"/>
        <v>0</v>
      </c>
      <c r="X17" s="31">
        <f t="shared" si="19"/>
        <v>0</v>
      </c>
      <c r="Y17" s="31">
        <f t="shared" si="20"/>
        <v>0</v>
      </c>
      <c r="Z17" s="31">
        <f t="shared" si="21"/>
        <v>0</v>
      </c>
      <c r="AA17" s="31">
        <f t="shared" si="22"/>
        <v>0</v>
      </c>
      <c r="AB17" s="32">
        <f t="shared" si="23"/>
        <v>0</v>
      </c>
      <c r="AC17" s="32">
        <f t="shared" si="24"/>
        <v>28</v>
      </c>
      <c r="AD17" s="31">
        <f t="shared" si="25"/>
        <v>0</v>
      </c>
      <c r="AE17" s="33">
        <f t="shared" si="26"/>
        <v>0</v>
      </c>
      <c r="AF17" s="33">
        <f t="shared" si="27"/>
        <v>0</v>
      </c>
      <c r="AG17" s="33">
        <f t="shared" si="28"/>
        <v>0</v>
      </c>
      <c r="AH17" s="33">
        <f t="shared" si="29"/>
        <v>0</v>
      </c>
      <c r="AI17" s="33">
        <f t="shared" si="30"/>
        <v>0</v>
      </c>
      <c r="AJ17" s="34">
        <f t="shared" si="31"/>
        <v>0</v>
      </c>
      <c r="AK17" s="34">
        <f t="shared" si="32"/>
        <v>30</v>
      </c>
      <c r="AL17" s="33">
        <f t="shared" si="33"/>
        <v>0</v>
      </c>
      <c r="AM17" s="35">
        <f t="shared" si="34"/>
        <v>0</v>
      </c>
      <c r="AN17" s="35">
        <f t="shared" si="35"/>
        <v>0</v>
      </c>
      <c r="AO17" s="9">
        <f t="shared" si="36"/>
        <v>92.25</v>
      </c>
      <c r="AP17" s="36">
        <f t="shared" si="38"/>
        <v>1.125</v>
      </c>
    </row>
    <row r="18">
      <c r="A18" s="1" t="str">
        <f>'Escoteiro 16'!C1</f>
        <v>Escoteiro 16</v>
      </c>
      <c r="B18" s="1" t="s">
        <v>36</v>
      </c>
      <c r="C18" s="1" t="s">
        <v>37</v>
      </c>
      <c r="D18" s="1" t="s">
        <v>38</v>
      </c>
      <c r="E18" s="24">
        <v>42020.0</v>
      </c>
      <c r="F18" s="10">
        <f t="shared" si="1"/>
        <v>11</v>
      </c>
      <c r="G18" s="25" t="str">
        <f t="shared" si="2"/>
        <v>11 a 0 m</v>
      </c>
      <c r="H18" s="26">
        <f t="shared" si="3"/>
        <v>92.25</v>
      </c>
      <c r="I18" s="27">
        <f t="shared" si="4"/>
        <v>0</v>
      </c>
      <c r="J18" s="27">
        <f t="shared" si="5"/>
        <v>0</v>
      </c>
      <c r="K18" s="27">
        <f t="shared" si="6"/>
        <v>0</v>
      </c>
      <c r="L18" s="27">
        <f t="shared" si="7"/>
        <v>0</v>
      </c>
      <c r="M18" s="28">
        <f t="shared" si="8"/>
        <v>0</v>
      </c>
      <c r="N18" s="28">
        <f t="shared" si="9"/>
        <v>23</v>
      </c>
      <c r="O18" s="27">
        <f t="shared" si="10"/>
        <v>0</v>
      </c>
      <c r="P18" s="29">
        <f t="shared" si="11"/>
        <v>0</v>
      </c>
      <c r="Q18" s="29">
        <f t="shared" si="12"/>
        <v>0</v>
      </c>
      <c r="R18" s="29">
        <f t="shared" si="13"/>
        <v>0</v>
      </c>
      <c r="S18" s="29">
        <f t="shared" si="14"/>
        <v>0</v>
      </c>
      <c r="T18" s="30">
        <f t="shared" si="15"/>
        <v>0</v>
      </c>
      <c r="U18" s="30">
        <f t="shared" si="16"/>
        <v>29</v>
      </c>
      <c r="V18" s="29">
        <f t="shared" si="17"/>
        <v>0</v>
      </c>
      <c r="W18" s="31">
        <f t="shared" si="18"/>
        <v>0</v>
      </c>
      <c r="X18" s="31">
        <f t="shared" si="19"/>
        <v>0</v>
      </c>
      <c r="Y18" s="31">
        <f t="shared" si="20"/>
        <v>0</v>
      </c>
      <c r="Z18" s="31">
        <f t="shared" si="21"/>
        <v>0</v>
      </c>
      <c r="AA18" s="31">
        <f t="shared" si="22"/>
        <v>0</v>
      </c>
      <c r="AB18" s="32">
        <f t="shared" si="23"/>
        <v>0</v>
      </c>
      <c r="AC18" s="32">
        <f t="shared" si="24"/>
        <v>28</v>
      </c>
      <c r="AD18" s="31">
        <f t="shared" si="25"/>
        <v>0</v>
      </c>
      <c r="AE18" s="33">
        <f t="shared" si="26"/>
        <v>0</v>
      </c>
      <c r="AF18" s="33">
        <f t="shared" si="27"/>
        <v>0</v>
      </c>
      <c r="AG18" s="33">
        <f t="shared" si="28"/>
        <v>0</v>
      </c>
      <c r="AH18" s="33">
        <f t="shared" si="29"/>
        <v>0</v>
      </c>
      <c r="AI18" s="33">
        <f t="shared" si="30"/>
        <v>0</v>
      </c>
      <c r="AJ18" s="34">
        <f t="shared" si="31"/>
        <v>0</v>
      </c>
      <c r="AK18" s="34">
        <f t="shared" si="32"/>
        <v>30</v>
      </c>
      <c r="AL18" s="33">
        <f t="shared" si="33"/>
        <v>0</v>
      </c>
      <c r="AM18" s="35">
        <f t="shared" si="34"/>
        <v>0</v>
      </c>
      <c r="AN18" s="35">
        <f t="shared" si="35"/>
        <v>0</v>
      </c>
      <c r="AO18" s="9">
        <f t="shared" si="36"/>
        <v>92.25</v>
      </c>
      <c r="AP18" s="36">
        <f t="shared" si="38"/>
        <v>1.125</v>
      </c>
    </row>
    <row r="19">
      <c r="A19" s="1" t="str">
        <f>'Escoteiro 17'!C1</f>
        <v>Escoteiro 17</v>
      </c>
      <c r="B19" s="1" t="s">
        <v>36</v>
      </c>
      <c r="C19" s="1" t="s">
        <v>39</v>
      </c>
      <c r="D19" s="1" t="s">
        <v>38</v>
      </c>
      <c r="E19" s="24">
        <v>42021.0</v>
      </c>
      <c r="F19" s="10">
        <f t="shared" si="1"/>
        <v>11</v>
      </c>
      <c r="G19" s="25" t="str">
        <f t="shared" si="2"/>
        <v>11 a 0 m</v>
      </c>
      <c r="H19" s="26">
        <f t="shared" si="3"/>
        <v>92.25</v>
      </c>
      <c r="I19" s="27">
        <f t="shared" si="4"/>
        <v>0</v>
      </c>
      <c r="J19" s="27">
        <f t="shared" si="5"/>
        <v>0</v>
      </c>
      <c r="K19" s="27">
        <f t="shared" si="6"/>
        <v>0</v>
      </c>
      <c r="L19" s="27">
        <f t="shared" si="7"/>
        <v>0</v>
      </c>
      <c r="M19" s="28">
        <f t="shared" si="8"/>
        <v>0</v>
      </c>
      <c r="N19" s="28">
        <f t="shared" si="9"/>
        <v>23</v>
      </c>
      <c r="O19" s="27">
        <f t="shared" si="10"/>
        <v>0</v>
      </c>
      <c r="P19" s="29">
        <f t="shared" si="11"/>
        <v>0</v>
      </c>
      <c r="Q19" s="29">
        <f t="shared" si="12"/>
        <v>0</v>
      </c>
      <c r="R19" s="29">
        <f t="shared" si="13"/>
        <v>0</v>
      </c>
      <c r="S19" s="29">
        <f t="shared" si="14"/>
        <v>0</v>
      </c>
      <c r="T19" s="30">
        <f t="shared" si="15"/>
        <v>0</v>
      </c>
      <c r="U19" s="30">
        <f t="shared" si="16"/>
        <v>29</v>
      </c>
      <c r="V19" s="29">
        <f t="shared" si="17"/>
        <v>0</v>
      </c>
      <c r="W19" s="31">
        <f t="shared" si="18"/>
        <v>0</v>
      </c>
      <c r="X19" s="31">
        <f t="shared" si="19"/>
        <v>0</v>
      </c>
      <c r="Y19" s="31">
        <f t="shared" si="20"/>
        <v>0</v>
      </c>
      <c r="Z19" s="31">
        <f t="shared" si="21"/>
        <v>0</v>
      </c>
      <c r="AA19" s="31">
        <f t="shared" si="22"/>
        <v>0</v>
      </c>
      <c r="AB19" s="32">
        <f t="shared" si="23"/>
        <v>0</v>
      </c>
      <c r="AC19" s="32">
        <f t="shared" si="24"/>
        <v>28</v>
      </c>
      <c r="AD19" s="31">
        <f t="shared" si="25"/>
        <v>0</v>
      </c>
      <c r="AE19" s="33">
        <f t="shared" si="26"/>
        <v>0</v>
      </c>
      <c r="AF19" s="33">
        <f t="shared" si="27"/>
        <v>0</v>
      </c>
      <c r="AG19" s="33">
        <f t="shared" si="28"/>
        <v>0</v>
      </c>
      <c r="AH19" s="33">
        <f t="shared" si="29"/>
        <v>0</v>
      </c>
      <c r="AI19" s="33">
        <f t="shared" si="30"/>
        <v>0</v>
      </c>
      <c r="AJ19" s="34">
        <f t="shared" si="31"/>
        <v>0</v>
      </c>
      <c r="AK19" s="34">
        <f t="shared" si="32"/>
        <v>30</v>
      </c>
      <c r="AL19" s="33">
        <f t="shared" si="33"/>
        <v>0</v>
      </c>
      <c r="AM19" s="35">
        <f t="shared" si="34"/>
        <v>0</v>
      </c>
      <c r="AN19" s="35">
        <f t="shared" si="35"/>
        <v>0</v>
      </c>
      <c r="AO19" s="9">
        <f t="shared" si="36"/>
        <v>92.25</v>
      </c>
      <c r="AP19" s="36">
        <f t="shared" si="38"/>
        <v>1.125</v>
      </c>
    </row>
    <row r="20">
      <c r="A20" s="1" t="str">
        <f>'Escoteiro 18'!C1</f>
        <v>Escoteiro 18</v>
      </c>
      <c r="B20" s="1" t="s">
        <v>42</v>
      </c>
      <c r="C20" s="1" t="s">
        <v>43</v>
      </c>
      <c r="D20" s="1" t="s">
        <v>38</v>
      </c>
      <c r="E20" s="24">
        <v>42022.0</v>
      </c>
      <c r="F20" s="10">
        <f t="shared" si="1"/>
        <v>11</v>
      </c>
      <c r="G20" s="25" t="str">
        <f t="shared" si="2"/>
        <v>11 a 0 m</v>
      </c>
      <c r="H20" s="26">
        <f t="shared" si="3"/>
        <v>92.25</v>
      </c>
      <c r="I20" s="27">
        <f t="shared" si="4"/>
        <v>0</v>
      </c>
      <c r="J20" s="27">
        <f t="shared" si="5"/>
        <v>0</v>
      </c>
      <c r="K20" s="27">
        <f t="shared" si="6"/>
        <v>0</v>
      </c>
      <c r="L20" s="27">
        <f t="shared" si="7"/>
        <v>0</v>
      </c>
      <c r="M20" s="28">
        <f t="shared" si="8"/>
        <v>0</v>
      </c>
      <c r="N20" s="28">
        <f t="shared" si="9"/>
        <v>23</v>
      </c>
      <c r="O20" s="27">
        <f t="shared" si="10"/>
        <v>0</v>
      </c>
      <c r="P20" s="29">
        <f t="shared" si="11"/>
        <v>0</v>
      </c>
      <c r="Q20" s="29">
        <f t="shared" si="12"/>
        <v>0</v>
      </c>
      <c r="R20" s="29">
        <f t="shared" si="13"/>
        <v>0</v>
      </c>
      <c r="S20" s="29">
        <f t="shared" si="14"/>
        <v>0</v>
      </c>
      <c r="T20" s="30">
        <f t="shared" si="15"/>
        <v>0</v>
      </c>
      <c r="U20" s="30">
        <f t="shared" si="16"/>
        <v>29</v>
      </c>
      <c r="V20" s="29">
        <f t="shared" si="17"/>
        <v>0</v>
      </c>
      <c r="W20" s="31">
        <f t="shared" si="18"/>
        <v>0</v>
      </c>
      <c r="X20" s="31">
        <f t="shared" si="19"/>
        <v>0</v>
      </c>
      <c r="Y20" s="31">
        <f t="shared" si="20"/>
        <v>0</v>
      </c>
      <c r="Z20" s="31">
        <f t="shared" si="21"/>
        <v>0</v>
      </c>
      <c r="AA20" s="31">
        <f t="shared" si="22"/>
        <v>0</v>
      </c>
      <c r="AB20" s="32">
        <f t="shared" si="23"/>
        <v>0</v>
      </c>
      <c r="AC20" s="32">
        <f t="shared" si="24"/>
        <v>28</v>
      </c>
      <c r="AD20" s="31">
        <f t="shared" si="25"/>
        <v>0</v>
      </c>
      <c r="AE20" s="33">
        <f t="shared" si="26"/>
        <v>0</v>
      </c>
      <c r="AF20" s="33">
        <f t="shared" si="27"/>
        <v>0</v>
      </c>
      <c r="AG20" s="33">
        <f t="shared" si="28"/>
        <v>0</v>
      </c>
      <c r="AH20" s="33">
        <f t="shared" si="29"/>
        <v>0</v>
      </c>
      <c r="AI20" s="33">
        <f t="shared" si="30"/>
        <v>0</v>
      </c>
      <c r="AJ20" s="34">
        <f t="shared" si="31"/>
        <v>0</v>
      </c>
      <c r="AK20" s="34">
        <f t="shared" si="32"/>
        <v>30</v>
      </c>
      <c r="AL20" s="33">
        <f t="shared" si="33"/>
        <v>0</v>
      </c>
      <c r="AM20" s="35">
        <f t="shared" si="34"/>
        <v>0</v>
      </c>
      <c r="AN20" s="35">
        <f t="shared" si="35"/>
        <v>0</v>
      </c>
      <c r="AO20" s="9">
        <f t="shared" si="36"/>
        <v>92.25</v>
      </c>
      <c r="AP20" s="36">
        <f t="shared" si="38"/>
        <v>1.125</v>
      </c>
    </row>
    <row r="21">
      <c r="A21" s="1" t="str">
        <f>'Escoteiro 19'!C1</f>
        <v>Escoteiro 19</v>
      </c>
      <c r="B21" s="1" t="s">
        <v>42</v>
      </c>
      <c r="C21" s="1" t="s">
        <v>40</v>
      </c>
      <c r="D21" s="1" t="s">
        <v>38</v>
      </c>
      <c r="E21" s="24">
        <v>42023.0</v>
      </c>
      <c r="F21" s="10">
        <f t="shared" si="1"/>
        <v>11</v>
      </c>
      <c r="G21" s="25" t="str">
        <f t="shared" si="2"/>
        <v>11 a 0 m</v>
      </c>
      <c r="H21" s="26">
        <f t="shared" si="3"/>
        <v>92.25</v>
      </c>
      <c r="I21" s="27">
        <f t="shared" si="4"/>
        <v>0</v>
      </c>
      <c r="J21" s="27">
        <f t="shared" si="5"/>
        <v>0</v>
      </c>
      <c r="K21" s="27">
        <f t="shared" si="6"/>
        <v>0</v>
      </c>
      <c r="L21" s="27">
        <f t="shared" si="7"/>
        <v>0</v>
      </c>
      <c r="M21" s="28">
        <f t="shared" si="8"/>
        <v>0</v>
      </c>
      <c r="N21" s="28">
        <f t="shared" si="9"/>
        <v>23</v>
      </c>
      <c r="O21" s="27">
        <f t="shared" si="10"/>
        <v>0</v>
      </c>
      <c r="P21" s="29">
        <f t="shared" si="11"/>
        <v>0</v>
      </c>
      <c r="Q21" s="29">
        <f t="shared" si="12"/>
        <v>0</v>
      </c>
      <c r="R21" s="29">
        <f t="shared" si="13"/>
        <v>0</v>
      </c>
      <c r="S21" s="29">
        <f t="shared" si="14"/>
        <v>0</v>
      </c>
      <c r="T21" s="30">
        <f t="shared" si="15"/>
        <v>0</v>
      </c>
      <c r="U21" s="30">
        <f t="shared" si="16"/>
        <v>29</v>
      </c>
      <c r="V21" s="29">
        <f t="shared" si="17"/>
        <v>0</v>
      </c>
      <c r="W21" s="31">
        <f t="shared" si="18"/>
        <v>0</v>
      </c>
      <c r="X21" s="31">
        <f t="shared" si="19"/>
        <v>0</v>
      </c>
      <c r="Y21" s="31">
        <f t="shared" si="20"/>
        <v>0</v>
      </c>
      <c r="Z21" s="31">
        <f t="shared" si="21"/>
        <v>0</v>
      </c>
      <c r="AA21" s="31">
        <f t="shared" si="22"/>
        <v>0</v>
      </c>
      <c r="AB21" s="32">
        <f t="shared" si="23"/>
        <v>0</v>
      </c>
      <c r="AC21" s="32">
        <f t="shared" si="24"/>
        <v>28</v>
      </c>
      <c r="AD21" s="31">
        <f t="shared" si="25"/>
        <v>0</v>
      </c>
      <c r="AE21" s="33">
        <f t="shared" si="26"/>
        <v>0</v>
      </c>
      <c r="AF21" s="33">
        <f t="shared" si="27"/>
        <v>0</v>
      </c>
      <c r="AG21" s="33">
        <f t="shared" si="28"/>
        <v>0</v>
      </c>
      <c r="AH21" s="33">
        <f t="shared" si="29"/>
        <v>0</v>
      </c>
      <c r="AI21" s="33">
        <f t="shared" si="30"/>
        <v>0</v>
      </c>
      <c r="AJ21" s="34">
        <f t="shared" si="31"/>
        <v>0</v>
      </c>
      <c r="AK21" s="34">
        <f t="shared" si="32"/>
        <v>30</v>
      </c>
      <c r="AL21" s="33">
        <f t="shared" si="33"/>
        <v>0</v>
      </c>
      <c r="AM21" s="35">
        <f t="shared" si="34"/>
        <v>0</v>
      </c>
      <c r="AN21" s="35">
        <f t="shared" si="35"/>
        <v>0</v>
      </c>
      <c r="AO21" s="9">
        <f t="shared" si="36"/>
        <v>92.25</v>
      </c>
      <c r="AP21" s="36">
        <f t="shared" si="38"/>
        <v>1.125</v>
      </c>
    </row>
    <row r="22">
      <c r="A22" s="1" t="str">
        <f>'Escoteiro 19'!C1</f>
        <v>Escoteiro 19</v>
      </c>
      <c r="B22" s="1" t="s">
        <v>42</v>
      </c>
      <c r="C22" s="1" t="s">
        <v>37</v>
      </c>
      <c r="D22" s="1" t="s">
        <v>38</v>
      </c>
      <c r="E22" s="24">
        <v>42024.0</v>
      </c>
      <c r="F22" s="10">
        <f t="shared" si="1"/>
        <v>11</v>
      </c>
      <c r="G22" s="25" t="str">
        <f t="shared" si="2"/>
        <v>11 a 0 m</v>
      </c>
      <c r="H22" s="26">
        <f t="shared" si="3"/>
        <v>92.25</v>
      </c>
      <c r="I22" s="27">
        <f t="shared" si="4"/>
        <v>0</v>
      </c>
      <c r="J22" s="27">
        <f t="shared" si="5"/>
        <v>0</v>
      </c>
      <c r="K22" s="27">
        <f t="shared" si="6"/>
        <v>0</v>
      </c>
      <c r="L22" s="27">
        <f t="shared" si="7"/>
        <v>0</v>
      </c>
      <c r="M22" s="28">
        <f t="shared" si="8"/>
        <v>0</v>
      </c>
      <c r="N22" s="28">
        <f t="shared" si="9"/>
        <v>23</v>
      </c>
      <c r="O22" s="27">
        <f t="shared" si="10"/>
        <v>0</v>
      </c>
      <c r="P22" s="29">
        <f t="shared" si="11"/>
        <v>0</v>
      </c>
      <c r="Q22" s="29">
        <f t="shared" si="12"/>
        <v>0</v>
      </c>
      <c r="R22" s="29">
        <f t="shared" si="13"/>
        <v>0</v>
      </c>
      <c r="S22" s="29">
        <f t="shared" si="14"/>
        <v>0</v>
      </c>
      <c r="T22" s="30">
        <f t="shared" si="15"/>
        <v>0</v>
      </c>
      <c r="U22" s="30">
        <f t="shared" si="16"/>
        <v>29</v>
      </c>
      <c r="V22" s="29">
        <f t="shared" si="17"/>
        <v>0</v>
      </c>
      <c r="W22" s="31">
        <f t="shared" si="18"/>
        <v>0</v>
      </c>
      <c r="X22" s="31">
        <f t="shared" si="19"/>
        <v>0</v>
      </c>
      <c r="Y22" s="31">
        <f t="shared" si="20"/>
        <v>0</v>
      </c>
      <c r="Z22" s="31">
        <f t="shared" si="21"/>
        <v>0</v>
      </c>
      <c r="AA22" s="31">
        <f t="shared" si="22"/>
        <v>0</v>
      </c>
      <c r="AB22" s="32">
        <f t="shared" si="23"/>
        <v>0</v>
      </c>
      <c r="AC22" s="32">
        <f t="shared" si="24"/>
        <v>28</v>
      </c>
      <c r="AD22" s="31">
        <f t="shared" si="25"/>
        <v>0</v>
      </c>
      <c r="AE22" s="33">
        <f t="shared" si="26"/>
        <v>0</v>
      </c>
      <c r="AF22" s="33">
        <f t="shared" si="27"/>
        <v>0</v>
      </c>
      <c r="AG22" s="33">
        <f t="shared" si="28"/>
        <v>0</v>
      </c>
      <c r="AH22" s="33">
        <f t="shared" si="29"/>
        <v>0</v>
      </c>
      <c r="AI22" s="33">
        <f t="shared" si="30"/>
        <v>0</v>
      </c>
      <c r="AJ22" s="34">
        <f t="shared" si="31"/>
        <v>0</v>
      </c>
      <c r="AK22" s="34">
        <f t="shared" si="32"/>
        <v>30</v>
      </c>
      <c r="AL22" s="33">
        <f t="shared" si="33"/>
        <v>0</v>
      </c>
      <c r="AM22" s="35">
        <f t="shared" si="34"/>
        <v>0</v>
      </c>
      <c r="AN22" s="35">
        <f t="shared" si="35"/>
        <v>0</v>
      </c>
      <c r="AO22" s="9">
        <f t="shared" si="36"/>
        <v>92.25</v>
      </c>
      <c r="AP22" s="36">
        <f t="shared" si="38"/>
        <v>1.125</v>
      </c>
    </row>
    <row r="23">
      <c r="A23" s="1" t="str">
        <f>'Escoteiro 21'!C1</f>
        <v>Escoteiro 21</v>
      </c>
      <c r="B23" s="1" t="s">
        <v>42</v>
      </c>
      <c r="C23" s="1" t="s">
        <v>40</v>
      </c>
      <c r="D23" s="1" t="s">
        <v>38</v>
      </c>
      <c r="E23" s="24">
        <v>42025.0</v>
      </c>
      <c r="F23" s="10">
        <f t="shared" si="1"/>
        <v>11</v>
      </c>
      <c r="G23" s="25" t="str">
        <f t="shared" si="2"/>
        <v>11 a 0 m</v>
      </c>
      <c r="H23" s="26">
        <f t="shared" si="3"/>
        <v>92.25</v>
      </c>
      <c r="I23" s="27">
        <f t="shared" si="4"/>
        <v>0</v>
      </c>
      <c r="J23" s="27">
        <f t="shared" si="5"/>
        <v>0</v>
      </c>
      <c r="K23" s="27">
        <f t="shared" si="6"/>
        <v>0</v>
      </c>
      <c r="L23" s="27">
        <f t="shared" si="7"/>
        <v>0</v>
      </c>
      <c r="M23" s="28">
        <f t="shared" si="8"/>
        <v>0</v>
      </c>
      <c r="N23" s="28">
        <f t="shared" si="9"/>
        <v>23</v>
      </c>
      <c r="O23" s="27">
        <f t="shared" si="10"/>
        <v>0</v>
      </c>
      <c r="P23" s="29">
        <f t="shared" si="11"/>
        <v>0</v>
      </c>
      <c r="Q23" s="29">
        <f t="shared" si="12"/>
        <v>0</v>
      </c>
      <c r="R23" s="29">
        <f t="shared" si="13"/>
        <v>0</v>
      </c>
      <c r="S23" s="29">
        <f t="shared" si="14"/>
        <v>0</v>
      </c>
      <c r="T23" s="30">
        <f t="shared" si="15"/>
        <v>0</v>
      </c>
      <c r="U23" s="30">
        <f t="shared" si="16"/>
        <v>29</v>
      </c>
      <c r="V23" s="29">
        <f t="shared" si="17"/>
        <v>0</v>
      </c>
      <c r="W23" s="31">
        <f t="shared" si="18"/>
        <v>0</v>
      </c>
      <c r="X23" s="31">
        <f t="shared" si="19"/>
        <v>0</v>
      </c>
      <c r="Y23" s="31">
        <f t="shared" si="20"/>
        <v>0</v>
      </c>
      <c r="Z23" s="31">
        <f t="shared" si="21"/>
        <v>0</v>
      </c>
      <c r="AA23" s="31">
        <f t="shared" si="22"/>
        <v>0</v>
      </c>
      <c r="AB23" s="32">
        <f t="shared" si="23"/>
        <v>0</v>
      </c>
      <c r="AC23" s="32">
        <f t="shared" si="24"/>
        <v>28</v>
      </c>
      <c r="AD23" s="31">
        <f t="shared" si="25"/>
        <v>0</v>
      </c>
      <c r="AE23" s="33">
        <f t="shared" si="26"/>
        <v>0</v>
      </c>
      <c r="AF23" s="33">
        <f t="shared" si="27"/>
        <v>0</v>
      </c>
      <c r="AG23" s="33">
        <f t="shared" si="28"/>
        <v>0</v>
      </c>
      <c r="AH23" s="33">
        <f t="shared" si="29"/>
        <v>0</v>
      </c>
      <c r="AI23" s="33">
        <f t="shared" si="30"/>
        <v>0</v>
      </c>
      <c r="AJ23" s="34">
        <f t="shared" si="31"/>
        <v>0</v>
      </c>
      <c r="AK23" s="34">
        <f t="shared" si="32"/>
        <v>30</v>
      </c>
      <c r="AL23" s="33">
        <f t="shared" si="33"/>
        <v>0</v>
      </c>
      <c r="AM23" s="35">
        <f t="shared" si="34"/>
        <v>0</v>
      </c>
      <c r="AN23" s="35">
        <f t="shared" si="35"/>
        <v>0</v>
      </c>
      <c r="AO23" s="9">
        <f t="shared" si="36"/>
        <v>92.25</v>
      </c>
      <c r="AP23" s="36">
        <f t="shared" si="38"/>
        <v>1.125</v>
      </c>
    </row>
    <row r="24">
      <c r="A24" s="1" t="str">
        <f>'Escoteiro 22'!C1</f>
        <v>Escoteiro 22</v>
      </c>
      <c r="B24" s="1" t="s">
        <v>46</v>
      </c>
      <c r="C24" s="1" t="s">
        <v>43</v>
      </c>
      <c r="D24" s="1" t="s">
        <v>38</v>
      </c>
      <c r="E24" s="24">
        <v>42026.0</v>
      </c>
      <c r="F24" s="10">
        <f t="shared" si="1"/>
        <v>11</v>
      </c>
      <c r="G24" s="25" t="str">
        <f t="shared" si="2"/>
        <v>11 a 0 m</v>
      </c>
      <c r="H24" s="26">
        <f t="shared" si="3"/>
        <v>92.25</v>
      </c>
      <c r="I24" s="27">
        <f t="shared" si="4"/>
        <v>0</v>
      </c>
      <c r="J24" s="27">
        <f t="shared" si="5"/>
        <v>0</v>
      </c>
      <c r="K24" s="27">
        <f t="shared" si="6"/>
        <v>0</v>
      </c>
      <c r="L24" s="27">
        <f t="shared" si="7"/>
        <v>0</v>
      </c>
      <c r="M24" s="28">
        <f t="shared" si="8"/>
        <v>0</v>
      </c>
      <c r="N24" s="28">
        <f t="shared" si="9"/>
        <v>23</v>
      </c>
      <c r="O24" s="27">
        <f t="shared" si="10"/>
        <v>0</v>
      </c>
      <c r="P24" s="29">
        <f t="shared" si="11"/>
        <v>0</v>
      </c>
      <c r="Q24" s="29">
        <f t="shared" si="12"/>
        <v>0</v>
      </c>
      <c r="R24" s="29">
        <f t="shared" si="13"/>
        <v>0</v>
      </c>
      <c r="S24" s="29">
        <f t="shared" si="14"/>
        <v>0</v>
      </c>
      <c r="T24" s="30">
        <f t="shared" si="15"/>
        <v>0</v>
      </c>
      <c r="U24" s="30">
        <f t="shared" si="16"/>
        <v>29</v>
      </c>
      <c r="V24" s="29">
        <f t="shared" si="17"/>
        <v>0</v>
      </c>
      <c r="W24" s="31">
        <f t="shared" si="18"/>
        <v>0</v>
      </c>
      <c r="X24" s="31">
        <f t="shared" si="19"/>
        <v>0</v>
      </c>
      <c r="Y24" s="31">
        <f t="shared" si="20"/>
        <v>0</v>
      </c>
      <c r="Z24" s="31">
        <f t="shared" si="21"/>
        <v>0</v>
      </c>
      <c r="AA24" s="31">
        <f t="shared" si="22"/>
        <v>0</v>
      </c>
      <c r="AB24" s="32">
        <f t="shared" si="23"/>
        <v>0</v>
      </c>
      <c r="AC24" s="32">
        <f t="shared" si="24"/>
        <v>28</v>
      </c>
      <c r="AD24" s="31">
        <f t="shared" si="25"/>
        <v>0</v>
      </c>
      <c r="AE24" s="33">
        <f t="shared" si="26"/>
        <v>0</v>
      </c>
      <c r="AF24" s="33">
        <f t="shared" si="27"/>
        <v>0</v>
      </c>
      <c r="AG24" s="33">
        <f t="shared" si="28"/>
        <v>0</v>
      </c>
      <c r="AH24" s="33">
        <f t="shared" si="29"/>
        <v>0</v>
      </c>
      <c r="AI24" s="33">
        <f t="shared" si="30"/>
        <v>0</v>
      </c>
      <c r="AJ24" s="34">
        <f t="shared" si="31"/>
        <v>0</v>
      </c>
      <c r="AK24" s="34">
        <f t="shared" si="32"/>
        <v>30</v>
      </c>
      <c r="AL24" s="33">
        <f t="shared" si="33"/>
        <v>0</v>
      </c>
      <c r="AM24" s="35">
        <f t="shared" si="34"/>
        <v>0</v>
      </c>
      <c r="AN24" s="35">
        <f t="shared" si="35"/>
        <v>0</v>
      </c>
      <c r="AO24" s="9">
        <f t="shared" si="36"/>
        <v>92.25</v>
      </c>
      <c r="AP24" s="36">
        <f t="shared" si="38"/>
        <v>1.125</v>
      </c>
    </row>
    <row r="25">
      <c r="A25" s="1" t="str">
        <f>'Escoteiro 23'!C1</f>
        <v>Escoteiro 23</v>
      </c>
      <c r="B25" s="1" t="s">
        <v>46</v>
      </c>
      <c r="C25" s="1" t="s">
        <v>43</v>
      </c>
      <c r="D25" s="1" t="s">
        <v>38</v>
      </c>
      <c r="E25" s="24">
        <v>42027.0</v>
      </c>
      <c r="F25" s="10">
        <f t="shared" si="1"/>
        <v>11</v>
      </c>
      <c r="G25" s="25" t="str">
        <f t="shared" si="2"/>
        <v>11 a 0 m</v>
      </c>
      <c r="H25" s="26">
        <f t="shared" si="3"/>
        <v>92.25</v>
      </c>
      <c r="I25" s="27">
        <f t="shared" si="4"/>
        <v>0</v>
      </c>
      <c r="J25" s="27">
        <f t="shared" si="5"/>
        <v>0</v>
      </c>
      <c r="K25" s="27">
        <f t="shared" si="6"/>
        <v>0</v>
      </c>
      <c r="L25" s="27">
        <f t="shared" si="7"/>
        <v>0</v>
      </c>
      <c r="M25" s="28">
        <f t="shared" si="8"/>
        <v>0</v>
      </c>
      <c r="N25" s="28">
        <f t="shared" si="9"/>
        <v>23</v>
      </c>
      <c r="O25" s="27">
        <f t="shared" si="10"/>
        <v>0</v>
      </c>
      <c r="P25" s="29">
        <f t="shared" si="11"/>
        <v>0</v>
      </c>
      <c r="Q25" s="29">
        <f t="shared" si="12"/>
        <v>0</v>
      </c>
      <c r="R25" s="29">
        <f t="shared" si="13"/>
        <v>0</v>
      </c>
      <c r="S25" s="29">
        <f t="shared" si="14"/>
        <v>0</v>
      </c>
      <c r="T25" s="30">
        <f t="shared" si="15"/>
        <v>0</v>
      </c>
      <c r="U25" s="30">
        <f t="shared" si="16"/>
        <v>29</v>
      </c>
      <c r="V25" s="29">
        <f t="shared" si="17"/>
        <v>0</v>
      </c>
      <c r="W25" s="31">
        <f t="shared" si="18"/>
        <v>0</v>
      </c>
      <c r="X25" s="31">
        <f t="shared" si="19"/>
        <v>0</v>
      </c>
      <c r="Y25" s="31">
        <f t="shared" si="20"/>
        <v>0</v>
      </c>
      <c r="Z25" s="31">
        <f t="shared" si="21"/>
        <v>0</v>
      </c>
      <c r="AA25" s="31">
        <f t="shared" si="22"/>
        <v>0</v>
      </c>
      <c r="AB25" s="32">
        <f t="shared" si="23"/>
        <v>0</v>
      </c>
      <c r="AC25" s="32">
        <f t="shared" si="24"/>
        <v>28</v>
      </c>
      <c r="AD25" s="31">
        <f t="shared" si="25"/>
        <v>0</v>
      </c>
      <c r="AE25" s="33">
        <f t="shared" si="26"/>
        <v>0</v>
      </c>
      <c r="AF25" s="33">
        <f t="shared" si="27"/>
        <v>0</v>
      </c>
      <c r="AG25" s="33">
        <f t="shared" si="28"/>
        <v>0</v>
      </c>
      <c r="AH25" s="33">
        <f t="shared" si="29"/>
        <v>0</v>
      </c>
      <c r="AI25" s="33">
        <f t="shared" si="30"/>
        <v>0</v>
      </c>
      <c r="AJ25" s="34">
        <f t="shared" si="31"/>
        <v>0</v>
      </c>
      <c r="AK25" s="34">
        <f t="shared" si="32"/>
        <v>30</v>
      </c>
      <c r="AL25" s="33">
        <f t="shared" si="33"/>
        <v>0</v>
      </c>
      <c r="AM25" s="35">
        <f t="shared" si="34"/>
        <v>0</v>
      </c>
      <c r="AN25" s="35">
        <f t="shared" si="35"/>
        <v>0</v>
      </c>
      <c r="AO25" s="9">
        <f t="shared" si="36"/>
        <v>92.25</v>
      </c>
      <c r="AP25" s="36">
        <f t="shared" si="38"/>
        <v>1.125</v>
      </c>
    </row>
    <row r="26">
      <c r="A26" s="1" t="str">
        <f>'Escoteiro 24'!C1</f>
        <v>Escoteiro 24</v>
      </c>
      <c r="B26" s="1" t="s">
        <v>46</v>
      </c>
      <c r="C26" s="1" t="s">
        <v>39</v>
      </c>
      <c r="D26" s="1" t="s">
        <v>38</v>
      </c>
      <c r="E26" s="24">
        <v>42028.0</v>
      </c>
      <c r="F26" s="10">
        <f t="shared" si="1"/>
        <v>11</v>
      </c>
      <c r="G26" s="25" t="str">
        <f t="shared" si="2"/>
        <v>11 a 0 m</v>
      </c>
      <c r="H26" s="26">
        <f t="shared" si="3"/>
        <v>92.25</v>
      </c>
      <c r="I26" s="27">
        <f t="shared" si="4"/>
        <v>0</v>
      </c>
      <c r="J26" s="27">
        <f t="shared" si="5"/>
        <v>0</v>
      </c>
      <c r="K26" s="27">
        <f t="shared" si="6"/>
        <v>0</v>
      </c>
      <c r="L26" s="27">
        <f t="shared" si="7"/>
        <v>0</v>
      </c>
      <c r="M26" s="28">
        <f t="shared" si="8"/>
        <v>0</v>
      </c>
      <c r="N26" s="28">
        <f t="shared" si="9"/>
        <v>23</v>
      </c>
      <c r="O26" s="27">
        <f t="shared" si="10"/>
        <v>0</v>
      </c>
      <c r="P26" s="29">
        <f t="shared" si="11"/>
        <v>0</v>
      </c>
      <c r="Q26" s="29">
        <f t="shared" si="12"/>
        <v>0</v>
      </c>
      <c r="R26" s="29">
        <f t="shared" si="13"/>
        <v>0</v>
      </c>
      <c r="S26" s="29">
        <f t="shared" si="14"/>
        <v>0</v>
      </c>
      <c r="T26" s="30">
        <f t="shared" si="15"/>
        <v>0</v>
      </c>
      <c r="U26" s="30">
        <f t="shared" si="16"/>
        <v>29</v>
      </c>
      <c r="V26" s="29">
        <f t="shared" si="17"/>
        <v>0</v>
      </c>
      <c r="W26" s="31">
        <f t="shared" si="18"/>
        <v>0</v>
      </c>
      <c r="X26" s="31">
        <f t="shared" si="19"/>
        <v>0</v>
      </c>
      <c r="Y26" s="31">
        <f t="shared" si="20"/>
        <v>0</v>
      </c>
      <c r="Z26" s="31">
        <f t="shared" si="21"/>
        <v>0</v>
      </c>
      <c r="AA26" s="31">
        <f t="shared" si="22"/>
        <v>0</v>
      </c>
      <c r="AB26" s="32">
        <f t="shared" si="23"/>
        <v>0</v>
      </c>
      <c r="AC26" s="32">
        <f t="shared" si="24"/>
        <v>28</v>
      </c>
      <c r="AD26" s="31">
        <f t="shared" si="25"/>
        <v>0</v>
      </c>
      <c r="AE26" s="33">
        <f t="shared" si="26"/>
        <v>0</v>
      </c>
      <c r="AF26" s="33">
        <f t="shared" si="27"/>
        <v>0</v>
      </c>
      <c r="AG26" s="33">
        <f t="shared" si="28"/>
        <v>0</v>
      </c>
      <c r="AH26" s="33">
        <f t="shared" si="29"/>
        <v>0</v>
      </c>
      <c r="AI26" s="33">
        <f t="shared" si="30"/>
        <v>0</v>
      </c>
      <c r="AJ26" s="34">
        <f t="shared" si="31"/>
        <v>0</v>
      </c>
      <c r="AK26" s="34">
        <f t="shared" si="32"/>
        <v>30</v>
      </c>
      <c r="AL26" s="33">
        <f t="shared" si="33"/>
        <v>0</v>
      </c>
      <c r="AM26" s="35">
        <f t="shared" si="34"/>
        <v>0</v>
      </c>
      <c r="AN26" s="35">
        <f t="shared" si="35"/>
        <v>0</v>
      </c>
      <c r="AO26" s="9">
        <f t="shared" si="36"/>
        <v>92.25</v>
      </c>
      <c r="AP26" s="36">
        <f t="shared" si="38"/>
        <v>1.125</v>
      </c>
    </row>
    <row r="27">
      <c r="A27" s="1" t="str">
        <f>'Escoteiro 24'!C1</f>
        <v>Escoteiro 24</v>
      </c>
      <c r="B27" s="1" t="s">
        <v>36</v>
      </c>
      <c r="C27" s="1" t="s">
        <v>37</v>
      </c>
      <c r="D27" s="1" t="s">
        <v>38</v>
      </c>
      <c r="E27" s="24">
        <v>42029.0</v>
      </c>
      <c r="F27" s="10">
        <f t="shared" si="1"/>
        <v>11</v>
      </c>
      <c r="G27" s="25" t="str">
        <f t="shared" si="2"/>
        <v>11 a 0 m</v>
      </c>
      <c r="H27" s="26">
        <f t="shared" si="3"/>
        <v>92.25</v>
      </c>
      <c r="I27" s="27">
        <f t="shared" si="4"/>
        <v>0</v>
      </c>
      <c r="J27" s="27">
        <f t="shared" si="5"/>
        <v>0</v>
      </c>
      <c r="K27" s="27">
        <f t="shared" si="6"/>
        <v>0</v>
      </c>
      <c r="L27" s="27">
        <f t="shared" si="7"/>
        <v>0</v>
      </c>
      <c r="M27" s="28">
        <f t="shared" si="8"/>
        <v>0</v>
      </c>
      <c r="N27" s="28">
        <f t="shared" si="9"/>
        <v>23</v>
      </c>
      <c r="O27" s="27">
        <f t="shared" si="10"/>
        <v>0</v>
      </c>
      <c r="P27" s="29">
        <f t="shared" si="11"/>
        <v>0</v>
      </c>
      <c r="Q27" s="29">
        <f t="shared" si="12"/>
        <v>0</v>
      </c>
      <c r="R27" s="29">
        <f t="shared" si="13"/>
        <v>0</v>
      </c>
      <c r="S27" s="29">
        <f t="shared" si="14"/>
        <v>0</v>
      </c>
      <c r="T27" s="30">
        <f t="shared" si="15"/>
        <v>0</v>
      </c>
      <c r="U27" s="30">
        <f t="shared" si="16"/>
        <v>29</v>
      </c>
      <c r="V27" s="29">
        <f t="shared" si="17"/>
        <v>0</v>
      </c>
      <c r="W27" s="31">
        <f t="shared" si="18"/>
        <v>0</v>
      </c>
      <c r="X27" s="31">
        <f t="shared" si="19"/>
        <v>0</v>
      </c>
      <c r="Y27" s="31">
        <f t="shared" si="20"/>
        <v>0</v>
      </c>
      <c r="Z27" s="31">
        <f t="shared" si="21"/>
        <v>0</v>
      </c>
      <c r="AA27" s="31">
        <f t="shared" si="22"/>
        <v>0</v>
      </c>
      <c r="AB27" s="32">
        <f t="shared" si="23"/>
        <v>0</v>
      </c>
      <c r="AC27" s="32">
        <f t="shared" si="24"/>
        <v>28</v>
      </c>
      <c r="AD27" s="31">
        <f t="shared" si="25"/>
        <v>0</v>
      </c>
      <c r="AE27" s="33">
        <f t="shared" si="26"/>
        <v>0</v>
      </c>
      <c r="AF27" s="33">
        <f t="shared" si="27"/>
        <v>0</v>
      </c>
      <c r="AG27" s="33">
        <f t="shared" si="28"/>
        <v>0</v>
      </c>
      <c r="AH27" s="33">
        <f t="shared" si="29"/>
        <v>0</v>
      </c>
      <c r="AI27" s="33">
        <f t="shared" si="30"/>
        <v>0</v>
      </c>
      <c r="AJ27" s="34">
        <f t="shared" si="31"/>
        <v>0</v>
      </c>
      <c r="AK27" s="34">
        <f t="shared" si="32"/>
        <v>30</v>
      </c>
      <c r="AL27" s="33">
        <f t="shared" si="33"/>
        <v>0</v>
      </c>
      <c r="AM27" s="35">
        <f t="shared" si="34"/>
        <v>0</v>
      </c>
      <c r="AN27" s="35">
        <f t="shared" si="35"/>
        <v>0</v>
      </c>
      <c r="AO27" s="9">
        <f t="shared" si="36"/>
        <v>92.25</v>
      </c>
      <c r="AP27" s="36">
        <f t="shared" si="38"/>
        <v>1.125</v>
      </c>
    </row>
    <row r="28">
      <c r="A28" s="1" t="str">
        <f>'Escoteiro 26'!C1</f>
        <v>Escoteiro 26</v>
      </c>
      <c r="B28" s="1" t="s">
        <v>36</v>
      </c>
      <c r="C28" s="1" t="s">
        <v>39</v>
      </c>
      <c r="D28" s="1" t="s">
        <v>38</v>
      </c>
      <c r="E28" s="24">
        <v>42030.0</v>
      </c>
      <c r="F28" s="10">
        <f t="shared" si="1"/>
        <v>11</v>
      </c>
      <c r="G28" s="25" t="str">
        <f t="shared" si="2"/>
        <v>11 a 0 m</v>
      </c>
      <c r="H28" s="26">
        <f t="shared" si="3"/>
        <v>92.25</v>
      </c>
      <c r="I28" s="27">
        <f t="shared" si="4"/>
        <v>0</v>
      </c>
      <c r="J28" s="27">
        <f t="shared" si="5"/>
        <v>0</v>
      </c>
      <c r="K28" s="27">
        <f t="shared" si="6"/>
        <v>0</v>
      </c>
      <c r="L28" s="27">
        <f t="shared" si="7"/>
        <v>0</v>
      </c>
      <c r="M28" s="28">
        <f t="shared" si="8"/>
        <v>0</v>
      </c>
      <c r="N28" s="28">
        <f t="shared" si="9"/>
        <v>23</v>
      </c>
      <c r="O28" s="27">
        <f t="shared" si="10"/>
        <v>0</v>
      </c>
      <c r="P28" s="29">
        <f t="shared" si="11"/>
        <v>0</v>
      </c>
      <c r="Q28" s="29">
        <f t="shared" si="12"/>
        <v>0</v>
      </c>
      <c r="R28" s="29">
        <f t="shared" si="13"/>
        <v>0</v>
      </c>
      <c r="S28" s="29">
        <f t="shared" si="14"/>
        <v>0</v>
      </c>
      <c r="T28" s="30">
        <f t="shared" si="15"/>
        <v>0</v>
      </c>
      <c r="U28" s="30">
        <f t="shared" si="16"/>
        <v>29</v>
      </c>
      <c r="V28" s="29">
        <f t="shared" si="17"/>
        <v>0</v>
      </c>
      <c r="W28" s="31">
        <f t="shared" si="18"/>
        <v>0</v>
      </c>
      <c r="X28" s="31">
        <f t="shared" si="19"/>
        <v>0</v>
      </c>
      <c r="Y28" s="31">
        <f t="shared" si="20"/>
        <v>0</v>
      </c>
      <c r="Z28" s="31">
        <f t="shared" si="21"/>
        <v>0</v>
      </c>
      <c r="AA28" s="31">
        <f t="shared" si="22"/>
        <v>0</v>
      </c>
      <c r="AB28" s="32">
        <f t="shared" si="23"/>
        <v>0</v>
      </c>
      <c r="AC28" s="32">
        <f t="shared" si="24"/>
        <v>28</v>
      </c>
      <c r="AD28" s="31">
        <f t="shared" si="25"/>
        <v>0</v>
      </c>
      <c r="AE28" s="33">
        <f t="shared" si="26"/>
        <v>0</v>
      </c>
      <c r="AF28" s="33">
        <f t="shared" si="27"/>
        <v>0</v>
      </c>
      <c r="AG28" s="33">
        <f t="shared" si="28"/>
        <v>0</v>
      </c>
      <c r="AH28" s="33">
        <f t="shared" si="29"/>
        <v>0</v>
      </c>
      <c r="AI28" s="33">
        <f t="shared" si="30"/>
        <v>0</v>
      </c>
      <c r="AJ28" s="34">
        <f t="shared" si="31"/>
        <v>0</v>
      </c>
      <c r="AK28" s="34">
        <f t="shared" si="32"/>
        <v>30</v>
      </c>
      <c r="AL28" s="33">
        <f t="shared" si="33"/>
        <v>0</v>
      </c>
      <c r="AM28" s="35">
        <f t="shared" si="34"/>
        <v>0</v>
      </c>
      <c r="AN28" s="35">
        <f t="shared" si="35"/>
        <v>0</v>
      </c>
      <c r="AO28" s="9">
        <f t="shared" si="36"/>
        <v>92.25</v>
      </c>
      <c r="AP28" s="36">
        <f t="shared" si="38"/>
        <v>1.125</v>
      </c>
    </row>
    <row r="29">
      <c r="A29" s="1" t="str">
        <f>'Escoteiro 27'!C1</f>
        <v>Escoteiro 27</v>
      </c>
      <c r="B29" s="1" t="s">
        <v>36</v>
      </c>
      <c r="C29" s="1" t="s">
        <v>40</v>
      </c>
      <c r="D29" s="1" t="s">
        <v>38</v>
      </c>
      <c r="E29" s="24">
        <v>42031.0</v>
      </c>
      <c r="F29" s="10">
        <f t="shared" si="1"/>
        <v>11</v>
      </c>
      <c r="G29" s="25" t="str">
        <f t="shared" si="2"/>
        <v>11 a 0 m</v>
      </c>
      <c r="H29" s="26">
        <f t="shared" si="3"/>
        <v>92.25</v>
      </c>
      <c r="I29" s="27">
        <f t="shared" si="4"/>
        <v>0</v>
      </c>
      <c r="J29" s="27">
        <f t="shared" si="5"/>
        <v>0</v>
      </c>
      <c r="K29" s="27">
        <f t="shared" si="6"/>
        <v>0</v>
      </c>
      <c r="L29" s="27">
        <f t="shared" si="7"/>
        <v>0</v>
      </c>
      <c r="M29" s="28">
        <f t="shared" si="8"/>
        <v>0</v>
      </c>
      <c r="N29" s="28">
        <f t="shared" si="9"/>
        <v>23</v>
      </c>
      <c r="O29" s="27">
        <f t="shared" si="10"/>
        <v>0</v>
      </c>
      <c r="P29" s="29">
        <f t="shared" si="11"/>
        <v>0</v>
      </c>
      <c r="Q29" s="29">
        <f t="shared" si="12"/>
        <v>0</v>
      </c>
      <c r="R29" s="29">
        <f t="shared" si="13"/>
        <v>0</v>
      </c>
      <c r="S29" s="29">
        <f t="shared" si="14"/>
        <v>0</v>
      </c>
      <c r="T29" s="30">
        <f t="shared" si="15"/>
        <v>0</v>
      </c>
      <c r="U29" s="30">
        <f t="shared" si="16"/>
        <v>29</v>
      </c>
      <c r="V29" s="29">
        <f t="shared" si="17"/>
        <v>0</v>
      </c>
      <c r="W29" s="31">
        <f t="shared" si="18"/>
        <v>0</v>
      </c>
      <c r="X29" s="31">
        <f t="shared" si="19"/>
        <v>0</v>
      </c>
      <c r="Y29" s="31">
        <f t="shared" si="20"/>
        <v>0</v>
      </c>
      <c r="Z29" s="31">
        <f t="shared" si="21"/>
        <v>0</v>
      </c>
      <c r="AA29" s="31">
        <f t="shared" si="22"/>
        <v>0</v>
      </c>
      <c r="AB29" s="32">
        <f t="shared" si="23"/>
        <v>0</v>
      </c>
      <c r="AC29" s="32">
        <f t="shared" si="24"/>
        <v>28</v>
      </c>
      <c r="AD29" s="31">
        <f t="shared" si="25"/>
        <v>0</v>
      </c>
      <c r="AE29" s="33">
        <f t="shared" si="26"/>
        <v>0</v>
      </c>
      <c r="AF29" s="33">
        <f t="shared" si="27"/>
        <v>0</v>
      </c>
      <c r="AG29" s="33">
        <f t="shared" si="28"/>
        <v>0</v>
      </c>
      <c r="AH29" s="33">
        <f t="shared" si="29"/>
        <v>0</v>
      </c>
      <c r="AI29" s="33">
        <f t="shared" si="30"/>
        <v>0</v>
      </c>
      <c r="AJ29" s="34">
        <f t="shared" si="31"/>
        <v>0</v>
      </c>
      <c r="AK29" s="34">
        <f t="shared" si="32"/>
        <v>30</v>
      </c>
      <c r="AL29" s="33">
        <f t="shared" si="33"/>
        <v>0</v>
      </c>
      <c r="AM29" s="35">
        <f t="shared" si="34"/>
        <v>0</v>
      </c>
      <c r="AN29" s="35">
        <f t="shared" si="35"/>
        <v>0</v>
      </c>
      <c r="AO29" s="9">
        <f t="shared" si="36"/>
        <v>92.25</v>
      </c>
      <c r="AP29" s="36">
        <f t="shared" si="38"/>
        <v>1.125</v>
      </c>
    </row>
    <row r="30">
      <c r="A30" s="1" t="str">
        <f>'Escoteiro 28'!C1</f>
        <v>Escoteiro 28</v>
      </c>
      <c r="B30" s="1" t="s">
        <v>36</v>
      </c>
      <c r="C30" s="1" t="s">
        <v>37</v>
      </c>
      <c r="D30" s="1" t="s">
        <v>38</v>
      </c>
      <c r="E30" s="24">
        <v>42032.0</v>
      </c>
      <c r="F30" s="10">
        <f t="shared" si="1"/>
        <v>11</v>
      </c>
      <c r="G30" s="25" t="str">
        <f t="shared" si="2"/>
        <v>11 a 0 m</v>
      </c>
      <c r="H30" s="26">
        <f t="shared" si="3"/>
        <v>92.25</v>
      </c>
      <c r="I30" s="27">
        <f t="shared" si="4"/>
        <v>0</v>
      </c>
      <c r="J30" s="27">
        <f t="shared" si="5"/>
        <v>0</v>
      </c>
      <c r="K30" s="27">
        <f t="shared" si="6"/>
        <v>0</v>
      </c>
      <c r="L30" s="27">
        <f t="shared" si="7"/>
        <v>0</v>
      </c>
      <c r="M30" s="28">
        <f t="shared" si="8"/>
        <v>0</v>
      </c>
      <c r="N30" s="28">
        <f t="shared" si="9"/>
        <v>23</v>
      </c>
      <c r="O30" s="27">
        <f t="shared" si="10"/>
        <v>0</v>
      </c>
      <c r="P30" s="29">
        <f t="shared" si="11"/>
        <v>0</v>
      </c>
      <c r="Q30" s="29">
        <f t="shared" si="12"/>
        <v>0</v>
      </c>
      <c r="R30" s="29">
        <f t="shared" si="13"/>
        <v>0</v>
      </c>
      <c r="S30" s="29">
        <f t="shared" si="14"/>
        <v>0</v>
      </c>
      <c r="T30" s="30">
        <f t="shared" si="15"/>
        <v>0</v>
      </c>
      <c r="U30" s="30">
        <f t="shared" si="16"/>
        <v>29</v>
      </c>
      <c r="V30" s="29">
        <f t="shared" si="17"/>
        <v>0</v>
      </c>
      <c r="W30" s="31">
        <f t="shared" si="18"/>
        <v>0</v>
      </c>
      <c r="X30" s="31">
        <f t="shared" si="19"/>
        <v>0</v>
      </c>
      <c r="Y30" s="31">
        <f t="shared" si="20"/>
        <v>0</v>
      </c>
      <c r="Z30" s="31">
        <f t="shared" si="21"/>
        <v>0</v>
      </c>
      <c r="AA30" s="31">
        <f t="shared" si="22"/>
        <v>0</v>
      </c>
      <c r="AB30" s="32">
        <f t="shared" si="23"/>
        <v>0</v>
      </c>
      <c r="AC30" s="32">
        <f t="shared" si="24"/>
        <v>28</v>
      </c>
      <c r="AD30" s="31">
        <f t="shared" si="25"/>
        <v>0</v>
      </c>
      <c r="AE30" s="33">
        <f t="shared" si="26"/>
        <v>0</v>
      </c>
      <c r="AF30" s="33">
        <f t="shared" si="27"/>
        <v>0</v>
      </c>
      <c r="AG30" s="33">
        <f t="shared" si="28"/>
        <v>0</v>
      </c>
      <c r="AH30" s="33">
        <f t="shared" si="29"/>
        <v>0</v>
      </c>
      <c r="AI30" s="33">
        <f t="shared" si="30"/>
        <v>0</v>
      </c>
      <c r="AJ30" s="34">
        <f t="shared" si="31"/>
        <v>0</v>
      </c>
      <c r="AK30" s="34">
        <f t="shared" si="32"/>
        <v>30</v>
      </c>
      <c r="AL30" s="33">
        <f t="shared" si="33"/>
        <v>0</v>
      </c>
      <c r="AM30" s="35">
        <f t="shared" si="34"/>
        <v>0</v>
      </c>
      <c r="AN30" s="35">
        <f t="shared" si="35"/>
        <v>0</v>
      </c>
      <c r="AO30" s="9">
        <f t="shared" si="36"/>
        <v>92.25</v>
      </c>
      <c r="AP30" s="36">
        <f t="shared" si="38"/>
        <v>1.125</v>
      </c>
    </row>
    <row r="31">
      <c r="A31" s="1" t="str">
        <f>'Escoteiro 29'!C1</f>
        <v>Escoteiro 29</v>
      </c>
      <c r="B31" s="1" t="s">
        <v>36</v>
      </c>
      <c r="C31" s="1" t="s">
        <v>39</v>
      </c>
      <c r="D31" s="1" t="s">
        <v>38</v>
      </c>
      <c r="E31" s="24">
        <v>42033.0</v>
      </c>
      <c r="F31" s="10">
        <f t="shared" si="1"/>
        <v>11</v>
      </c>
      <c r="G31" s="25" t="str">
        <f t="shared" si="2"/>
        <v>11 a 0 m</v>
      </c>
      <c r="H31" s="26">
        <f t="shared" si="3"/>
        <v>92.25</v>
      </c>
      <c r="I31" s="27">
        <f t="shared" si="4"/>
        <v>0</v>
      </c>
      <c r="J31" s="27">
        <f t="shared" si="5"/>
        <v>0</v>
      </c>
      <c r="K31" s="27">
        <f t="shared" si="6"/>
        <v>0</v>
      </c>
      <c r="L31" s="27">
        <f t="shared" si="7"/>
        <v>0</v>
      </c>
      <c r="M31" s="28">
        <f t="shared" si="8"/>
        <v>0</v>
      </c>
      <c r="N31" s="28">
        <f t="shared" si="9"/>
        <v>23</v>
      </c>
      <c r="O31" s="27">
        <f t="shared" si="10"/>
        <v>0</v>
      </c>
      <c r="P31" s="29">
        <f t="shared" si="11"/>
        <v>0</v>
      </c>
      <c r="Q31" s="29">
        <f t="shared" si="12"/>
        <v>0</v>
      </c>
      <c r="R31" s="29">
        <f t="shared" si="13"/>
        <v>0</v>
      </c>
      <c r="S31" s="29">
        <f t="shared" si="14"/>
        <v>0</v>
      </c>
      <c r="T31" s="30">
        <f t="shared" si="15"/>
        <v>0</v>
      </c>
      <c r="U31" s="30">
        <f t="shared" si="16"/>
        <v>29</v>
      </c>
      <c r="V31" s="29">
        <f t="shared" si="17"/>
        <v>0</v>
      </c>
      <c r="W31" s="31">
        <f t="shared" si="18"/>
        <v>0</v>
      </c>
      <c r="X31" s="31">
        <f t="shared" si="19"/>
        <v>0</v>
      </c>
      <c r="Y31" s="31">
        <f t="shared" si="20"/>
        <v>0</v>
      </c>
      <c r="Z31" s="31">
        <f t="shared" si="21"/>
        <v>0</v>
      </c>
      <c r="AA31" s="31">
        <f t="shared" si="22"/>
        <v>0</v>
      </c>
      <c r="AB31" s="32">
        <f t="shared" si="23"/>
        <v>0</v>
      </c>
      <c r="AC31" s="32">
        <f t="shared" si="24"/>
        <v>28</v>
      </c>
      <c r="AD31" s="31">
        <f t="shared" si="25"/>
        <v>0</v>
      </c>
      <c r="AE31" s="33">
        <f t="shared" si="26"/>
        <v>0</v>
      </c>
      <c r="AF31" s="33">
        <f t="shared" si="27"/>
        <v>0</v>
      </c>
      <c r="AG31" s="33">
        <f t="shared" si="28"/>
        <v>0</v>
      </c>
      <c r="AH31" s="33">
        <f t="shared" si="29"/>
        <v>0</v>
      </c>
      <c r="AI31" s="33">
        <f t="shared" si="30"/>
        <v>0</v>
      </c>
      <c r="AJ31" s="34">
        <f t="shared" si="31"/>
        <v>0</v>
      </c>
      <c r="AK31" s="34">
        <f t="shared" si="32"/>
        <v>30</v>
      </c>
      <c r="AL31" s="33">
        <f t="shared" si="33"/>
        <v>0</v>
      </c>
      <c r="AM31" s="35">
        <f t="shared" si="34"/>
        <v>0</v>
      </c>
      <c r="AN31" s="35">
        <f t="shared" si="35"/>
        <v>0</v>
      </c>
      <c r="AO31" s="9">
        <f t="shared" si="36"/>
        <v>92.25</v>
      </c>
      <c r="AP31" s="36">
        <f t="shared" si="38"/>
        <v>1.125</v>
      </c>
    </row>
    <row r="32">
      <c r="A32" s="1" t="str">
        <f>'Escoteiro 30'!C1</f>
        <v>Escoteiro 30</v>
      </c>
      <c r="B32" s="1" t="s">
        <v>42</v>
      </c>
      <c r="C32" s="1" t="s">
        <v>43</v>
      </c>
      <c r="D32" s="1" t="s">
        <v>38</v>
      </c>
      <c r="E32" s="24">
        <v>42034.0</v>
      </c>
      <c r="F32" s="10">
        <f t="shared" si="1"/>
        <v>11</v>
      </c>
      <c r="G32" s="25" t="str">
        <f t="shared" si="2"/>
        <v>11 a 0 m</v>
      </c>
      <c r="H32" s="26">
        <f t="shared" si="3"/>
        <v>92.25</v>
      </c>
      <c r="I32" s="27">
        <f t="shared" si="4"/>
        <v>0</v>
      </c>
      <c r="J32" s="27">
        <f t="shared" si="5"/>
        <v>0</v>
      </c>
      <c r="K32" s="27">
        <f t="shared" si="6"/>
        <v>0</v>
      </c>
      <c r="L32" s="27">
        <f t="shared" si="7"/>
        <v>0</v>
      </c>
      <c r="M32" s="28">
        <f t="shared" si="8"/>
        <v>0</v>
      </c>
      <c r="N32" s="28">
        <f t="shared" si="9"/>
        <v>23</v>
      </c>
      <c r="O32" s="27">
        <f t="shared" si="10"/>
        <v>0</v>
      </c>
      <c r="P32" s="29">
        <f t="shared" si="11"/>
        <v>0</v>
      </c>
      <c r="Q32" s="29">
        <f t="shared" si="12"/>
        <v>0</v>
      </c>
      <c r="R32" s="29">
        <f t="shared" si="13"/>
        <v>0</v>
      </c>
      <c r="S32" s="29">
        <f t="shared" si="14"/>
        <v>0</v>
      </c>
      <c r="T32" s="30">
        <f t="shared" si="15"/>
        <v>0</v>
      </c>
      <c r="U32" s="30">
        <f t="shared" si="16"/>
        <v>29</v>
      </c>
      <c r="V32" s="29">
        <f t="shared" si="17"/>
        <v>0</v>
      </c>
      <c r="W32" s="31">
        <f t="shared" si="18"/>
        <v>0</v>
      </c>
      <c r="X32" s="31">
        <f t="shared" si="19"/>
        <v>0</v>
      </c>
      <c r="Y32" s="31">
        <f t="shared" si="20"/>
        <v>0</v>
      </c>
      <c r="Z32" s="31">
        <f t="shared" si="21"/>
        <v>0</v>
      </c>
      <c r="AA32" s="31">
        <f t="shared" si="22"/>
        <v>0</v>
      </c>
      <c r="AB32" s="32">
        <f t="shared" si="23"/>
        <v>0</v>
      </c>
      <c r="AC32" s="32">
        <f t="shared" si="24"/>
        <v>28</v>
      </c>
      <c r="AD32" s="31">
        <f t="shared" si="25"/>
        <v>0</v>
      </c>
      <c r="AE32" s="33">
        <f t="shared" si="26"/>
        <v>0</v>
      </c>
      <c r="AF32" s="33">
        <f t="shared" si="27"/>
        <v>0</v>
      </c>
      <c r="AG32" s="33">
        <f t="shared" si="28"/>
        <v>0</v>
      </c>
      <c r="AH32" s="33">
        <f t="shared" si="29"/>
        <v>0</v>
      </c>
      <c r="AI32" s="33">
        <f t="shared" si="30"/>
        <v>0</v>
      </c>
      <c r="AJ32" s="34">
        <f t="shared" si="31"/>
        <v>0</v>
      </c>
      <c r="AK32" s="34">
        <f t="shared" si="32"/>
        <v>30</v>
      </c>
      <c r="AL32" s="33">
        <f t="shared" si="33"/>
        <v>0</v>
      </c>
      <c r="AM32" s="35">
        <f t="shared" si="34"/>
        <v>0</v>
      </c>
      <c r="AN32" s="35">
        <f t="shared" si="35"/>
        <v>0</v>
      </c>
      <c r="AO32" s="9">
        <f t="shared" si="36"/>
        <v>92.25</v>
      </c>
      <c r="AP32" s="36">
        <f t="shared" si="38"/>
        <v>1.125</v>
      </c>
    </row>
    <row r="33">
      <c r="A33" s="1" t="str">
        <f>'Escoteiro 31'!C1</f>
        <v>Escoteiro 31</v>
      </c>
      <c r="B33" s="1" t="s">
        <v>42</v>
      </c>
      <c r="C33" s="1" t="s">
        <v>40</v>
      </c>
      <c r="D33" s="1" t="s">
        <v>38</v>
      </c>
      <c r="E33" s="24">
        <v>42035.0</v>
      </c>
      <c r="F33" s="10">
        <f t="shared" si="1"/>
        <v>11</v>
      </c>
      <c r="G33" s="25" t="str">
        <f t="shared" si="2"/>
        <v>11 a 0 m</v>
      </c>
      <c r="H33" s="26">
        <f t="shared" si="3"/>
        <v>92.25</v>
      </c>
      <c r="I33" s="27">
        <f t="shared" si="4"/>
        <v>0</v>
      </c>
      <c r="J33" s="27">
        <f t="shared" si="5"/>
        <v>0</v>
      </c>
      <c r="K33" s="27">
        <f t="shared" si="6"/>
        <v>0</v>
      </c>
      <c r="L33" s="27">
        <f t="shared" si="7"/>
        <v>0</v>
      </c>
      <c r="M33" s="28">
        <f t="shared" si="8"/>
        <v>0</v>
      </c>
      <c r="N33" s="28">
        <f t="shared" si="9"/>
        <v>23</v>
      </c>
      <c r="O33" s="27">
        <f t="shared" si="10"/>
        <v>0</v>
      </c>
      <c r="P33" s="29">
        <f t="shared" si="11"/>
        <v>0</v>
      </c>
      <c r="Q33" s="29">
        <f t="shared" si="12"/>
        <v>0</v>
      </c>
      <c r="R33" s="29">
        <f t="shared" si="13"/>
        <v>0</v>
      </c>
      <c r="S33" s="29">
        <f t="shared" si="14"/>
        <v>0</v>
      </c>
      <c r="T33" s="30">
        <f t="shared" si="15"/>
        <v>0</v>
      </c>
      <c r="U33" s="30">
        <f t="shared" si="16"/>
        <v>29</v>
      </c>
      <c r="V33" s="29">
        <f t="shared" si="17"/>
        <v>0</v>
      </c>
      <c r="W33" s="31">
        <f t="shared" si="18"/>
        <v>0</v>
      </c>
      <c r="X33" s="31">
        <f t="shared" si="19"/>
        <v>0</v>
      </c>
      <c r="Y33" s="31">
        <f t="shared" si="20"/>
        <v>0</v>
      </c>
      <c r="Z33" s="31">
        <f t="shared" si="21"/>
        <v>0</v>
      </c>
      <c r="AA33" s="31">
        <f t="shared" si="22"/>
        <v>0</v>
      </c>
      <c r="AB33" s="32">
        <f t="shared" si="23"/>
        <v>0</v>
      </c>
      <c r="AC33" s="32">
        <f t="shared" si="24"/>
        <v>28</v>
      </c>
      <c r="AD33" s="31">
        <f t="shared" si="25"/>
        <v>0</v>
      </c>
      <c r="AE33" s="33">
        <f t="shared" si="26"/>
        <v>0</v>
      </c>
      <c r="AF33" s="33">
        <f t="shared" si="27"/>
        <v>0</v>
      </c>
      <c r="AG33" s="33">
        <f t="shared" si="28"/>
        <v>0</v>
      </c>
      <c r="AH33" s="33">
        <f t="shared" si="29"/>
        <v>0</v>
      </c>
      <c r="AI33" s="33">
        <f t="shared" si="30"/>
        <v>0</v>
      </c>
      <c r="AJ33" s="34">
        <f t="shared" si="31"/>
        <v>0</v>
      </c>
      <c r="AK33" s="34">
        <f t="shared" si="32"/>
        <v>30</v>
      </c>
      <c r="AL33" s="33">
        <f t="shared" si="33"/>
        <v>0</v>
      </c>
      <c r="AM33" s="35">
        <f t="shared" si="34"/>
        <v>0</v>
      </c>
      <c r="AN33" s="35">
        <f t="shared" si="35"/>
        <v>0</v>
      </c>
      <c r="AO33" s="9">
        <f t="shared" si="36"/>
        <v>92.25</v>
      </c>
      <c r="AP33" s="36">
        <f t="shared" si="38"/>
        <v>1.125</v>
      </c>
    </row>
    <row r="34">
      <c r="A34" s="1" t="str">
        <f>'Escoteiro 32'!C1</f>
        <v>Escoteiro 32</v>
      </c>
      <c r="B34" s="1" t="s">
        <v>42</v>
      </c>
      <c r="C34" s="1" t="s">
        <v>37</v>
      </c>
      <c r="D34" s="1" t="s">
        <v>38</v>
      </c>
      <c r="E34" s="24">
        <v>42036.0</v>
      </c>
      <c r="F34" s="10">
        <f t="shared" si="1"/>
        <v>11</v>
      </c>
      <c r="G34" s="25" t="str">
        <f t="shared" si="2"/>
        <v>11 a 0 m</v>
      </c>
      <c r="H34" s="26">
        <f t="shared" si="3"/>
        <v>92.25</v>
      </c>
      <c r="I34" s="27">
        <f t="shared" si="4"/>
        <v>0</v>
      </c>
      <c r="J34" s="27">
        <f t="shared" si="5"/>
        <v>0</v>
      </c>
      <c r="K34" s="27">
        <f t="shared" si="6"/>
        <v>0</v>
      </c>
      <c r="L34" s="27">
        <f t="shared" si="7"/>
        <v>0</v>
      </c>
      <c r="M34" s="28">
        <f t="shared" si="8"/>
        <v>0</v>
      </c>
      <c r="N34" s="28">
        <f t="shared" si="9"/>
        <v>23</v>
      </c>
      <c r="O34" s="27">
        <f t="shared" si="10"/>
        <v>0</v>
      </c>
      <c r="P34" s="29">
        <f t="shared" si="11"/>
        <v>0</v>
      </c>
      <c r="Q34" s="29">
        <f t="shared" si="12"/>
        <v>0</v>
      </c>
      <c r="R34" s="29">
        <f t="shared" si="13"/>
        <v>0</v>
      </c>
      <c r="S34" s="29">
        <f t="shared" si="14"/>
        <v>0</v>
      </c>
      <c r="T34" s="30">
        <f t="shared" si="15"/>
        <v>0</v>
      </c>
      <c r="U34" s="30">
        <f t="shared" si="16"/>
        <v>29</v>
      </c>
      <c r="V34" s="29">
        <f t="shared" si="17"/>
        <v>0</v>
      </c>
      <c r="W34" s="31">
        <f t="shared" si="18"/>
        <v>0</v>
      </c>
      <c r="X34" s="31">
        <f t="shared" si="19"/>
        <v>0</v>
      </c>
      <c r="Y34" s="31">
        <f t="shared" si="20"/>
        <v>0</v>
      </c>
      <c r="Z34" s="31">
        <f t="shared" si="21"/>
        <v>0</v>
      </c>
      <c r="AA34" s="31">
        <f t="shared" si="22"/>
        <v>0</v>
      </c>
      <c r="AB34" s="32">
        <f t="shared" si="23"/>
        <v>0</v>
      </c>
      <c r="AC34" s="32">
        <f t="shared" si="24"/>
        <v>28</v>
      </c>
      <c r="AD34" s="31">
        <f t="shared" si="25"/>
        <v>0</v>
      </c>
      <c r="AE34" s="33">
        <f t="shared" si="26"/>
        <v>0</v>
      </c>
      <c r="AF34" s="33">
        <f t="shared" si="27"/>
        <v>0</v>
      </c>
      <c r="AG34" s="33">
        <f t="shared" si="28"/>
        <v>0</v>
      </c>
      <c r="AH34" s="33">
        <f t="shared" si="29"/>
        <v>0</v>
      </c>
      <c r="AI34" s="33">
        <f t="shared" si="30"/>
        <v>0</v>
      </c>
      <c r="AJ34" s="34">
        <f t="shared" si="31"/>
        <v>0</v>
      </c>
      <c r="AK34" s="34">
        <f t="shared" si="32"/>
        <v>30</v>
      </c>
      <c r="AL34" s="33">
        <f t="shared" si="33"/>
        <v>0</v>
      </c>
      <c r="AM34" s="35">
        <f t="shared" si="34"/>
        <v>0</v>
      </c>
      <c r="AN34" s="35">
        <f t="shared" si="35"/>
        <v>0</v>
      </c>
      <c r="AO34" s="9">
        <f t="shared" si="36"/>
        <v>92.25</v>
      </c>
      <c r="AP34" s="36">
        <f t="shared" si="38"/>
        <v>1.125</v>
      </c>
    </row>
    <row r="35">
      <c r="A35" s="1" t="str">
        <f>'Escoteiro 33'!C1</f>
        <v>Escoteiro 33</v>
      </c>
      <c r="B35" s="1" t="s">
        <v>42</v>
      </c>
      <c r="C35" s="1" t="s">
        <v>40</v>
      </c>
      <c r="D35" s="1" t="s">
        <v>38</v>
      </c>
      <c r="E35" s="24">
        <v>42037.0</v>
      </c>
      <c r="F35" s="10">
        <f t="shared" si="1"/>
        <v>11</v>
      </c>
      <c r="G35" s="25" t="str">
        <f t="shared" si="2"/>
        <v>11 a 0 m</v>
      </c>
      <c r="H35" s="26">
        <f t="shared" si="3"/>
        <v>92.25</v>
      </c>
      <c r="I35" s="27">
        <f t="shared" si="4"/>
        <v>0</v>
      </c>
      <c r="J35" s="27">
        <f t="shared" si="5"/>
        <v>0</v>
      </c>
      <c r="K35" s="27">
        <f t="shared" si="6"/>
        <v>0</v>
      </c>
      <c r="L35" s="27">
        <f t="shared" si="7"/>
        <v>0</v>
      </c>
      <c r="M35" s="28">
        <f t="shared" si="8"/>
        <v>0</v>
      </c>
      <c r="N35" s="28">
        <f t="shared" si="9"/>
        <v>23</v>
      </c>
      <c r="O35" s="27">
        <f t="shared" si="10"/>
        <v>0</v>
      </c>
      <c r="P35" s="29">
        <f t="shared" si="11"/>
        <v>0</v>
      </c>
      <c r="Q35" s="29">
        <f t="shared" si="12"/>
        <v>0</v>
      </c>
      <c r="R35" s="29">
        <f t="shared" si="13"/>
        <v>0</v>
      </c>
      <c r="S35" s="29">
        <f t="shared" si="14"/>
        <v>0</v>
      </c>
      <c r="T35" s="30">
        <f t="shared" si="15"/>
        <v>0</v>
      </c>
      <c r="U35" s="30">
        <f t="shared" si="16"/>
        <v>29</v>
      </c>
      <c r="V35" s="29">
        <f t="shared" si="17"/>
        <v>0</v>
      </c>
      <c r="W35" s="31">
        <f t="shared" si="18"/>
        <v>0</v>
      </c>
      <c r="X35" s="31">
        <f t="shared" si="19"/>
        <v>0</v>
      </c>
      <c r="Y35" s="31">
        <f t="shared" si="20"/>
        <v>0</v>
      </c>
      <c r="Z35" s="31">
        <f t="shared" si="21"/>
        <v>0</v>
      </c>
      <c r="AA35" s="31">
        <f t="shared" si="22"/>
        <v>0</v>
      </c>
      <c r="AB35" s="32">
        <f t="shared" si="23"/>
        <v>0</v>
      </c>
      <c r="AC35" s="32">
        <f t="shared" si="24"/>
        <v>28</v>
      </c>
      <c r="AD35" s="31">
        <f t="shared" si="25"/>
        <v>0</v>
      </c>
      <c r="AE35" s="33">
        <f t="shared" si="26"/>
        <v>0</v>
      </c>
      <c r="AF35" s="33">
        <f t="shared" si="27"/>
        <v>0</v>
      </c>
      <c r="AG35" s="33">
        <f t="shared" si="28"/>
        <v>0</v>
      </c>
      <c r="AH35" s="33">
        <f t="shared" si="29"/>
        <v>0</v>
      </c>
      <c r="AI35" s="33">
        <f t="shared" si="30"/>
        <v>0</v>
      </c>
      <c r="AJ35" s="34">
        <f t="shared" si="31"/>
        <v>0</v>
      </c>
      <c r="AK35" s="34">
        <f t="shared" si="32"/>
        <v>30</v>
      </c>
      <c r="AL35" s="33">
        <f t="shared" si="33"/>
        <v>0</v>
      </c>
      <c r="AM35" s="35">
        <f t="shared" si="34"/>
        <v>0</v>
      </c>
      <c r="AN35" s="35">
        <f t="shared" si="35"/>
        <v>0</v>
      </c>
      <c r="AO35" s="9">
        <f t="shared" si="36"/>
        <v>92.25</v>
      </c>
      <c r="AP35" s="36">
        <f t="shared" si="38"/>
        <v>1.125</v>
      </c>
    </row>
    <row r="36">
      <c r="A36" s="1" t="str">
        <f>'Escoteiro 34'!C1</f>
        <v>Escoteiro 34</v>
      </c>
      <c r="B36" s="1" t="s">
        <v>46</v>
      </c>
      <c r="C36" s="1" t="s">
        <v>43</v>
      </c>
      <c r="D36" s="1" t="s">
        <v>38</v>
      </c>
      <c r="E36" s="24">
        <v>42038.0</v>
      </c>
      <c r="F36" s="10">
        <f t="shared" si="1"/>
        <v>11</v>
      </c>
      <c r="G36" s="25" t="str">
        <f t="shared" si="2"/>
        <v>11 a 0 m</v>
      </c>
      <c r="H36" s="26">
        <f t="shared" si="3"/>
        <v>92.25</v>
      </c>
      <c r="I36" s="27">
        <f t="shared" si="4"/>
        <v>0</v>
      </c>
      <c r="J36" s="27">
        <f t="shared" si="5"/>
        <v>0</v>
      </c>
      <c r="K36" s="27">
        <f t="shared" si="6"/>
        <v>0</v>
      </c>
      <c r="L36" s="27">
        <f t="shared" si="7"/>
        <v>0</v>
      </c>
      <c r="M36" s="28">
        <f t="shared" si="8"/>
        <v>0</v>
      </c>
      <c r="N36" s="28">
        <f t="shared" si="9"/>
        <v>23</v>
      </c>
      <c r="O36" s="27">
        <f t="shared" si="10"/>
        <v>0</v>
      </c>
      <c r="P36" s="29">
        <f t="shared" si="11"/>
        <v>0</v>
      </c>
      <c r="Q36" s="29">
        <f t="shared" si="12"/>
        <v>0</v>
      </c>
      <c r="R36" s="29">
        <f t="shared" si="13"/>
        <v>0</v>
      </c>
      <c r="S36" s="29">
        <f t="shared" si="14"/>
        <v>0</v>
      </c>
      <c r="T36" s="30">
        <f t="shared" si="15"/>
        <v>0</v>
      </c>
      <c r="U36" s="30">
        <f t="shared" si="16"/>
        <v>29</v>
      </c>
      <c r="V36" s="29">
        <f t="shared" si="17"/>
        <v>0</v>
      </c>
      <c r="W36" s="31">
        <f t="shared" si="18"/>
        <v>0</v>
      </c>
      <c r="X36" s="31">
        <f t="shared" si="19"/>
        <v>0</v>
      </c>
      <c r="Y36" s="31">
        <f t="shared" si="20"/>
        <v>0</v>
      </c>
      <c r="Z36" s="31">
        <f t="shared" si="21"/>
        <v>0</v>
      </c>
      <c r="AA36" s="31">
        <f t="shared" si="22"/>
        <v>0</v>
      </c>
      <c r="AB36" s="32">
        <f t="shared" si="23"/>
        <v>0</v>
      </c>
      <c r="AC36" s="32">
        <f t="shared" si="24"/>
        <v>28</v>
      </c>
      <c r="AD36" s="31">
        <f t="shared" si="25"/>
        <v>0</v>
      </c>
      <c r="AE36" s="33">
        <f t="shared" si="26"/>
        <v>0</v>
      </c>
      <c r="AF36" s="33">
        <f t="shared" si="27"/>
        <v>0</v>
      </c>
      <c r="AG36" s="33">
        <f t="shared" si="28"/>
        <v>0</v>
      </c>
      <c r="AH36" s="33">
        <f t="shared" si="29"/>
        <v>0</v>
      </c>
      <c r="AI36" s="33">
        <f t="shared" si="30"/>
        <v>0</v>
      </c>
      <c r="AJ36" s="34">
        <f t="shared" si="31"/>
        <v>0</v>
      </c>
      <c r="AK36" s="34">
        <f t="shared" si="32"/>
        <v>30</v>
      </c>
      <c r="AL36" s="33">
        <f t="shared" si="33"/>
        <v>0</v>
      </c>
      <c r="AM36" s="35">
        <f t="shared" si="34"/>
        <v>0</v>
      </c>
      <c r="AN36" s="35">
        <f t="shared" si="35"/>
        <v>0</v>
      </c>
      <c r="AO36" s="9">
        <f t="shared" si="36"/>
        <v>92.25</v>
      </c>
      <c r="AP36" s="36">
        <f t="shared" si="38"/>
        <v>1.125</v>
      </c>
    </row>
    <row r="37">
      <c r="A37" s="1" t="str">
        <f>'Escoteiro 35'!C1</f>
        <v>Escoteiro 35</v>
      </c>
      <c r="B37" s="1" t="s">
        <v>46</v>
      </c>
      <c r="C37" s="1" t="s">
        <v>43</v>
      </c>
      <c r="D37" s="1" t="s">
        <v>38</v>
      </c>
      <c r="E37" s="24">
        <v>42039.0</v>
      </c>
      <c r="F37" s="10">
        <f t="shared" si="1"/>
        <v>11</v>
      </c>
      <c r="G37" s="25" t="str">
        <f t="shared" si="2"/>
        <v>11 a 0 m</v>
      </c>
      <c r="H37" s="26">
        <f t="shared" si="3"/>
        <v>92.25</v>
      </c>
      <c r="I37" s="27">
        <f t="shared" si="4"/>
        <v>0</v>
      </c>
      <c r="J37" s="27">
        <f t="shared" si="5"/>
        <v>0</v>
      </c>
      <c r="K37" s="27">
        <f t="shared" si="6"/>
        <v>0</v>
      </c>
      <c r="L37" s="27">
        <f t="shared" si="7"/>
        <v>0</v>
      </c>
      <c r="M37" s="28">
        <f t="shared" si="8"/>
        <v>0</v>
      </c>
      <c r="N37" s="28">
        <f t="shared" si="9"/>
        <v>23</v>
      </c>
      <c r="O37" s="27">
        <f t="shared" si="10"/>
        <v>0</v>
      </c>
      <c r="P37" s="29">
        <f t="shared" si="11"/>
        <v>0</v>
      </c>
      <c r="Q37" s="29">
        <f t="shared" si="12"/>
        <v>0</v>
      </c>
      <c r="R37" s="29">
        <f t="shared" si="13"/>
        <v>0</v>
      </c>
      <c r="S37" s="29">
        <f t="shared" si="14"/>
        <v>0</v>
      </c>
      <c r="T37" s="30">
        <f t="shared" si="15"/>
        <v>0</v>
      </c>
      <c r="U37" s="30">
        <f t="shared" si="16"/>
        <v>29</v>
      </c>
      <c r="V37" s="29">
        <f t="shared" si="17"/>
        <v>0</v>
      </c>
      <c r="W37" s="31">
        <f t="shared" si="18"/>
        <v>0</v>
      </c>
      <c r="X37" s="31">
        <f t="shared" si="19"/>
        <v>0</v>
      </c>
      <c r="Y37" s="31">
        <f t="shared" si="20"/>
        <v>0</v>
      </c>
      <c r="Z37" s="31">
        <f t="shared" si="21"/>
        <v>0</v>
      </c>
      <c r="AA37" s="31">
        <f t="shared" si="22"/>
        <v>0</v>
      </c>
      <c r="AB37" s="32">
        <f t="shared" si="23"/>
        <v>0</v>
      </c>
      <c r="AC37" s="32">
        <f t="shared" si="24"/>
        <v>28</v>
      </c>
      <c r="AD37" s="31">
        <f t="shared" si="25"/>
        <v>0</v>
      </c>
      <c r="AE37" s="33">
        <f t="shared" si="26"/>
        <v>0</v>
      </c>
      <c r="AF37" s="33">
        <f t="shared" si="27"/>
        <v>0</v>
      </c>
      <c r="AG37" s="33">
        <f t="shared" si="28"/>
        <v>0</v>
      </c>
      <c r="AH37" s="33">
        <f t="shared" si="29"/>
        <v>0</v>
      </c>
      <c r="AI37" s="33">
        <f t="shared" si="30"/>
        <v>0</v>
      </c>
      <c r="AJ37" s="34">
        <f t="shared" si="31"/>
        <v>0</v>
      </c>
      <c r="AK37" s="34">
        <f t="shared" si="32"/>
        <v>30</v>
      </c>
      <c r="AL37" s="33">
        <f t="shared" si="33"/>
        <v>0</v>
      </c>
      <c r="AM37" s="35">
        <f t="shared" si="34"/>
        <v>0</v>
      </c>
      <c r="AN37" s="35">
        <f t="shared" si="35"/>
        <v>0</v>
      </c>
      <c r="AO37" s="9">
        <f t="shared" si="36"/>
        <v>92.25</v>
      </c>
      <c r="AP37" s="36">
        <f t="shared" si="38"/>
        <v>1.125</v>
      </c>
    </row>
    <row r="38">
      <c r="A38" s="1" t="str">
        <f>'Escoteiro 36'!C1</f>
        <v>Escoteiro 36</v>
      </c>
      <c r="B38" s="1" t="s">
        <v>46</v>
      </c>
      <c r="C38" s="1" t="s">
        <v>39</v>
      </c>
      <c r="D38" s="1" t="s">
        <v>38</v>
      </c>
      <c r="E38" s="24">
        <v>42040.0</v>
      </c>
      <c r="F38" s="10">
        <f t="shared" si="1"/>
        <v>11</v>
      </c>
      <c r="G38" s="25" t="str">
        <f t="shared" si="2"/>
        <v>11 a 0 m</v>
      </c>
      <c r="H38" s="26">
        <f t="shared" si="3"/>
        <v>92.25</v>
      </c>
      <c r="I38" s="27">
        <f t="shared" si="4"/>
        <v>0</v>
      </c>
      <c r="J38" s="27">
        <f t="shared" si="5"/>
        <v>0</v>
      </c>
      <c r="K38" s="27">
        <f t="shared" si="6"/>
        <v>0</v>
      </c>
      <c r="L38" s="27">
        <f t="shared" si="7"/>
        <v>0</v>
      </c>
      <c r="M38" s="28">
        <f t="shared" si="8"/>
        <v>0</v>
      </c>
      <c r="N38" s="28">
        <f t="shared" si="9"/>
        <v>23</v>
      </c>
      <c r="O38" s="27">
        <f t="shared" si="10"/>
        <v>0</v>
      </c>
      <c r="P38" s="29">
        <f t="shared" si="11"/>
        <v>0</v>
      </c>
      <c r="Q38" s="29">
        <f t="shared" si="12"/>
        <v>0</v>
      </c>
      <c r="R38" s="29">
        <f t="shared" si="13"/>
        <v>0</v>
      </c>
      <c r="S38" s="29">
        <f t="shared" si="14"/>
        <v>0</v>
      </c>
      <c r="T38" s="30">
        <f t="shared" si="15"/>
        <v>0</v>
      </c>
      <c r="U38" s="30">
        <f t="shared" si="16"/>
        <v>29</v>
      </c>
      <c r="V38" s="29">
        <f t="shared" si="17"/>
        <v>0</v>
      </c>
      <c r="W38" s="31">
        <f t="shared" si="18"/>
        <v>0</v>
      </c>
      <c r="X38" s="31">
        <f t="shared" si="19"/>
        <v>0</v>
      </c>
      <c r="Y38" s="31">
        <f t="shared" si="20"/>
        <v>0</v>
      </c>
      <c r="Z38" s="31">
        <f t="shared" si="21"/>
        <v>0</v>
      </c>
      <c r="AA38" s="31">
        <f t="shared" si="22"/>
        <v>0</v>
      </c>
      <c r="AB38" s="32">
        <f t="shared" si="23"/>
        <v>0</v>
      </c>
      <c r="AC38" s="32">
        <f t="shared" si="24"/>
        <v>28</v>
      </c>
      <c r="AD38" s="31">
        <f t="shared" si="25"/>
        <v>0</v>
      </c>
      <c r="AE38" s="33">
        <f t="shared" si="26"/>
        <v>0</v>
      </c>
      <c r="AF38" s="33">
        <f t="shared" si="27"/>
        <v>0</v>
      </c>
      <c r="AG38" s="33">
        <f t="shared" si="28"/>
        <v>0</v>
      </c>
      <c r="AH38" s="33">
        <f t="shared" si="29"/>
        <v>0</v>
      </c>
      <c r="AI38" s="33">
        <f t="shared" si="30"/>
        <v>0</v>
      </c>
      <c r="AJ38" s="34">
        <f t="shared" si="31"/>
        <v>0</v>
      </c>
      <c r="AK38" s="34">
        <f t="shared" si="32"/>
        <v>30</v>
      </c>
      <c r="AL38" s="33">
        <f t="shared" si="33"/>
        <v>0</v>
      </c>
      <c r="AM38" s="35">
        <f t="shared" si="34"/>
        <v>0</v>
      </c>
      <c r="AN38" s="35">
        <f t="shared" si="35"/>
        <v>0</v>
      </c>
      <c r="AO38" s="9">
        <f t="shared" si="36"/>
        <v>92.25</v>
      </c>
      <c r="AP38" s="36">
        <f t="shared" si="38"/>
        <v>1.125</v>
      </c>
    </row>
    <row r="39">
      <c r="A39" s="37"/>
      <c r="B39" s="37"/>
      <c r="C39" s="37"/>
      <c r="D39" s="37"/>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7"/>
      <c r="AK39" s="37"/>
      <c r="AL39" s="37"/>
      <c r="AM39" s="37"/>
      <c r="AN39" s="37"/>
      <c r="AO39" s="39"/>
      <c r="AP39" s="40"/>
    </row>
    <row r="40">
      <c r="A40" s="37"/>
      <c r="B40" s="37"/>
      <c r="C40" s="37"/>
      <c r="D40" s="37"/>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7"/>
      <c r="AK40" s="37"/>
      <c r="AL40" s="37"/>
      <c r="AM40" s="37"/>
      <c r="AN40" s="37"/>
      <c r="AO40" s="39"/>
      <c r="AP40" s="40"/>
    </row>
    <row r="41">
      <c r="A41" s="37"/>
      <c r="B41" s="37"/>
      <c r="C41" s="37"/>
      <c r="D41" s="37"/>
      <c r="E41" s="38"/>
      <c r="F41" s="38"/>
      <c r="G41" s="38"/>
      <c r="H41" s="38"/>
      <c r="I41" s="38"/>
      <c r="J41" s="38"/>
      <c r="K41" s="38"/>
      <c r="L41" s="38"/>
      <c r="M41" s="2"/>
      <c r="N41" s="2"/>
      <c r="O41" s="38"/>
      <c r="P41" s="38"/>
      <c r="Q41" s="38"/>
      <c r="R41" s="38"/>
      <c r="S41" s="38"/>
      <c r="T41" s="38"/>
      <c r="U41" s="38"/>
      <c r="V41" s="38"/>
      <c r="W41" s="38"/>
      <c r="X41" s="38"/>
      <c r="Y41" s="38"/>
      <c r="Z41" s="38"/>
      <c r="AA41" s="38"/>
      <c r="AB41" s="38"/>
      <c r="AC41" s="38"/>
      <c r="AD41" s="38"/>
      <c r="AE41" s="38"/>
      <c r="AF41" s="38"/>
      <c r="AG41" s="38"/>
      <c r="AH41" s="38"/>
      <c r="AI41" s="38"/>
      <c r="AJ41" s="37"/>
      <c r="AK41" s="37"/>
      <c r="AL41" s="37"/>
      <c r="AM41" s="37"/>
      <c r="AN41" s="37"/>
      <c r="AO41" s="39"/>
      <c r="AP41" s="40"/>
    </row>
    <row r="42">
      <c r="A42" s="37"/>
      <c r="B42" s="37"/>
      <c r="C42" s="37"/>
      <c r="D42" s="37"/>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7"/>
      <c r="AK42" s="37"/>
      <c r="AL42" s="37"/>
      <c r="AM42" s="37"/>
      <c r="AN42" s="37"/>
      <c r="AO42" s="39"/>
      <c r="AP42" s="40"/>
    </row>
    <row r="43">
      <c r="A43" s="1" t="s">
        <v>48</v>
      </c>
      <c r="B43" s="41" t="s">
        <v>49</v>
      </c>
      <c r="C43" s="1"/>
      <c r="D43" s="2"/>
      <c r="E43" s="42"/>
      <c r="F43" s="2"/>
      <c r="G43" s="2"/>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7"/>
      <c r="AK43" s="37"/>
      <c r="AL43" s="37"/>
      <c r="AM43" s="37"/>
      <c r="AN43" s="37"/>
      <c r="AO43" s="39"/>
      <c r="AP43" s="40"/>
    </row>
    <row r="44">
      <c r="A44" s="1" t="s">
        <v>50</v>
      </c>
      <c r="B44" s="41" t="s">
        <v>49</v>
      </c>
      <c r="C44" s="1"/>
      <c r="D44" s="2"/>
      <c r="E44" s="42"/>
      <c r="F44" s="43"/>
      <c r="G44" s="43"/>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7"/>
      <c r="AK44" s="37"/>
      <c r="AL44" s="37"/>
      <c r="AM44" s="37"/>
      <c r="AN44" s="37"/>
      <c r="AO44" s="39"/>
      <c r="AP44" s="40"/>
    </row>
    <row r="45">
      <c r="A45" s="1" t="s">
        <v>51</v>
      </c>
      <c r="B45" s="41" t="s">
        <v>52</v>
      </c>
      <c r="C45" s="1"/>
      <c r="D45" s="2"/>
      <c r="E45" s="42"/>
      <c r="F45" s="43"/>
      <c r="G45" s="43"/>
      <c r="H45" s="38"/>
      <c r="I45" s="44"/>
      <c r="J45" s="44"/>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7"/>
      <c r="AK45" s="37"/>
      <c r="AL45" s="37"/>
      <c r="AM45" s="37"/>
      <c r="AN45" s="37"/>
      <c r="AO45" s="39"/>
      <c r="AP45" s="40"/>
    </row>
    <row r="46">
      <c r="A46" s="1" t="s">
        <v>53</v>
      </c>
      <c r="B46" s="41" t="s">
        <v>54</v>
      </c>
      <c r="C46" s="1"/>
      <c r="D46" s="2"/>
      <c r="E46" s="42"/>
      <c r="F46" s="43"/>
      <c r="G46" s="43"/>
      <c r="H46" s="38"/>
      <c r="I46" s="44"/>
      <c r="J46" s="44"/>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7"/>
      <c r="AK46" s="37"/>
      <c r="AL46" s="37"/>
      <c r="AM46" s="37"/>
      <c r="AN46" s="37"/>
      <c r="AO46" s="39"/>
      <c r="AP46" s="40"/>
    </row>
    <row r="47">
      <c r="A47" s="37"/>
      <c r="C47" s="1"/>
      <c r="D47" s="2"/>
      <c r="E47" s="42"/>
      <c r="F47" s="43"/>
      <c r="G47" s="43"/>
      <c r="H47" s="38"/>
      <c r="I47" s="44"/>
      <c r="J47" s="44"/>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7"/>
      <c r="AK47" s="37"/>
      <c r="AL47" s="37"/>
      <c r="AM47" s="37"/>
      <c r="AN47" s="37"/>
      <c r="AO47" s="39"/>
      <c r="AP47" s="40"/>
    </row>
    <row r="48">
      <c r="C48" s="1"/>
      <c r="D48" s="2"/>
      <c r="E48" s="42"/>
      <c r="F48" s="43"/>
      <c r="G48" s="43"/>
      <c r="H48" s="38"/>
      <c r="I48" s="44"/>
      <c r="J48" s="44"/>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7"/>
      <c r="AK48" s="37"/>
      <c r="AL48" s="37"/>
      <c r="AM48" s="37"/>
      <c r="AN48" s="37"/>
      <c r="AO48" s="39"/>
      <c r="AP48" s="40"/>
    </row>
    <row r="49">
      <c r="A49" s="1" t="s">
        <v>55</v>
      </c>
      <c r="B49" s="37"/>
      <c r="C49" s="37"/>
      <c r="D49" s="37"/>
      <c r="E49" s="38"/>
      <c r="F49" s="38"/>
      <c r="G49" s="38"/>
      <c r="H49" s="44"/>
      <c r="I49" s="44"/>
      <c r="J49" s="44"/>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7"/>
      <c r="AK49" s="37"/>
      <c r="AL49" s="37"/>
      <c r="AM49" s="37"/>
      <c r="AN49" s="37"/>
      <c r="AO49" s="39"/>
      <c r="AP49" s="40"/>
    </row>
    <row r="50">
      <c r="A50" s="1" t="s">
        <v>56</v>
      </c>
      <c r="B50" s="37"/>
      <c r="C50" s="37"/>
      <c r="D50" s="37"/>
      <c r="E50" s="38"/>
      <c r="F50" s="38"/>
      <c r="G50" s="38"/>
      <c r="H50" s="44"/>
      <c r="I50" s="44"/>
      <c r="J50" s="44"/>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7"/>
      <c r="AK50" s="37"/>
      <c r="AL50" s="37"/>
      <c r="AM50" s="37"/>
      <c r="AN50" s="37"/>
      <c r="AO50" s="39"/>
      <c r="AP50" s="40"/>
    </row>
    <row r="51">
      <c r="A51" s="1" t="s">
        <v>57</v>
      </c>
      <c r="B51" s="37"/>
      <c r="C51" s="37"/>
      <c r="D51" s="37"/>
      <c r="E51" s="38"/>
      <c r="F51" s="38"/>
      <c r="G51" s="38"/>
      <c r="H51" s="44"/>
      <c r="I51" s="44"/>
      <c r="J51" s="44"/>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7"/>
      <c r="AK51" s="37"/>
      <c r="AL51" s="37"/>
      <c r="AM51" s="37"/>
      <c r="AN51" s="37"/>
      <c r="AO51" s="39"/>
      <c r="AP51" s="40"/>
    </row>
    <row r="52">
      <c r="A52" s="1" t="s">
        <v>58</v>
      </c>
      <c r="B52" s="37"/>
      <c r="C52" s="37"/>
      <c r="D52" s="37"/>
      <c r="E52" s="38"/>
      <c r="F52" s="38"/>
      <c r="G52" s="38"/>
      <c r="H52" s="44"/>
      <c r="I52" s="44"/>
      <c r="J52" s="44"/>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7"/>
      <c r="AK52" s="37"/>
      <c r="AL52" s="37"/>
      <c r="AM52" s="37"/>
      <c r="AN52" s="37"/>
      <c r="AO52" s="39"/>
      <c r="AP52" s="40"/>
    </row>
    <row r="53">
      <c r="A53" s="37"/>
      <c r="B53" s="37"/>
      <c r="C53" s="37"/>
      <c r="D53" s="37"/>
      <c r="E53" s="38"/>
      <c r="F53" s="38"/>
      <c r="G53" s="38"/>
      <c r="H53" s="44"/>
      <c r="I53" s="44"/>
      <c r="J53" s="44"/>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7"/>
      <c r="AK53" s="37"/>
      <c r="AL53" s="37"/>
      <c r="AM53" s="37"/>
      <c r="AN53" s="37"/>
      <c r="AO53" s="39"/>
      <c r="AP53" s="40"/>
    </row>
    <row r="54">
      <c r="A54" s="45" t="s">
        <v>59</v>
      </c>
      <c r="B54" s="46"/>
      <c r="C54" s="46"/>
      <c r="D54" s="46"/>
      <c r="E54" s="46"/>
      <c r="F54" s="46"/>
      <c r="G54" s="46"/>
      <c r="H54" s="47"/>
      <c r="I54" s="47"/>
      <c r="J54" s="47"/>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8"/>
      <c r="AP54" s="49"/>
    </row>
    <row r="55">
      <c r="A55" s="50" t="s">
        <v>60</v>
      </c>
      <c r="B55" s="46"/>
      <c r="C55" s="46"/>
      <c r="D55" s="46"/>
      <c r="E55" s="46"/>
      <c r="F55" s="46"/>
      <c r="G55" s="46"/>
      <c r="H55" s="47"/>
      <c r="I55" s="47"/>
      <c r="J55" s="47"/>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8"/>
      <c r="AP55" s="49"/>
    </row>
    <row r="56">
      <c r="A56" s="50" t="s">
        <v>61</v>
      </c>
      <c r="B56" s="46"/>
      <c r="C56" s="51"/>
      <c r="D56" s="51"/>
      <c r="E56" s="46"/>
      <c r="F56" s="46"/>
      <c r="G56" s="46"/>
      <c r="H56" s="47"/>
      <c r="I56" s="47"/>
      <c r="J56" s="47"/>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8"/>
      <c r="AP56" s="49"/>
    </row>
    <row r="57">
      <c r="A57" s="52" t="s">
        <v>62</v>
      </c>
      <c r="B57" s="46"/>
      <c r="C57" s="51"/>
      <c r="D57" s="46"/>
      <c r="E57" s="46"/>
      <c r="F57" s="46"/>
      <c r="G57" s="46"/>
      <c r="H57" s="47"/>
      <c r="I57" s="47"/>
      <c r="J57" s="47"/>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8"/>
      <c r="AP57" s="49"/>
    </row>
    <row r="58">
      <c r="A58" s="50" t="s">
        <v>63</v>
      </c>
      <c r="B58" s="46"/>
      <c r="C58" s="46"/>
      <c r="D58" s="46"/>
      <c r="E58" s="46"/>
      <c r="F58" s="46"/>
      <c r="G58" s="46"/>
      <c r="H58" s="47"/>
      <c r="I58" s="47"/>
      <c r="J58" s="47"/>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8"/>
      <c r="AP58" s="49"/>
    </row>
    <row r="59">
      <c r="A59" s="50" t="s">
        <v>64</v>
      </c>
      <c r="B59" s="46"/>
      <c r="C59" s="46"/>
      <c r="D59" s="46"/>
      <c r="E59" s="46"/>
      <c r="F59" s="46"/>
      <c r="G59" s="46"/>
      <c r="H59" s="47"/>
      <c r="I59" s="47"/>
      <c r="J59" s="47"/>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8"/>
      <c r="AP59" s="49"/>
    </row>
    <row r="60">
      <c r="A60" s="53"/>
      <c r="B60" s="46"/>
      <c r="C60" s="46"/>
      <c r="D60" s="46"/>
      <c r="E60" s="46"/>
      <c r="F60" s="46"/>
      <c r="G60" s="46"/>
      <c r="H60" s="47"/>
      <c r="I60" s="47"/>
      <c r="J60" s="47"/>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8"/>
      <c r="AP60" s="49"/>
    </row>
    <row r="61">
      <c r="A61" s="52" t="s">
        <v>65</v>
      </c>
      <c r="B61" s="46"/>
      <c r="C61" s="46"/>
      <c r="D61" s="46"/>
      <c r="E61" s="46"/>
      <c r="F61" s="46"/>
      <c r="G61" s="46"/>
      <c r="H61" s="47"/>
      <c r="I61" s="47"/>
      <c r="J61" s="47"/>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8"/>
      <c r="AP61" s="49"/>
    </row>
    <row r="62">
      <c r="A62" s="37"/>
      <c r="B62" s="37"/>
      <c r="C62" s="37"/>
      <c r="D62" s="37"/>
      <c r="E62" s="38"/>
      <c r="F62" s="38"/>
      <c r="G62" s="38"/>
      <c r="H62" s="44"/>
      <c r="I62" s="44"/>
      <c r="J62" s="44"/>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7"/>
      <c r="AK62" s="37"/>
      <c r="AL62" s="37"/>
      <c r="AM62" s="37"/>
      <c r="AN62" s="37"/>
      <c r="AO62" s="39"/>
      <c r="AP62" s="40"/>
    </row>
    <row r="63">
      <c r="A63" s="37"/>
      <c r="B63" s="37"/>
      <c r="C63" s="37"/>
      <c r="D63" s="37"/>
      <c r="E63" s="38"/>
      <c r="F63" s="38"/>
      <c r="G63" s="38"/>
      <c r="H63" s="44"/>
      <c r="I63" s="44"/>
      <c r="J63" s="44"/>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7"/>
      <c r="AK63" s="37"/>
      <c r="AL63" s="37"/>
      <c r="AM63" s="37"/>
      <c r="AN63" s="37"/>
      <c r="AO63" s="39"/>
      <c r="AP63" s="40"/>
    </row>
    <row r="64">
      <c r="A64" s="37"/>
      <c r="B64" s="37"/>
      <c r="C64" s="37"/>
      <c r="D64" s="37"/>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7"/>
      <c r="AK64" s="37"/>
      <c r="AL64" s="37"/>
      <c r="AM64" s="37"/>
      <c r="AN64" s="37"/>
      <c r="AO64" s="39"/>
      <c r="AP64" s="40"/>
    </row>
    <row r="65">
      <c r="A65" s="37"/>
      <c r="B65" s="37"/>
      <c r="C65" s="37"/>
      <c r="D65" s="37"/>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7"/>
      <c r="AK65" s="37"/>
      <c r="AL65" s="37"/>
      <c r="AM65" s="37"/>
      <c r="AN65" s="37"/>
      <c r="AO65" s="39"/>
      <c r="AP65" s="40"/>
    </row>
    <row r="66">
      <c r="A66" s="37"/>
      <c r="B66" s="37"/>
      <c r="C66" s="37"/>
      <c r="D66" s="37"/>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7"/>
      <c r="AK66" s="37"/>
      <c r="AL66" s="37"/>
      <c r="AM66" s="37"/>
      <c r="AN66" s="37"/>
      <c r="AO66" s="39"/>
      <c r="AP66" s="40"/>
    </row>
    <row r="67">
      <c r="A67" s="37"/>
      <c r="B67" s="37"/>
      <c r="C67" s="37"/>
      <c r="D67" s="37"/>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7"/>
      <c r="AK67" s="37"/>
      <c r="AL67" s="37"/>
      <c r="AM67" s="37"/>
      <c r="AN67" s="37"/>
      <c r="AO67" s="39"/>
      <c r="AP67" s="40"/>
    </row>
    <row r="68">
      <c r="A68" s="37"/>
      <c r="B68" s="37"/>
      <c r="C68" s="37"/>
      <c r="D68" s="37"/>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7"/>
      <c r="AK68" s="37"/>
      <c r="AL68" s="37"/>
      <c r="AM68" s="37"/>
      <c r="AN68" s="37"/>
      <c r="AO68" s="39"/>
      <c r="AP68" s="40"/>
    </row>
    <row r="69">
      <c r="A69" s="37"/>
      <c r="B69" s="37"/>
      <c r="C69" s="37"/>
      <c r="D69" s="37"/>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7"/>
      <c r="AK69" s="37"/>
      <c r="AL69" s="37"/>
      <c r="AM69" s="37"/>
      <c r="AN69" s="37"/>
      <c r="AO69" s="39"/>
      <c r="AP69" s="40"/>
    </row>
    <row r="70">
      <c r="A70" s="37"/>
      <c r="B70" s="37"/>
      <c r="C70" s="37"/>
      <c r="D70" s="37"/>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7"/>
      <c r="AK70" s="37"/>
      <c r="AL70" s="37"/>
      <c r="AM70" s="37"/>
      <c r="AN70" s="37"/>
      <c r="AO70" s="39"/>
      <c r="AP70" s="40"/>
    </row>
    <row r="71">
      <c r="A71" s="37"/>
      <c r="B71" s="37"/>
      <c r="C71" s="37"/>
      <c r="D71" s="37"/>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7"/>
      <c r="AK71" s="37"/>
      <c r="AL71" s="37"/>
      <c r="AM71" s="37"/>
      <c r="AN71" s="37"/>
      <c r="AO71" s="39"/>
      <c r="AP71" s="40"/>
    </row>
    <row r="72">
      <c r="A72" s="37"/>
      <c r="B72" s="37"/>
      <c r="C72" s="37"/>
      <c r="D72" s="37"/>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7"/>
      <c r="AK72" s="37"/>
      <c r="AL72" s="37"/>
      <c r="AM72" s="37"/>
      <c r="AN72" s="37"/>
      <c r="AO72" s="39"/>
      <c r="AP72" s="40"/>
    </row>
    <row r="73">
      <c r="A73" s="37"/>
      <c r="B73" s="37"/>
      <c r="C73" s="37"/>
      <c r="D73" s="37"/>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7"/>
      <c r="AK73" s="37"/>
      <c r="AL73" s="37"/>
      <c r="AM73" s="37"/>
      <c r="AN73" s="37"/>
      <c r="AO73" s="39"/>
      <c r="AP73" s="40"/>
    </row>
    <row r="74">
      <c r="A74" s="37"/>
      <c r="B74" s="37"/>
      <c r="C74" s="37"/>
      <c r="D74" s="37"/>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7"/>
      <c r="AK74" s="37"/>
      <c r="AL74" s="37"/>
      <c r="AM74" s="37"/>
      <c r="AN74" s="37"/>
      <c r="AO74" s="39"/>
      <c r="AP74" s="40"/>
    </row>
    <row r="75">
      <c r="A75" s="37"/>
      <c r="B75" s="37"/>
      <c r="C75" s="37"/>
      <c r="D75" s="37"/>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7"/>
      <c r="AK75" s="37"/>
      <c r="AL75" s="37"/>
      <c r="AM75" s="37"/>
      <c r="AN75" s="37"/>
      <c r="AO75" s="39"/>
      <c r="AP75" s="40"/>
    </row>
    <row r="76">
      <c r="A76" s="37"/>
      <c r="B76" s="37"/>
      <c r="C76" s="37"/>
      <c r="D76" s="37"/>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7"/>
      <c r="AK76" s="37"/>
      <c r="AL76" s="37"/>
      <c r="AM76" s="37"/>
      <c r="AN76" s="37"/>
      <c r="AO76" s="39"/>
      <c r="AP76" s="40"/>
    </row>
    <row r="77">
      <c r="A77" s="37"/>
      <c r="B77" s="37"/>
      <c r="C77" s="37"/>
      <c r="D77" s="37"/>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7"/>
      <c r="AK77" s="37"/>
      <c r="AL77" s="37"/>
      <c r="AM77" s="37"/>
      <c r="AN77" s="37"/>
      <c r="AO77" s="39"/>
      <c r="AP77" s="40"/>
    </row>
    <row r="78">
      <c r="A78" s="37"/>
      <c r="B78" s="37"/>
      <c r="C78" s="37"/>
      <c r="D78" s="37"/>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7"/>
      <c r="AK78" s="37"/>
      <c r="AL78" s="37"/>
      <c r="AM78" s="37"/>
      <c r="AN78" s="37"/>
      <c r="AO78" s="39"/>
      <c r="AP78" s="40"/>
    </row>
    <row r="79">
      <c r="A79" s="37"/>
      <c r="B79" s="37"/>
      <c r="C79" s="37"/>
      <c r="D79" s="37"/>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7"/>
      <c r="AK79" s="37"/>
      <c r="AL79" s="37"/>
      <c r="AM79" s="37"/>
      <c r="AN79" s="37"/>
      <c r="AO79" s="39"/>
      <c r="AP79" s="40"/>
    </row>
    <row r="80">
      <c r="A80" s="37"/>
      <c r="B80" s="37"/>
      <c r="C80" s="37"/>
      <c r="D80" s="37"/>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7"/>
      <c r="AK80" s="37"/>
      <c r="AL80" s="37"/>
      <c r="AM80" s="37"/>
      <c r="AN80" s="37"/>
      <c r="AO80" s="39"/>
      <c r="AP80" s="40"/>
    </row>
    <row r="81">
      <c r="A81" s="37"/>
      <c r="B81" s="37"/>
      <c r="C81" s="37"/>
      <c r="D81" s="37"/>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7"/>
      <c r="AK81" s="37"/>
      <c r="AL81" s="37"/>
      <c r="AM81" s="37"/>
      <c r="AN81" s="37"/>
      <c r="AO81" s="39"/>
      <c r="AP81" s="40"/>
    </row>
    <row r="82">
      <c r="A82" s="37"/>
      <c r="B82" s="37"/>
      <c r="C82" s="37"/>
      <c r="D82" s="37"/>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7"/>
      <c r="AK82" s="37"/>
      <c r="AL82" s="37"/>
      <c r="AM82" s="37"/>
      <c r="AN82" s="37"/>
      <c r="AO82" s="39"/>
      <c r="AP82" s="40"/>
    </row>
    <row r="83">
      <c r="A83" s="37"/>
      <c r="B83" s="37"/>
      <c r="C83" s="37"/>
      <c r="D83" s="37"/>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7"/>
      <c r="AK83" s="37"/>
      <c r="AL83" s="37"/>
      <c r="AM83" s="37"/>
      <c r="AN83" s="37"/>
      <c r="AO83" s="39"/>
      <c r="AP83" s="40"/>
    </row>
    <row r="84">
      <c r="A84" s="37"/>
      <c r="B84" s="37"/>
      <c r="C84" s="37"/>
      <c r="D84" s="37"/>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7"/>
      <c r="AK84" s="37"/>
      <c r="AL84" s="37"/>
      <c r="AM84" s="37"/>
      <c r="AN84" s="37"/>
      <c r="AO84" s="39"/>
      <c r="AP84" s="40"/>
    </row>
    <row r="85">
      <c r="A85" s="37"/>
      <c r="B85" s="37"/>
      <c r="C85" s="37"/>
      <c r="D85" s="37"/>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7"/>
      <c r="AK85" s="37"/>
      <c r="AL85" s="37"/>
      <c r="AM85" s="37"/>
      <c r="AN85" s="37"/>
      <c r="AO85" s="39"/>
      <c r="AP85" s="40"/>
    </row>
    <row r="86">
      <c r="A86" s="37"/>
      <c r="B86" s="37"/>
      <c r="C86" s="37"/>
      <c r="D86" s="37"/>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7"/>
      <c r="AK86" s="37"/>
      <c r="AL86" s="37"/>
      <c r="AM86" s="37"/>
      <c r="AN86" s="37"/>
      <c r="AO86" s="39"/>
      <c r="AP86" s="40"/>
    </row>
    <row r="87">
      <c r="A87" s="37"/>
      <c r="B87" s="37"/>
      <c r="C87" s="37"/>
      <c r="D87" s="37"/>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7"/>
      <c r="AK87" s="37"/>
      <c r="AL87" s="37"/>
      <c r="AM87" s="37"/>
      <c r="AN87" s="37"/>
      <c r="AO87" s="39"/>
      <c r="AP87" s="40"/>
    </row>
    <row r="88">
      <c r="A88" s="37"/>
      <c r="B88" s="37"/>
      <c r="C88" s="37"/>
      <c r="D88" s="37"/>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7"/>
      <c r="AK88" s="37"/>
      <c r="AL88" s="37"/>
      <c r="AM88" s="37"/>
      <c r="AN88" s="37"/>
      <c r="AO88" s="39"/>
      <c r="AP88" s="40"/>
    </row>
    <row r="89">
      <c r="A89" s="37"/>
      <c r="B89" s="37"/>
      <c r="C89" s="37"/>
      <c r="D89" s="37"/>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7"/>
      <c r="AK89" s="37"/>
      <c r="AL89" s="37"/>
      <c r="AM89" s="37"/>
      <c r="AN89" s="37"/>
      <c r="AO89" s="39"/>
      <c r="AP89" s="40"/>
    </row>
    <row r="90">
      <c r="A90" s="37"/>
      <c r="B90" s="37"/>
      <c r="C90" s="37"/>
      <c r="D90" s="37"/>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7"/>
      <c r="AK90" s="37"/>
      <c r="AL90" s="37"/>
      <c r="AM90" s="37"/>
      <c r="AN90" s="37"/>
      <c r="AO90" s="39"/>
      <c r="AP90" s="40"/>
    </row>
    <row r="91">
      <c r="A91" s="37"/>
      <c r="B91" s="37"/>
      <c r="C91" s="37"/>
      <c r="D91" s="37"/>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7"/>
      <c r="AK91" s="37"/>
      <c r="AL91" s="37"/>
      <c r="AM91" s="37"/>
      <c r="AN91" s="37"/>
      <c r="AO91" s="39"/>
      <c r="AP91" s="40"/>
    </row>
    <row r="92">
      <c r="A92" s="37"/>
      <c r="B92" s="37"/>
      <c r="C92" s="37"/>
      <c r="D92" s="37"/>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7"/>
      <c r="AK92" s="37"/>
      <c r="AL92" s="37"/>
      <c r="AM92" s="37"/>
      <c r="AN92" s="37"/>
      <c r="AO92" s="39"/>
      <c r="AP92" s="40"/>
    </row>
    <row r="93">
      <c r="A93" s="37"/>
      <c r="B93" s="37"/>
      <c r="C93" s="37"/>
      <c r="D93" s="37"/>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7"/>
      <c r="AK93" s="37"/>
      <c r="AL93" s="37"/>
      <c r="AM93" s="37"/>
      <c r="AN93" s="37"/>
      <c r="AO93" s="39"/>
      <c r="AP93" s="40"/>
    </row>
    <row r="94">
      <c r="A94" s="37"/>
      <c r="B94" s="37"/>
      <c r="C94" s="37"/>
      <c r="D94" s="37"/>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7"/>
      <c r="AK94" s="37"/>
      <c r="AL94" s="37"/>
      <c r="AM94" s="37"/>
      <c r="AN94" s="37"/>
      <c r="AO94" s="39"/>
      <c r="AP94" s="40"/>
    </row>
    <row r="95">
      <c r="A95" s="37"/>
      <c r="B95" s="37"/>
      <c r="C95" s="37"/>
      <c r="D95" s="37"/>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7"/>
      <c r="AK95" s="37"/>
      <c r="AL95" s="37"/>
      <c r="AM95" s="37"/>
      <c r="AN95" s="37"/>
      <c r="AO95" s="39"/>
      <c r="AP95" s="40"/>
    </row>
    <row r="96">
      <c r="A96" s="37"/>
      <c r="B96" s="37"/>
      <c r="C96" s="37"/>
      <c r="D96" s="37"/>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7"/>
      <c r="AK96" s="37"/>
      <c r="AL96" s="37"/>
      <c r="AM96" s="37"/>
      <c r="AN96" s="37"/>
      <c r="AO96" s="39"/>
      <c r="AP96" s="40"/>
    </row>
    <row r="97">
      <c r="A97" s="37"/>
      <c r="B97" s="37"/>
      <c r="C97" s="37"/>
      <c r="D97" s="37"/>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7"/>
      <c r="AK97" s="37"/>
      <c r="AL97" s="37"/>
      <c r="AM97" s="37"/>
      <c r="AN97" s="37"/>
      <c r="AO97" s="39"/>
      <c r="AP97" s="40"/>
    </row>
    <row r="98">
      <c r="A98" s="37"/>
      <c r="B98" s="37"/>
      <c r="C98" s="37"/>
      <c r="D98" s="37"/>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7"/>
      <c r="AK98" s="37"/>
      <c r="AL98" s="37"/>
      <c r="AM98" s="37"/>
      <c r="AN98" s="37"/>
      <c r="AO98" s="39"/>
      <c r="AP98" s="40"/>
    </row>
    <row r="99">
      <c r="A99" s="37"/>
      <c r="B99" s="37"/>
      <c r="C99" s="37"/>
      <c r="D99" s="37"/>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7"/>
      <c r="AK99" s="37"/>
      <c r="AL99" s="37"/>
      <c r="AM99" s="37"/>
      <c r="AN99" s="37"/>
      <c r="AO99" s="39"/>
      <c r="AP99" s="40"/>
    </row>
    <row r="100">
      <c r="A100" s="37"/>
      <c r="B100" s="37"/>
      <c r="C100" s="37"/>
      <c r="D100" s="37"/>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7"/>
      <c r="AK100" s="37"/>
      <c r="AL100" s="37"/>
      <c r="AM100" s="37"/>
      <c r="AN100" s="37"/>
      <c r="AO100" s="39"/>
      <c r="AP100" s="40"/>
    </row>
    <row r="101">
      <c r="A101" s="37"/>
      <c r="B101" s="37"/>
      <c r="C101" s="37"/>
      <c r="D101" s="37"/>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7"/>
      <c r="AK101" s="37"/>
      <c r="AL101" s="37"/>
      <c r="AM101" s="37"/>
      <c r="AN101" s="37"/>
      <c r="AO101" s="39"/>
      <c r="AP101" s="40"/>
    </row>
    <row r="102">
      <c r="A102" s="37"/>
      <c r="B102" s="37"/>
      <c r="C102" s="37"/>
      <c r="D102" s="37"/>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7"/>
      <c r="AK102" s="37"/>
      <c r="AL102" s="37"/>
      <c r="AM102" s="37"/>
      <c r="AN102" s="37"/>
      <c r="AO102" s="39"/>
      <c r="AP102" s="40"/>
    </row>
    <row r="103">
      <c r="A103" s="37"/>
      <c r="B103" s="37"/>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7"/>
      <c r="AK103" s="37"/>
      <c r="AL103" s="37"/>
      <c r="AM103" s="37"/>
      <c r="AN103" s="37"/>
      <c r="AO103" s="39"/>
      <c r="AP103" s="40"/>
    </row>
    <row r="104">
      <c r="A104" s="37"/>
      <c r="B104" s="37"/>
      <c r="C104" s="37"/>
      <c r="D104" s="37"/>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7"/>
      <c r="AK104" s="37"/>
      <c r="AL104" s="37"/>
      <c r="AM104" s="37"/>
      <c r="AN104" s="37"/>
      <c r="AO104" s="39"/>
      <c r="AP104" s="40"/>
    </row>
    <row r="105">
      <c r="A105" s="37"/>
      <c r="B105" s="37"/>
      <c r="C105" s="37"/>
      <c r="D105" s="37"/>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7"/>
      <c r="AK105" s="37"/>
      <c r="AL105" s="37"/>
      <c r="AM105" s="37"/>
      <c r="AN105" s="37"/>
      <c r="AO105" s="39"/>
      <c r="AP105" s="40"/>
    </row>
    <row r="106">
      <c r="A106" s="37"/>
      <c r="B106" s="37"/>
      <c r="C106" s="37"/>
      <c r="D106" s="37"/>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7"/>
      <c r="AK106" s="37"/>
      <c r="AL106" s="37"/>
      <c r="AM106" s="37"/>
      <c r="AN106" s="37"/>
      <c r="AO106" s="39"/>
      <c r="AP106" s="40"/>
    </row>
    <row r="107">
      <c r="A107" s="37"/>
      <c r="B107" s="37"/>
      <c r="C107" s="37"/>
      <c r="D107" s="37"/>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7"/>
      <c r="AK107" s="37"/>
      <c r="AL107" s="37"/>
      <c r="AM107" s="37"/>
      <c r="AN107" s="37"/>
      <c r="AO107" s="39"/>
      <c r="AP107" s="40"/>
    </row>
    <row r="108">
      <c r="A108" s="37"/>
      <c r="B108" s="37"/>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7"/>
      <c r="AK108" s="37"/>
      <c r="AL108" s="37"/>
      <c r="AM108" s="37"/>
      <c r="AN108" s="37"/>
      <c r="AO108" s="39"/>
      <c r="AP108" s="40"/>
    </row>
    <row r="109">
      <c r="A109" s="37"/>
      <c r="B109" s="37"/>
      <c r="C109" s="37"/>
      <c r="D109" s="37"/>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7"/>
      <c r="AK109" s="37"/>
      <c r="AL109" s="37"/>
      <c r="AM109" s="37"/>
      <c r="AN109" s="37"/>
      <c r="AO109" s="39"/>
      <c r="AP109" s="40"/>
    </row>
    <row r="110">
      <c r="A110" s="37"/>
      <c r="B110" s="37"/>
      <c r="C110" s="37"/>
      <c r="D110" s="37"/>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7"/>
      <c r="AK110" s="37"/>
      <c r="AL110" s="37"/>
      <c r="AM110" s="37"/>
      <c r="AN110" s="37"/>
      <c r="AO110" s="39"/>
      <c r="AP110" s="40"/>
    </row>
    <row r="111">
      <c r="A111" s="37"/>
      <c r="B111" s="37"/>
      <c r="C111" s="37"/>
      <c r="D111" s="37"/>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7"/>
      <c r="AK111" s="37"/>
      <c r="AL111" s="37"/>
      <c r="AM111" s="37"/>
      <c r="AN111" s="37"/>
      <c r="AO111" s="39"/>
      <c r="AP111" s="40"/>
    </row>
    <row r="112">
      <c r="A112" s="37"/>
      <c r="B112" s="37"/>
      <c r="C112" s="37"/>
      <c r="D112" s="37"/>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7"/>
      <c r="AK112" s="37"/>
      <c r="AL112" s="37"/>
      <c r="AM112" s="37"/>
      <c r="AN112" s="37"/>
      <c r="AO112" s="39"/>
      <c r="AP112" s="40"/>
    </row>
    <row r="113">
      <c r="A113" s="37"/>
      <c r="B113" s="37"/>
      <c r="C113" s="37"/>
      <c r="D113" s="37"/>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7"/>
      <c r="AK113" s="37"/>
      <c r="AL113" s="37"/>
      <c r="AM113" s="37"/>
      <c r="AN113" s="37"/>
      <c r="AO113" s="39"/>
      <c r="AP113" s="40"/>
    </row>
    <row r="114">
      <c r="A114" s="37"/>
      <c r="B114" s="37"/>
      <c r="C114" s="37"/>
      <c r="D114" s="37"/>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7"/>
      <c r="AK114" s="37"/>
      <c r="AL114" s="37"/>
      <c r="AM114" s="37"/>
      <c r="AN114" s="37"/>
      <c r="AO114" s="39"/>
      <c r="AP114" s="40"/>
    </row>
    <row r="115">
      <c r="A115" s="37"/>
      <c r="B115" s="37"/>
      <c r="C115" s="37"/>
      <c r="D115" s="37"/>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7"/>
      <c r="AK115" s="37"/>
      <c r="AL115" s="37"/>
      <c r="AM115" s="37"/>
      <c r="AN115" s="37"/>
      <c r="AO115" s="39"/>
      <c r="AP115" s="40"/>
    </row>
    <row r="116">
      <c r="A116" s="37"/>
      <c r="B116" s="37"/>
      <c r="C116" s="37"/>
      <c r="D116" s="37"/>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7"/>
      <c r="AK116" s="37"/>
      <c r="AL116" s="37"/>
      <c r="AM116" s="37"/>
      <c r="AN116" s="37"/>
      <c r="AO116" s="39"/>
      <c r="AP116" s="40"/>
    </row>
    <row r="117">
      <c r="A117" s="37"/>
      <c r="B117" s="37"/>
      <c r="C117" s="37"/>
      <c r="D117" s="37"/>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7"/>
      <c r="AK117" s="37"/>
      <c r="AL117" s="37"/>
      <c r="AM117" s="37"/>
      <c r="AN117" s="37"/>
      <c r="AO117" s="39"/>
      <c r="AP117" s="40"/>
    </row>
    <row r="118">
      <c r="A118" s="37"/>
      <c r="B118" s="37"/>
      <c r="C118" s="37"/>
      <c r="D118" s="37"/>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7"/>
      <c r="AK118" s="37"/>
      <c r="AL118" s="37"/>
      <c r="AM118" s="37"/>
      <c r="AN118" s="37"/>
      <c r="AO118" s="39"/>
      <c r="AP118" s="40"/>
    </row>
    <row r="119">
      <c r="A119" s="37"/>
      <c r="B119" s="37"/>
      <c r="C119" s="37"/>
      <c r="D119" s="37"/>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7"/>
      <c r="AK119" s="37"/>
      <c r="AL119" s="37"/>
      <c r="AM119" s="37"/>
      <c r="AN119" s="37"/>
      <c r="AO119" s="39"/>
      <c r="AP119" s="40"/>
    </row>
    <row r="120">
      <c r="A120" s="37"/>
      <c r="B120" s="37"/>
      <c r="C120" s="37"/>
      <c r="D120" s="37"/>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7"/>
      <c r="AK120" s="37"/>
      <c r="AL120" s="37"/>
      <c r="AM120" s="37"/>
      <c r="AN120" s="37"/>
      <c r="AO120" s="39"/>
      <c r="AP120" s="40"/>
    </row>
    <row r="121">
      <c r="A121" s="37"/>
      <c r="B121" s="37"/>
      <c r="C121" s="37"/>
      <c r="D121" s="37"/>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7"/>
      <c r="AK121" s="37"/>
      <c r="AL121" s="37"/>
      <c r="AM121" s="37"/>
      <c r="AN121" s="37"/>
      <c r="AO121" s="39"/>
      <c r="AP121" s="40"/>
    </row>
    <row r="122">
      <c r="A122" s="37"/>
      <c r="B122" s="37"/>
      <c r="C122" s="37"/>
      <c r="D122" s="37"/>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7"/>
      <c r="AK122" s="37"/>
      <c r="AL122" s="37"/>
      <c r="AM122" s="37"/>
      <c r="AN122" s="37"/>
      <c r="AO122" s="39"/>
      <c r="AP122" s="40"/>
    </row>
    <row r="123">
      <c r="A123" s="37"/>
      <c r="B123" s="37"/>
      <c r="C123" s="37"/>
      <c r="D123" s="37"/>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7"/>
      <c r="AK123" s="37"/>
      <c r="AL123" s="37"/>
      <c r="AM123" s="37"/>
      <c r="AN123" s="37"/>
      <c r="AO123" s="39"/>
      <c r="AP123" s="40"/>
    </row>
    <row r="124">
      <c r="A124" s="37"/>
      <c r="B124" s="37"/>
      <c r="C124" s="37"/>
      <c r="D124" s="37"/>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7"/>
      <c r="AK124" s="37"/>
      <c r="AL124" s="37"/>
      <c r="AM124" s="37"/>
      <c r="AN124" s="37"/>
      <c r="AO124" s="39"/>
      <c r="AP124" s="40"/>
    </row>
    <row r="125">
      <c r="A125" s="37"/>
      <c r="B125" s="37"/>
      <c r="C125" s="37"/>
      <c r="D125" s="37"/>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7"/>
      <c r="AK125" s="37"/>
      <c r="AL125" s="37"/>
      <c r="AM125" s="37"/>
      <c r="AN125" s="37"/>
      <c r="AO125" s="39"/>
      <c r="AP125" s="40"/>
    </row>
    <row r="126">
      <c r="A126" s="37"/>
      <c r="B126" s="37"/>
      <c r="C126" s="37"/>
      <c r="D126" s="37"/>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7"/>
      <c r="AK126" s="37"/>
      <c r="AL126" s="37"/>
      <c r="AM126" s="37"/>
      <c r="AN126" s="37"/>
      <c r="AO126" s="39"/>
      <c r="AP126" s="40"/>
    </row>
    <row r="127">
      <c r="A127" s="37"/>
      <c r="B127" s="37"/>
      <c r="C127" s="37"/>
      <c r="D127" s="37"/>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7"/>
      <c r="AK127" s="37"/>
      <c r="AL127" s="37"/>
      <c r="AM127" s="37"/>
      <c r="AN127" s="37"/>
      <c r="AO127" s="39"/>
      <c r="AP127" s="40"/>
    </row>
    <row r="128">
      <c r="A128" s="37"/>
      <c r="B128" s="37"/>
      <c r="C128" s="37"/>
      <c r="D128" s="37"/>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7"/>
      <c r="AK128" s="37"/>
      <c r="AL128" s="37"/>
      <c r="AM128" s="37"/>
      <c r="AN128" s="37"/>
      <c r="AO128" s="39"/>
      <c r="AP128" s="40"/>
    </row>
    <row r="129">
      <c r="A129" s="37"/>
      <c r="B129" s="37"/>
      <c r="C129" s="37"/>
      <c r="D129" s="37"/>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7"/>
      <c r="AK129" s="37"/>
      <c r="AL129" s="37"/>
      <c r="AM129" s="37"/>
      <c r="AN129" s="37"/>
      <c r="AO129" s="39"/>
      <c r="AP129" s="40"/>
    </row>
    <row r="130">
      <c r="A130" s="37"/>
      <c r="B130" s="37"/>
      <c r="C130" s="37"/>
      <c r="D130" s="37"/>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7"/>
      <c r="AK130" s="37"/>
      <c r="AL130" s="37"/>
      <c r="AM130" s="37"/>
      <c r="AN130" s="37"/>
      <c r="AO130" s="39"/>
      <c r="AP130" s="40"/>
    </row>
    <row r="131">
      <c r="A131" s="37"/>
      <c r="B131" s="37"/>
      <c r="C131" s="37"/>
      <c r="D131" s="37"/>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7"/>
      <c r="AK131" s="37"/>
      <c r="AL131" s="37"/>
      <c r="AM131" s="37"/>
      <c r="AN131" s="37"/>
      <c r="AO131" s="39"/>
      <c r="AP131" s="40"/>
    </row>
    <row r="132">
      <c r="A132" s="37"/>
      <c r="B132" s="37"/>
      <c r="C132" s="37"/>
      <c r="D132" s="37"/>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7"/>
      <c r="AK132" s="37"/>
      <c r="AL132" s="37"/>
      <c r="AM132" s="37"/>
      <c r="AN132" s="37"/>
      <c r="AO132" s="39"/>
      <c r="AP132" s="40"/>
    </row>
    <row r="133">
      <c r="A133" s="37"/>
      <c r="B133" s="37"/>
      <c r="C133" s="37"/>
      <c r="D133" s="37"/>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7"/>
      <c r="AK133" s="37"/>
      <c r="AL133" s="37"/>
      <c r="AM133" s="37"/>
      <c r="AN133" s="37"/>
      <c r="AO133" s="39"/>
      <c r="AP133" s="40"/>
    </row>
    <row r="134">
      <c r="A134" s="37"/>
      <c r="B134" s="37"/>
      <c r="C134" s="37"/>
      <c r="D134" s="37"/>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7"/>
      <c r="AK134" s="37"/>
      <c r="AL134" s="37"/>
      <c r="AM134" s="37"/>
      <c r="AN134" s="37"/>
      <c r="AO134" s="39"/>
      <c r="AP134" s="40"/>
    </row>
    <row r="135">
      <c r="A135" s="37"/>
      <c r="B135" s="37"/>
      <c r="C135" s="37"/>
      <c r="D135" s="37"/>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7"/>
      <c r="AK135" s="37"/>
      <c r="AL135" s="37"/>
      <c r="AM135" s="37"/>
      <c r="AN135" s="37"/>
      <c r="AO135" s="39"/>
      <c r="AP135" s="40"/>
    </row>
    <row r="136">
      <c r="A136" s="37"/>
      <c r="B136" s="37"/>
      <c r="C136" s="37"/>
      <c r="D136" s="37"/>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7"/>
      <c r="AK136" s="37"/>
      <c r="AL136" s="37"/>
      <c r="AM136" s="37"/>
      <c r="AN136" s="37"/>
      <c r="AO136" s="39"/>
      <c r="AP136" s="40"/>
    </row>
    <row r="137">
      <c r="A137" s="37"/>
      <c r="B137" s="37"/>
      <c r="C137" s="37"/>
      <c r="D137" s="37"/>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7"/>
      <c r="AK137" s="37"/>
      <c r="AL137" s="37"/>
      <c r="AM137" s="37"/>
      <c r="AN137" s="37"/>
      <c r="AO137" s="39"/>
      <c r="AP137" s="40"/>
    </row>
    <row r="138">
      <c r="A138" s="37"/>
      <c r="B138" s="37"/>
      <c r="C138" s="37"/>
      <c r="D138" s="37"/>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7"/>
      <c r="AK138" s="37"/>
      <c r="AL138" s="37"/>
      <c r="AM138" s="37"/>
      <c r="AN138" s="37"/>
      <c r="AO138" s="39"/>
      <c r="AP138" s="40"/>
    </row>
    <row r="139">
      <c r="A139" s="37"/>
      <c r="B139" s="37"/>
      <c r="C139" s="37"/>
      <c r="D139" s="37"/>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7"/>
      <c r="AK139" s="37"/>
      <c r="AL139" s="37"/>
      <c r="AM139" s="37"/>
      <c r="AN139" s="37"/>
      <c r="AO139" s="39"/>
      <c r="AP139" s="40"/>
    </row>
    <row r="140">
      <c r="A140" s="37"/>
      <c r="B140" s="37"/>
      <c r="C140" s="37"/>
      <c r="D140" s="37"/>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7"/>
      <c r="AK140" s="37"/>
      <c r="AL140" s="37"/>
      <c r="AM140" s="37"/>
      <c r="AN140" s="37"/>
      <c r="AO140" s="39"/>
      <c r="AP140" s="40"/>
    </row>
    <row r="141">
      <c r="A141" s="37"/>
      <c r="B141" s="37"/>
      <c r="C141" s="37"/>
      <c r="D141" s="37"/>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7"/>
      <c r="AK141" s="37"/>
      <c r="AL141" s="37"/>
      <c r="AM141" s="37"/>
      <c r="AN141" s="37"/>
      <c r="AO141" s="39"/>
      <c r="AP141" s="40"/>
    </row>
    <row r="142">
      <c r="A142" s="37"/>
      <c r="B142" s="37"/>
      <c r="C142" s="37"/>
      <c r="D142" s="37"/>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7"/>
      <c r="AK142" s="37"/>
      <c r="AL142" s="37"/>
      <c r="AM142" s="37"/>
      <c r="AN142" s="37"/>
      <c r="AO142" s="39"/>
      <c r="AP142" s="40"/>
    </row>
    <row r="143">
      <c r="A143" s="37"/>
      <c r="B143" s="37"/>
      <c r="C143" s="37"/>
      <c r="D143" s="37"/>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7"/>
      <c r="AK143" s="37"/>
      <c r="AL143" s="37"/>
      <c r="AM143" s="37"/>
      <c r="AN143" s="37"/>
      <c r="AO143" s="39"/>
      <c r="AP143" s="40"/>
    </row>
    <row r="144">
      <c r="A144" s="37"/>
      <c r="B144" s="37"/>
      <c r="C144" s="37"/>
      <c r="D144" s="37"/>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7"/>
      <c r="AK144" s="37"/>
      <c r="AL144" s="37"/>
      <c r="AM144" s="37"/>
      <c r="AN144" s="37"/>
      <c r="AO144" s="39"/>
      <c r="AP144" s="40"/>
    </row>
    <row r="145">
      <c r="A145" s="37"/>
      <c r="B145" s="37"/>
      <c r="C145" s="37"/>
      <c r="D145" s="37"/>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7"/>
      <c r="AK145" s="37"/>
      <c r="AL145" s="37"/>
      <c r="AM145" s="37"/>
      <c r="AN145" s="37"/>
      <c r="AO145" s="39"/>
      <c r="AP145" s="40"/>
    </row>
    <row r="146">
      <c r="A146" s="37"/>
      <c r="B146" s="37"/>
      <c r="C146" s="37"/>
      <c r="D146" s="37"/>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7"/>
      <c r="AK146" s="37"/>
      <c r="AL146" s="37"/>
      <c r="AM146" s="37"/>
      <c r="AN146" s="37"/>
      <c r="AO146" s="39"/>
      <c r="AP146" s="40"/>
    </row>
    <row r="147">
      <c r="A147" s="37"/>
      <c r="B147" s="37"/>
      <c r="C147" s="37"/>
      <c r="D147" s="37"/>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7"/>
      <c r="AK147" s="37"/>
      <c r="AL147" s="37"/>
      <c r="AM147" s="37"/>
      <c r="AN147" s="37"/>
      <c r="AO147" s="39"/>
      <c r="AP147" s="40"/>
    </row>
    <row r="148">
      <c r="A148" s="37"/>
      <c r="B148" s="37"/>
      <c r="C148" s="37"/>
      <c r="D148" s="37"/>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7"/>
      <c r="AK148" s="37"/>
      <c r="AL148" s="37"/>
      <c r="AM148" s="37"/>
      <c r="AN148" s="37"/>
      <c r="AO148" s="39"/>
      <c r="AP148" s="40"/>
    </row>
    <row r="149">
      <c r="A149" s="37"/>
      <c r="B149" s="37"/>
      <c r="C149" s="37"/>
      <c r="D149" s="37"/>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7"/>
      <c r="AK149" s="37"/>
      <c r="AL149" s="37"/>
      <c r="AM149" s="37"/>
      <c r="AN149" s="37"/>
      <c r="AO149" s="39"/>
      <c r="AP149" s="40"/>
    </row>
    <row r="150">
      <c r="A150" s="37"/>
      <c r="B150" s="37"/>
      <c r="C150" s="37"/>
      <c r="D150" s="37"/>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7"/>
      <c r="AK150" s="37"/>
      <c r="AL150" s="37"/>
      <c r="AM150" s="37"/>
      <c r="AN150" s="37"/>
      <c r="AO150" s="39"/>
      <c r="AP150" s="40"/>
    </row>
    <row r="151">
      <c r="A151" s="37"/>
      <c r="B151" s="37"/>
      <c r="C151" s="37"/>
      <c r="D151" s="37"/>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7"/>
      <c r="AK151" s="37"/>
      <c r="AL151" s="37"/>
      <c r="AM151" s="37"/>
      <c r="AN151" s="37"/>
      <c r="AO151" s="39"/>
      <c r="AP151" s="40"/>
    </row>
    <row r="152">
      <c r="A152" s="37"/>
      <c r="B152" s="37"/>
      <c r="C152" s="37"/>
      <c r="D152" s="37"/>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7"/>
      <c r="AK152" s="37"/>
      <c r="AL152" s="37"/>
      <c r="AM152" s="37"/>
      <c r="AN152" s="37"/>
      <c r="AO152" s="39"/>
      <c r="AP152" s="40"/>
    </row>
    <row r="153">
      <c r="A153" s="37"/>
      <c r="B153" s="37"/>
      <c r="C153" s="37"/>
      <c r="D153" s="37"/>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7"/>
      <c r="AK153" s="37"/>
      <c r="AL153" s="37"/>
      <c r="AM153" s="37"/>
      <c r="AN153" s="37"/>
      <c r="AO153" s="39"/>
      <c r="AP153" s="40"/>
    </row>
    <row r="154">
      <c r="A154" s="37"/>
      <c r="B154" s="37"/>
      <c r="C154" s="37"/>
      <c r="D154" s="37"/>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7"/>
      <c r="AK154" s="37"/>
      <c r="AL154" s="37"/>
      <c r="AM154" s="37"/>
      <c r="AN154" s="37"/>
      <c r="AO154" s="39"/>
      <c r="AP154" s="40"/>
    </row>
    <row r="155">
      <c r="A155" s="37"/>
      <c r="B155" s="37"/>
      <c r="C155" s="37"/>
      <c r="D155" s="37"/>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7"/>
      <c r="AK155" s="37"/>
      <c r="AL155" s="37"/>
      <c r="AM155" s="37"/>
      <c r="AN155" s="37"/>
      <c r="AO155" s="39"/>
      <c r="AP155" s="40"/>
    </row>
    <row r="156">
      <c r="A156" s="37"/>
      <c r="B156" s="37"/>
      <c r="C156" s="37"/>
      <c r="D156" s="37"/>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7"/>
      <c r="AK156" s="37"/>
      <c r="AL156" s="37"/>
      <c r="AM156" s="37"/>
      <c r="AN156" s="37"/>
      <c r="AO156" s="39"/>
      <c r="AP156" s="40"/>
    </row>
    <row r="157">
      <c r="A157" s="37"/>
      <c r="B157" s="37"/>
      <c r="C157" s="37"/>
      <c r="D157" s="37"/>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7"/>
      <c r="AK157" s="37"/>
      <c r="AL157" s="37"/>
      <c r="AM157" s="37"/>
      <c r="AN157" s="37"/>
      <c r="AO157" s="39"/>
      <c r="AP157" s="40"/>
    </row>
    <row r="158">
      <c r="A158" s="37"/>
      <c r="B158" s="37"/>
      <c r="C158" s="37"/>
      <c r="D158" s="37"/>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7"/>
      <c r="AK158" s="37"/>
      <c r="AL158" s="37"/>
      <c r="AM158" s="37"/>
      <c r="AN158" s="37"/>
      <c r="AO158" s="39"/>
      <c r="AP158" s="40"/>
    </row>
    <row r="159">
      <c r="A159" s="37"/>
      <c r="B159" s="37"/>
      <c r="C159" s="37"/>
      <c r="D159" s="37"/>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7"/>
      <c r="AK159" s="37"/>
      <c r="AL159" s="37"/>
      <c r="AM159" s="37"/>
      <c r="AN159" s="37"/>
      <c r="AO159" s="39"/>
      <c r="AP159" s="40"/>
    </row>
    <row r="160">
      <c r="A160" s="37"/>
      <c r="B160" s="37"/>
      <c r="C160" s="37"/>
      <c r="D160" s="37"/>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7"/>
      <c r="AK160" s="37"/>
      <c r="AL160" s="37"/>
      <c r="AM160" s="37"/>
      <c r="AN160" s="37"/>
      <c r="AO160" s="39"/>
      <c r="AP160" s="40"/>
    </row>
    <row r="161">
      <c r="A161" s="37"/>
      <c r="B161" s="37"/>
      <c r="C161" s="37"/>
      <c r="D161" s="37"/>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7"/>
      <c r="AK161" s="37"/>
      <c r="AL161" s="37"/>
      <c r="AM161" s="37"/>
      <c r="AN161" s="37"/>
      <c r="AO161" s="39"/>
      <c r="AP161" s="40"/>
    </row>
    <row r="162">
      <c r="A162" s="37"/>
      <c r="B162" s="37"/>
      <c r="C162" s="37"/>
      <c r="D162" s="37"/>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7"/>
      <c r="AK162" s="37"/>
      <c r="AL162" s="37"/>
      <c r="AM162" s="37"/>
      <c r="AN162" s="37"/>
      <c r="AO162" s="39"/>
      <c r="AP162" s="40"/>
    </row>
    <row r="163">
      <c r="A163" s="37"/>
      <c r="B163" s="37"/>
      <c r="C163" s="37"/>
      <c r="D163" s="37"/>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7"/>
      <c r="AK163" s="37"/>
      <c r="AL163" s="37"/>
      <c r="AM163" s="37"/>
      <c r="AN163" s="37"/>
      <c r="AO163" s="39"/>
      <c r="AP163" s="40"/>
    </row>
    <row r="164">
      <c r="A164" s="37"/>
      <c r="B164" s="37"/>
      <c r="C164" s="37"/>
      <c r="D164" s="37"/>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7"/>
      <c r="AK164" s="37"/>
      <c r="AL164" s="37"/>
      <c r="AM164" s="37"/>
      <c r="AN164" s="37"/>
      <c r="AO164" s="39"/>
      <c r="AP164" s="40"/>
    </row>
    <row r="165">
      <c r="A165" s="37"/>
      <c r="B165" s="37"/>
      <c r="C165" s="37"/>
      <c r="D165" s="37"/>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7"/>
      <c r="AK165" s="37"/>
      <c r="AL165" s="37"/>
      <c r="AM165" s="37"/>
      <c r="AN165" s="37"/>
      <c r="AO165" s="39"/>
      <c r="AP165" s="40"/>
    </row>
    <row r="166">
      <c r="A166" s="37"/>
      <c r="B166" s="37"/>
      <c r="C166" s="37"/>
      <c r="D166" s="37"/>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7"/>
      <c r="AK166" s="37"/>
      <c r="AL166" s="37"/>
      <c r="AM166" s="37"/>
      <c r="AN166" s="37"/>
      <c r="AO166" s="39"/>
      <c r="AP166" s="40"/>
    </row>
    <row r="167">
      <c r="A167" s="37"/>
      <c r="B167" s="37"/>
      <c r="C167" s="37"/>
      <c r="D167" s="37"/>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7"/>
      <c r="AK167" s="37"/>
      <c r="AL167" s="37"/>
      <c r="AM167" s="37"/>
      <c r="AN167" s="37"/>
      <c r="AO167" s="39"/>
      <c r="AP167" s="40"/>
    </row>
    <row r="168">
      <c r="A168" s="37"/>
      <c r="B168" s="37"/>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7"/>
      <c r="AK168" s="37"/>
      <c r="AL168" s="37"/>
      <c r="AM168" s="37"/>
      <c r="AN168" s="37"/>
      <c r="AO168" s="39"/>
      <c r="AP168" s="40"/>
    </row>
    <row r="169">
      <c r="A169" s="37"/>
      <c r="B169" s="37"/>
      <c r="C169" s="37"/>
      <c r="D169" s="37"/>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7"/>
      <c r="AK169" s="37"/>
      <c r="AL169" s="37"/>
      <c r="AM169" s="37"/>
      <c r="AN169" s="37"/>
      <c r="AO169" s="39"/>
      <c r="AP169" s="40"/>
    </row>
    <row r="170">
      <c r="A170" s="37"/>
      <c r="B170" s="37"/>
      <c r="C170" s="37"/>
      <c r="D170" s="37"/>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7"/>
      <c r="AK170" s="37"/>
      <c r="AL170" s="37"/>
      <c r="AM170" s="37"/>
      <c r="AN170" s="37"/>
      <c r="AO170" s="39"/>
      <c r="AP170" s="40"/>
    </row>
    <row r="171">
      <c r="A171" s="37"/>
      <c r="B171" s="37"/>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7"/>
      <c r="AK171" s="37"/>
      <c r="AL171" s="37"/>
      <c r="AM171" s="37"/>
      <c r="AN171" s="37"/>
      <c r="AO171" s="39"/>
      <c r="AP171" s="40"/>
    </row>
    <row r="172">
      <c r="A172" s="37"/>
      <c r="B172" s="37"/>
      <c r="C172" s="37"/>
      <c r="D172" s="37"/>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7"/>
      <c r="AK172" s="37"/>
      <c r="AL172" s="37"/>
      <c r="AM172" s="37"/>
      <c r="AN172" s="37"/>
      <c r="AO172" s="39"/>
      <c r="AP172" s="40"/>
    </row>
    <row r="173">
      <c r="A173" s="37"/>
      <c r="B173" s="37"/>
      <c r="C173" s="37"/>
      <c r="D173" s="37"/>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7"/>
      <c r="AK173" s="37"/>
      <c r="AL173" s="37"/>
      <c r="AM173" s="37"/>
      <c r="AN173" s="37"/>
      <c r="AO173" s="39"/>
      <c r="AP173" s="40"/>
    </row>
    <row r="174">
      <c r="A174" s="37"/>
      <c r="B174" s="37"/>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7"/>
      <c r="AK174" s="37"/>
      <c r="AL174" s="37"/>
      <c r="AM174" s="37"/>
      <c r="AN174" s="37"/>
      <c r="AO174" s="39"/>
      <c r="AP174" s="40"/>
    </row>
    <row r="175">
      <c r="A175" s="37"/>
      <c r="B175" s="37"/>
      <c r="C175" s="37"/>
      <c r="D175" s="37"/>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7"/>
      <c r="AK175" s="37"/>
      <c r="AL175" s="37"/>
      <c r="AM175" s="37"/>
      <c r="AN175" s="37"/>
      <c r="AO175" s="39"/>
      <c r="AP175" s="40"/>
    </row>
    <row r="176">
      <c r="A176" s="37"/>
      <c r="B176" s="37"/>
      <c r="C176" s="37"/>
      <c r="D176" s="37"/>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7"/>
      <c r="AK176" s="37"/>
      <c r="AL176" s="37"/>
      <c r="AM176" s="37"/>
      <c r="AN176" s="37"/>
      <c r="AO176" s="39"/>
      <c r="AP176" s="40"/>
    </row>
    <row r="177">
      <c r="A177" s="37"/>
      <c r="B177" s="37"/>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7"/>
      <c r="AK177" s="37"/>
      <c r="AL177" s="37"/>
      <c r="AM177" s="37"/>
      <c r="AN177" s="37"/>
      <c r="AO177" s="39"/>
      <c r="AP177" s="40"/>
    </row>
    <row r="178">
      <c r="A178" s="37"/>
      <c r="B178" s="37"/>
      <c r="C178" s="37"/>
      <c r="D178" s="37"/>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7"/>
      <c r="AK178" s="37"/>
      <c r="AL178" s="37"/>
      <c r="AM178" s="37"/>
      <c r="AN178" s="37"/>
      <c r="AO178" s="39"/>
      <c r="AP178" s="40"/>
    </row>
    <row r="179">
      <c r="A179" s="37"/>
      <c r="B179" s="37"/>
      <c r="C179" s="37"/>
      <c r="D179" s="37"/>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7"/>
      <c r="AK179" s="37"/>
      <c r="AL179" s="37"/>
      <c r="AM179" s="37"/>
      <c r="AN179" s="37"/>
      <c r="AO179" s="39"/>
      <c r="AP179" s="40"/>
    </row>
    <row r="180">
      <c r="A180" s="37"/>
      <c r="B180" s="37"/>
      <c r="C180" s="37"/>
      <c r="D180" s="37"/>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7"/>
      <c r="AK180" s="37"/>
      <c r="AL180" s="37"/>
      <c r="AM180" s="37"/>
      <c r="AN180" s="37"/>
      <c r="AO180" s="39"/>
      <c r="AP180" s="40"/>
    </row>
    <row r="181">
      <c r="A181" s="37"/>
      <c r="B181" s="37"/>
      <c r="C181" s="37"/>
      <c r="D181" s="37"/>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7"/>
      <c r="AK181" s="37"/>
      <c r="AL181" s="37"/>
      <c r="AM181" s="37"/>
      <c r="AN181" s="37"/>
      <c r="AO181" s="39"/>
      <c r="AP181" s="40"/>
    </row>
    <row r="182">
      <c r="A182" s="37"/>
      <c r="B182" s="37"/>
      <c r="C182" s="37"/>
      <c r="D182" s="37"/>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7"/>
      <c r="AK182" s="37"/>
      <c r="AL182" s="37"/>
      <c r="AM182" s="37"/>
      <c r="AN182" s="37"/>
      <c r="AO182" s="39"/>
      <c r="AP182" s="40"/>
    </row>
    <row r="183">
      <c r="A183" s="37"/>
      <c r="B183" s="37"/>
      <c r="C183" s="37"/>
      <c r="D183" s="37"/>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7"/>
      <c r="AK183" s="37"/>
      <c r="AL183" s="37"/>
      <c r="AM183" s="37"/>
      <c r="AN183" s="37"/>
      <c r="AO183" s="39"/>
      <c r="AP183" s="40"/>
    </row>
    <row r="184">
      <c r="A184" s="37"/>
      <c r="B184" s="37"/>
      <c r="C184" s="37"/>
      <c r="D184" s="37"/>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7"/>
      <c r="AK184" s="37"/>
      <c r="AL184" s="37"/>
      <c r="AM184" s="37"/>
      <c r="AN184" s="37"/>
      <c r="AO184" s="39"/>
      <c r="AP184" s="40"/>
    </row>
    <row r="185">
      <c r="A185" s="37"/>
      <c r="B185" s="37"/>
      <c r="C185" s="37"/>
      <c r="D185" s="37"/>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7"/>
      <c r="AK185" s="37"/>
      <c r="AL185" s="37"/>
      <c r="AM185" s="37"/>
      <c r="AN185" s="37"/>
      <c r="AO185" s="39"/>
      <c r="AP185" s="40"/>
    </row>
    <row r="186">
      <c r="A186" s="37"/>
      <c r="B186" s="37"/>
      <c r="C186" s="37"/>
      <c r="D186" s="37"/>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7"/>
      <c r="AK186" s="37"/>
      <c r="AL186" s="37"/>
      <c r="AM186" s="37"/>
      <c r="AN186" s="37"/>
      <c r="AO186" s="39"/>
      <c r="AP186" s="40"/>
    </row>
    <row r="187">
      <c r="A187" s="37"/>
      <c r="B187" s="37"/>
      <c r="C187" s="37"/>
      <c r="D187" s="37"/>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7"/>
      <c r="AK187" s="37"/>
      <c r="AL187" s="37"/>
      <c r="AM187" s="37"/>
      <c r="AN187" s="37"/>
      <c r="AO187" s="39"/>
      <c r="AP187" s="40"/>
    </row>
    <row r="188">
      <c r="A188" s="37"/>
      <c r="B188" s="37"/>
      <c r="C188" s="37"/>
      <c r="D188" s="37"/>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7"/>
      <c r="AK188" s="37"/>
      <c r="AL188" s="37"/>
      <c r="AM188" s="37"/>
      <c r="AN188" s="37"/>
      <c r="AO188" s="39"/>
      <c r="AP188" s="40"/>
    </row>
    <row r="189">
      <c r="A189" s="37"/>
      <c r="B189" s="37"/>
      <c r="C189" s="37"/>
      <c r="D189" s="37"/>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7"/>
      <c r="AK189" s="37"/>
      <c r="AL189" s="37"/>
      <c r="AM189" s="37"/>
      <c r="AN189" s="37"/>
      <c r="AO189" s="39"/>
      <c r="AP189" s="40"/>
    </row>
    <row r="190">
      <c r="A190" s="37"/>
      <c r="B190" s="37"/>
      <c r="C190" s="37"/>
      <c r="D190" s="37"/>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7"/>
      <c r="AK190" s="37"/>
      <c r="AL190" s="37"/>
      <c r="AM190" s="37"/>
      <c r="AN190" s="37"/>
      <c r="AO190" s="39"/>
      <c r="AP190" s="40"/>
    </row>
    <row r="191">
      <c r="A191" s="37"/>
      <c r="B191" s="37"/>
      <c r="C191" s="37"/>
      <c r="D191" s="37"/>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7"/>
      <c r="AK191" s="37"/>
      <c r="AL191" s="37"/>
      <c r="AM191" s="37"/>
      <c r="AN191" s="37"/>
      <c r="AO191" s="39"/>
      <c r="AP191" s="40"/>
    </row>
    <row r="192">
      <c r="A192" s="37"/>
      <c r="B192" s="37"/>
      <c r="C192" s="37"/>
      <c r="D192" s="37"/>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7"/>
      <c r="AK192" s="37"/>
      <c r="AL192" s="37"/>
      <c r="AM192" s="37"/>
      <c r="AN192" s="37"/>
      <c r="AO192" s="39"/>
      <c r="AP192" s="40"/>
    </row>
    <row r="193">
      <c r="A193" s="37"/>
      <c r="B193" s="37"/>
      <c r="C193" s="37"/>
      <c r="D193" s="37"/>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7"/>
      <c r="AK193" s="37"/>
      <c r="AL193" s="37"/>
      <c r="AM193" s="37"/>
      <c r="AN193" s="37"/>
      <c r="AO193" s="39"/>
      <c r="AP193" s="40"/>
    </row>
    <row r="194">
      <c r="A194" s="37"/>
      <c r="B194" s="37"/>
      <c r="C194" s="37"/>
      <c r="D194" s="37"/>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7"/>
      <c r="AK194" s="37"/>
      <c r="AL194" s="37"/>
      <c r="AM194" s="37"/>
      <c r="AN194" s="37"/>
      <c r="AO194" s="39"/>
      <c r="AP194" s="40"/>
    </row>
    <row r="195">
      <c r="A195" s="37"/>
      <c r="B195" s="37"/>
      <c r="C195" s="37"/>
      <c r="D195" s="37"/>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7"/>
      <c r="AK195" s="37"/>
      <c r="AL195" s="37"/>
      <c r="AM195" s="37"/>
      <c r="AN195" s="37"/>
      <c r="AO195" s="39"/>
      <c r="AP195" s="40"/>
    </row>
    <row r="196">
      <c r="A196" s="37"/>
      <c r="B196" s="37"/>
      <c r="C196" s="37"/>
      <c r="D196" s="37"/>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7"/>
      <c r="AK196" s="37"/>
      <c r="AL196" s="37"/>
      <c r="AM196" s="37"/>
      <c r="AN196" s="37"/>
      <c r="AO196" s="39"/>
      <c r="AP196" s="40"/>
    </row>
    <row r="197">
      <c r="A197" s="37"/>
      <c r="B197" s="37"/>
      <c r="C197" s="37"/>
      <c r="D197" s="37"/>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7"/>
      <c r="AK197" s="37"/>
      <c r="AL197" s="37"/>
      <c r="AM197" s="37"/>
      <c r="AN197" s="37"/>
      <c r="AO197" s="39"/>
      <c r="AP197" s="40"/>
    </row>
    <row r="198">
      <c r="A198" s="37"/>
      <c r="B198" s="37"/>
      <c r="C198" s="37"/>
      <c r="D198" s="37"/>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7"/>
      <c r="AK198" s="37"/>
      <c r="AL198" s="37"/>
      <c r="AM198" s="37"/>
      <c r="AN198" s="37"/>
      <c r="AO198" s="39"/>
      <c r="AP198" s="40"/>
    </row>
    <row r="199">
      <c r="A199" s="37"/>
      <c r="B199" s="37"/>
      <c r="C199" s="37"/>
      <c r="D199" s="37"/>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7"/>
      <c r="AK199" s="37"/>
      <c r="AL199" s="37"/>
      <c r="AM199" s="37"/>
      <c r="AN199" s="37"/>
      <c r="AO199" s="39"/>
      <c r="AP199" s="40"/>
    </row>
    <row r="200">
      <c r="A200" s="37"/>
      <c r="B200" s="37"/>
      <c r="C200" s="37"/>
      <c r="D200" s="37"/>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7"/>
      <c r="AK200" s="37"/>
      <c r="AL200" s="37"/>
      <c r="AM200" s="37"/>
      <c r="AN200" s="37"/>
      <c r="AO200" s="39"/>
      <c r="AP200" s="40"/>
    </row>
    <row r="201">
      <c r="A201" s="37"/>
      <c r="B201" s="37"/>
      <c r="C201" s="37"/>
      <c r="D201" s="37"/>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7"/>
      <c r="AK201" s="37"/>
      <c r="AL201" s="37"/>
      <c r="AM201" s="37"/>
      <c r="AN201" s="37"/>
      <c r="AO201" s="39"/>
      <c r="AP201" s="40"/>
    </row>
    <row r="202">
      <c r="A202" s="37"/>
      <c r="B202" s="37"/>
      <c r="C202" s="37"/>
      <c r="D202" s="37"/>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7"/>
      <c r="AK202" s="37"/>
      <c r="AL202" s="37"/>
      <c r="AM202" s="37"/>
      <c r="AN202" s="37"/>
      <c r="AO202" s="39"/>
      <c r="AP202" s="40"/>
    </row>
    <row r="203">
      <c r="A203" s="37"/>
      <c r="B203" s="37"/>
      <c r="C203" s="37"/>
      <c r="D203" s="37"/>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7"/>
      <c r="AK203" s="37"/>
      <c r="AL203" s="37"/>
      <c r="AM203" s="37"/>
      <c r="AN203" s="37"/>
      <c r="AO203" s="39"/>
      <c r="AP203" s="40"/>
    </row>
    <row r="204">
      <c r="A204" s="37"/>
      <c r="B204" s="37"/>
      <c r="C204" s="37"/>
      <c r="D204" s="37"/>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7"/>
      <c r="AK204" s="37"/>
      <c r="AL204" s="37"/>
      <c r="AM204" s="37"/>
      <c r="AN204" s="37"/>
      <c r="AO204" s="39"/>
      <c r="AP204" s="40"/>
    </row>
    <row r="205">
      <c r="A205" s="37"/>
      <c r="B205" s="37"/>
      <c r="C205" s="37"/>
      <c r="D205" s="37"/>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7"/>
      <c r="AK205" s="37"/>
      <c r="AL205" s="37"/>
      <c r="AM205" s="37"/>
      <c r="AN205" s="37"/>
      <c r="AO205" s="39"/>
      <c r="AP205" s="40"/>
    </row>
    <row r="206">
      <c r="A206" s="37"/>
      <c r="B206" s="37"/>
      <c r="C206" s="37"/>
      <c r="D206" s="37"/>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7"/>
      <c r="AK206" s="37"/>
      <c r="AL206" s="37"/>
      <c r="AM206" s="37"/>
      <c r="AN206" s="37"/>
      <c r="AO206" s="39"/>
      <c r="AP206" s="40"/>
    </row>
    <row r="207">
      <c r="A207" s="37"/>
      <c r="B207" s="37"/>
      <c r="C207" s="37"/>
      <c r="D207" s="37"/>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7"/>
      <c r="AK207" s="37"/>
      <c r="AL207" s="37"/>
      <c r="AM207" s="37"/>
      <c r="AN207" s="37"/>
      <c r="AO207" s="39"/>
      <c r="AP207" s="40"/>
    </row>
    <row r="208">
      <c r="A208" s="37"/>
      <c r="B208" s="37"/>
      <c r="C208" s="37"/>
      <c r="D208" s="37"/>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7"/>
      <c r="AK208" s="37"/>
      <c r="AL208" s="37"/>
      <c r="AM208" s="37"/>
      <c r="AN208" s="37"/>
      <c r="AO208" s="39"/>
      <c r="AP208" s="40"/>
    </row>
    <row r="209">
      <c r="A209" s="37"/>
      <c r="B209" s="37"/>
      <c r="C209" s="37"/>
      <c r="D209" s="37"/>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7"/>
      <c r="AK209" s="37"/>
      <c r="AL209" s="37"/>
      <c r="AM209" s="37"/>
      <c r="AN209" s="37"/>
      <c r="AO209" s="39"/>
      <c r="AP209" s="40"/>
    </row>
    <row r="210">
      <c r="A210" s="37"/>
      <c r="B210" s="37"/>
      <c r="C210" s="37"/>
      <c r="D210" s="37"/>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7"/>
      <c r="AK210" s="37"/>
      <c r="AL210" s="37"/>
      <c r="AM210" s="37"/>
      <c r="AN210" s="37"/>
      <c r="AO210" s="39"/>
      <c r="AP210" s="40"/>
    </row>
    <row r="211">
      <c r="A211" s="37"/>
      <c r="B211" s="37"/>
      <c r="C211" s="37"/>
      <c r="D211" s="37"/>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7"/>
      <c r="AK211" s="37"/>
      <c r="AL211" s="37"/>
      <c r="AM211" s="37"/>
      <c r="AN211" s="37"/>
      <c r="AO211" s="39"/>
      <c r="AP211" s="40"/>
    </row>
    <row r="212">
      <c r="A212" s="37"/>
      <c r="B212" s="37"/>
      <c r="C212" s="37"/>
      <c r="D212" s="37"/>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7"/>
      <c r="AK212" s="37"/>
      <c r="AL212" s="37"/>
      <c r="AM212" s="37"/>
      <c r="AN212" s="37"/>
      <c r="AO212" s="39"/>
      <c r="AP212" s="40"/>
    </row>
    <row r="213">
      <c r="A213" s="37"/>
      <c r="B213" s="37"/>
      <c r="C213" s="37"/>
      <c r="D213" s="37"/>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7"/>
      <c r="AK213" s="37"/>
      <c r="AL213" s="37"/>
      <c r="AM213" s="37"/>
      <c r="AN213" s="37"/>
      <c r="AO213" s="39"/>
      <c r="AP213" s="40"/>
    </row>
    <row r="214">
      <c r="A214" s="37"/>
      <c r="B214" s="37"/>
      <c r="C214" s="37"/>
      <c r="D214" s="37"/>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7"/>
      <c r="AK214" s="37"/>
      <c r="AL214" s="37"/>
      <c r="AM214" s="37"/>
      <c r="AN214" s="37"/>
      <c r="AO214" s="39"/>
      <c r="AP214" s="40"/>
    </row>
    <row r="215">
      <c r="A215" s="37"/>
      <c r="B215" s="37"/>
      <c r="C215" s="37"/>
      <c r="D215" s="37"/>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7"/>
      <c r="AK215" s="37"/>
      <c r="AL215" s="37"/>
      <c r="AM215" s="37"/>
      <c r="AN215" s="37"/>
      <c r="AO215" s="39"/>
      <c r="AP215" s="40"/>
    </row>
    <row r="216">
      <c r="A216" s="37"/>
      <c r="B216" s="37"/>
      <c r="C216" s="37"/>
      <c r="D216" s="37"/>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7"/>
      <c r="AK216" s="37"/>
      <c r="AL216" s="37"/>
      <c r="AM216" s="37"/>
      <c r="AN216" s="37"/>
      <c r="AO216" s="39"/>
      <c r="AP216" s="40"/>
    </row>
    <row r="217">
      <c r="A217" s="37"/>
      <c r="B217" s="37"/>
      <c r="C217" s="37"/>
      <c r="D217" s="37"/>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7"/>
      <c r="AK217" s="37"/>
      <c r="AL217" s="37"/>
      <c r="AM217" s="37"/>
      <c r="AN217" s="37"/>
      <c r="AO217" s="39"/>
      <c r="AP217" s="40"/>
    </row>
    <row r="218">
      <c r="A218" s="37"/>
      <c r="B218" s="37"/>
      <c r="C218" s="37"/>
      <c r="D218" s="37"/>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7"/>
      <c r="AK218" s="37"/>
      <c r="AL218" s="37"/>
      <c r="AM218" s="37"/>
      <c r="AN218" s="37"/>
      <c r="AO218" s="39"/>
      <c r="AP218" s="40"/>
    </row>
    <row r="219">
      <c r="A219" s="37"/>
      <c r="B219" s="37"/>
      <c r="C219" s="37"/>
      <c r="D219" s="37"/>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7"/>
      <c r="AK219" s="37"/>
      <c r="AL219" s="37"/>
      <c r="AM219" s="37"/>
      <c r="AN219" s="37"/>
      <c r="AO219" s="39"/>
      <c r="AP219" s="40"/>
    </row>
    <row r="220">
      <c r="A220" s="37"/>
      <c r="B220" s="37"/>
      <c r="C220" s="37"/>
      <c r="D220" s="37"/>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7"/>
      <c r="AK220" s="37"/>
      <c r="AL220" s="37"/>
      <c r="AM220" s="37"/>
      <c r="AN220" s="37"/>
      <c r="AO220" s="39"/>
      <c r="AP220" s="40"/>
    </row>
    <row r="221">
      <c r="A221" s="37"/>
      <c r="B221" s="37"/>
      <c r="C221" s="37"/>
      <c r="D221" s="37"/>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7"/>
      <c r="AK221" s="37"/>
      <c r="AL221" s="37"/>
      <c r="AM221" s="37"/>
      <c r="AN221" s="37"/>
      <c r="AO221" s="39"/>
      <c r="AP221" s="40"/>
    </row>
    <row r="222">
      <c r="A222" s="37"/>
      <c r="B222" s="37"/>
      <c r="C222" s="37"/>
      <c r="D222" s="37"/>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7"/>
      <c r="AK222" s="37"/>
      <c r="AL222" s="37"/>
      <c r="AM222" s="37"/>
      <c r="AN222" s="37"/>
      <c r="AO222" s="39"/>
      <c r="AP222" s="40"/>
    </row>
    <row r="223">
      <c r="A223" s="37"/>
      <c r="B223" s="37"/>
      <c r="C223" s="37"/>
      <c r="D223" s="37"/>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7"/>
      <c r="AK223" s="37"/>
      <c r="AL223" s="37"/>
      <c r="AM223" s="37"/>
      <c r="AN223" s="37"/>
      <c r="AO223" s="39"/>
      <c r="AP223" s="40"/>
    </row>
    <row r="224">
      <c r="A224" s="37"/>
      <c r="B224" s="37"/>
      <c r="C224" s="37"/>
      <c r="D224" s="37"/>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7"/>
      <c r="AK224" s="37"/>
      <c r="AL224" s="37"/>
      <c r="AM224" s="37"/>
      <c r="AN224" s="37"/>
      <c r="AO224" s="39"/>
      <c r="AP224" s="40"/>
    </row>
    <row r="225">
      <c r="A225" s="37"/>
      <c r="B225" s="37"/>
      <c r="C225" s="37"/>
      <c r="D225" s="37"/>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7"/>
      <c r="AK225" s="37"/>
      <c r="AL225" s="37"/>
      <c r="AM225" s="37"/>
      <c r="AN225" s="37"/>
      <c r="AO225" s="39"/>
      <c r="AP225" s="40"/>
    </row>
    <row r="226">
      <c r="A226" s="37"/>
      <c r="B226" s="37"/>
      <c r="C226" s="37"/>
      <c r="D226" s="37"/>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7"/>
      <c r="AK226" s="37"/>
      <c r="AL226" s="37"/>
      <c r="AM226" s="37"/>
      <c r="AN226" s="37"/>
      <c r="AO226" s="39"/>
      <c r="AP226" s="40"/>
    </row>
    <row r="227">
      <c r="A227" s="37"/>
      <c r="B227" s="37"/>
      <c r="C227" s="37"/>
      <c r="D227" s="37"/>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7"/>
      <c r="AK227" s="37"/>
      <c r="AL227" s="37"/>
      <c r="AM227" s="37"/>
      <c r="AN227" s="37"/>
      <c r="AO227" s="39"/>
      <c r="AP227" s="40"/>
    </row>
    <row r="228">
      <c r="A228" s="37"/>
      <c r="B228" s="37"/>
      <c r="C228" s="37"/>
      <c r="D228" s="37"/>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7"/>
      <c r="AK228" s="37"/>
      <c r="AL228" s="37"/>
      <c r="AM228" s="37"/>
      <c r="AN228" s="37"/>
      <c r="AO228" s="39"/>
      <c r="AP228" s="40"/>
    </row>
    <row r="229">
      <c r="A229" s="37"/>
      <c r="B229" s="37"/>
      <c r="C229" s="37"/>
      <c r="D229" s="37"/>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7"/>
      <c r="AK229" s="37"/>
      <c r="AL229" s="37"/>
      <c r="AM229" s="37"/>
      <c r="AN229" s="37"/>
      <c r="AO229" s="39"/>
      <c r="AP229" s="40"/>
    </row>
    <row r="230">
      <c r="A230" s="37"/>
      <c r="B230" s="37"/>
      <c r="C230" s="37"/>
      <c r="D230" s="37"/>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7"/>
      <c r="AK230" s="37"/>
      <c r="AL230" s="37"/>
      <c r="AM230" s="37"/>
      <c r="AN230" s="37"/>
      <c r="AO230" s="39"/>
      <c r="AP230" s="40"/>
    </row>
    <row r="231">
      <c r="A231" s="37"/>
      <c r="B231" s="37"/>
      <c r="C231" s="37"/>
      <c r="D231" s="37"/>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7"/>
      <c r="AK231" s="37"/>
      <c r="AL231" s="37"/>
      <c r="AM231" s="37"/>
      <c r="AN231" s="37"/>
      <c r="AO231" s="39"/>
      <c r="AP231" s="40"/>
    </row>
    <row r="232">
      <c r="A232" s="37"/>
      <c r="B232" s="37"/>
      <c r="C232" s="37"/>
      <c r="D232" s="37"/>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7"/>
      <c r="AK232" s="37"/>
      <c r="AL232" s="37"/>
      <c r="AM232" s="37"/>
      <c r="AN232" s="37"/>
      <c r="AO232" s="39"/>
      <c r="AP232" s="40"/>
    </row>
    <row r="233">
      <c r="A233" s="37"/>
      <c r="B233" s="37"/>
      <c r="C233" s="37"/>
      <c r="D233" s="37"/>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7"/>
      <c r="AK233" s="37"/>
      <c r="AL233" s="37"/>
      <c r="AM233" s="37"/>
      <c r="AN233" s="37"/>
      <c r="AO233" s="39"/>
      <c r="AP233" s="40"/>
    </row>
    <row r="234">
      <c r="A234" s="37"/>
      <c r="B234" s="37"/>
      <c r="C234" s="37"/>
      <c r="D234" s="37"/>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7"/>
      <c r="AK234" s="37"/>
      <c r="AL234" s="37"/>
      <c r="AM234" s="37"/>
      <c r="AN234" s="37"/>
      <c r="AO234" s="39"/>
      <c r="AP234" s="40"/>
    </row>
    <row r="235">
      <c r="A235" s="37"/>
      <c r="B235" s="37"/>
      <c r="C235" s="37"/>
      <c r="D235" s="37"/>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7"/>
      <c r="AK235" s="37"/>
      <c r="AL235" s="37"/>
      <c r="AM235" s="37"/>
      <c r="AN235" s="37"/>
      <c r="AO235" s="39"/>
      <c r="AP235" s="40"/>
    </row>
    <row r="236">
      <c r="A236" s="37"/>
      <c r="B236" s="37"/>
      <c r="C236" s="37"/>
      <c r="D236" s="37"/>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7"/>
      <c r="AK236" s="37"/>
      <c r="AL236" s="37"/>
      <c r="AM236" s="37"/>
      <c r="AN236" s="37"/>
      <c r="AO236" s="39"/>
      <c r="AP236" s="40"/>
    </row>
    <row r="237">
      <c r="A237" s="37"/>
      <c r="B237" s="37"/>
      <c r="C237" s="37"/>
      <c r="D237" s="37"/>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7"/>
      <c r="AK237" s="37"/>
      <c r="AL237" s="37"/>
      <c r="AM237" s="37"/>
      <c r="AN237" s="37"/>
      <c r="AO237" s="39"/>
      <c r="AP237" s="40"/>
    </row>
    <row r="238">
      <c r="A238" s="37"/>
      <c r="B238" s="37"/>
      <c r="C238" s="37"/>
      <c r="D238" s="37"/>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7"/>
      <c r="AK238" s="37"/>
      <c r="AL238" s="37"/>
      <c r="AM238" s="37"/>
      <c r="AN238" s="37"/>
      <c r="AO238" s="39"/>
      <c r="AP238" s="40"/>
    </row>
    <row r="239">
      <c r="A239" s="37"/>
      <c r="B239" s="37"/>
      <c r="C239" s="37"/>
      <c r="D239" s="37"/>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7"/>
      <c r="AK239" s="37"/>
      <c r="AL239" s="37"/>
      <c r="AM239" s="37"/>
      <c r="AN239" s="37"/>
      <c r="AO239" s="39"/>
      <c r="AP239" s="40"/>
    </row>
    <row r="240">
      <c r="A240" s="37"/>
      <c r="B240" s="37"/>
      <c r="C240" s="37"/>
      <c r="D240" s="37"/>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7"/>
      <c r="AK240" s="37"/>
      <c r="AL240" s="37"/>
      <c r="AM240" s="37"/>
      <c r="AN240" s="37"/>
      <c r="AO240" s="39"/>
      <c r="AP240" s="40"/>
    </row>
    <row r="241">
      <c r="A241" s="37"/>
      <c r="B241" s="37"/>
      <c r="C241" s="37"/>
      <c r="D241" s="37"/>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7"/>
      <c r="AK241" s="37"/>
      <c r="AL241" s="37"/>
      <c r="AM241" s="37"/>
      <c r="AN241" s="37"/>
      <c r="AO241" s="39"/>
      <c r="AP241" s="40"/>
    </row>
    <row r="242">
      <c r="A242" s="37"/>
      <c r="B242" s="37"/>
      <c r="C242" s="37"/>
      <c r="D242" s="37"/>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7"/>
      <c r="AK242" s="37"/>
      <c r="AL242" s="37"/>
      <c r="AM242" s="37"/>
      <c r="AN242" s="37"/>
      <c r="AO242" s="39"/>
      <c r="AP242" s="40"/>
    </row>
    <row r="243">
      <c r="A243" s="37"/>
      <c r="B243" s="37"/>
      <c r="C243" s="37"/>
      <c r="D243" s="37"/>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7"/>
      <c r="AK243" s="37"/>
      <c r="AL243" s="37"/>
      <c r="AM243" s="37"/>
      <c r="AN243" s="37"/>
      <c r="AO243" s="39"/>
      <c r="AP243" s="40"/>
    </row>
    <row r="244">
      <c r="A244" s="37"/>
      <c r="B244" s="37"/>
      <c r="C244" s="37"/>
      <c r="D244" s="37"/>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7"/>
      <c r="AK244" s="37"/>
      <c r="AL244" s="37"/>
      <c r="AM244" s="37"/>
      <c r="AN244" s="37"/>
      <c r="AO244" s="39"/>
      <c r="AP244" s="40"/>
    </row>
    <row r="245">
      <c r="A245" s="37"/>
      <c r="B245" s="37"/>
      <c r="C245" s="37"/>
      <c r="D245" s="37"/>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7"/>
      <c r="AK245" s="37"/>
      <c r="AL245" s="37"/>
      <c r="AM245" s="37"/>
      <c r="AN245" s="37"/>
      <c r="AO245" s="39"/>
      <c r="AP245" s="40"/>
    </row>
    <row r="246">
      <c r="A246" s="37"/>
      <c r="B246" s="37"/>
      <c r="C246" s="37"/>
      <c r="D246" s="37"/>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7"/>
      <c r="AK246" s="37"/>
      <c r="AL246" s="37"/>
      <c r="AM246" s="37"/>
      <c r="AN246" s="37"/>
      <c r="AO246" s="39"/>
      <c r="AP246" s="40"/>
    </row>
    <row r="247">
      <c r="A247" s="37"/>
      <c r="B247" s="37"/>
      <c r="C247" s="37"/>
      <c r="D247" s="37"/>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7"/>
      <c r="AK247" s="37"/>
      <c r="AL247" s="37"/>
      <c r="AM247" s="37"/>
      <c r="AN247" s="37"/>
      <c r="AO247" s="39"/>
      <c r="AP247" s="40"/>
    </row>
    <row r="248">
      <c r="A248" s="37"/>
      <c r="B248" s="37"/>
      <c r="C248" s="37"/>
      <c r="D248" s="37"/>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7"/>
      <c r="AK248" s="37"/>
      <c r="AL248" s="37"/>
      <c r="AM248" s="37"/>
      <c r="AN248" s="37"/>
      <c r="AO248" s="39"/>
      <c r="AP248" s="40"/>
    </row>
    <row r="249">
      <c r="A249" s="37"/>
      <c r="B249" s="37"/>
      <c r="C249" s="37"/>
      <c r="D249" s="37"/>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7"/>
      <c r="AK249" s="37"/>
      <c r="AL249" s="37"/>
      <c r="AM249" s="37"/>
      <c r="AN249" s="37"/>
      <c r="AO249" s="39"/>
      <c r="AP249" s="40"/>
    </row>
    <row r="250">
      <c r="A250" s="37"/>
      <c r="B250" s="37"/>
      <c r="C250" s="37"/>
      <c r="D250" s="37"/>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7"/>
      <c r="AK250" s="37"/>
      <c r="AL250" s="37"/>
      <c r="AM250" s="37"/>
      <c r="AN250" s="37"/>
      <c r="AO250" s="39"/>
      <c r="AP250" s="40"/>
    </row>
    <row r="251">
      <c r="A251" s="37"/>
      <c r="B251" s="37"/>
      <c r="C251" s="37"/>
      <c r="D251" s="37"/>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7"/>
      <c r="AK251" s="37"/>
      <c r="AL251" s="37"/>
      <c r="AM251" s="37"/>
      <c r="AN251" s="37"/>
      <c r="AO251" s="39"/>
      <c r="AP251" s="40"/>
    </row>
    <row r="252">
      <c r="A252" s="37"/>
      <c r="B252" s="37"/>
      <c r="C252" s="37"/>
      <c r="D252" s="37"/>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7"/>
      <c r="AK252" s="37"/>
      <c r="AL252" s="37"/>
      <c r="AM252" s="37"/>
      <c r="AN252" s="37"/>
      <c r="AO252" s="39"/>
      <c r="AP252" s="40"/>
    </row>
    <row r="253">
      <c r="A253" s="37"/>
      <c r="B253" s="37"/>
      <c r="C253" s="37"/>
      <c r="D253" s="37"/>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7"/>
      <c r="AK253" s="37"/>
      <c r="AL253" s="37"/>
      <c r="AM253" s="37"/>
      <c r="AN253" s="37"/>
      <c r="AO253" s="39"/>
      <c r="AP253" s="40"/>
    </row>
    <row r="254">
      <c r="A254" s="37"/>
      <c r="B254" s="37"/>
      <c r="C254" s="37"/>
      <c r="D254" s="37"/>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7"/>
      <c r="AK254" s="37"/>
      <c r="AL254" s="37"/>
      <c r="AM254" s="37"/>
      <c r="AN254" s="37"/>
      <c r="AO254" s="39"/>
      <c r="AP254" s="40"/>
    </row>
    <row r="255">
      <c r="A255" s="37"/>
      <c r="B255" s="37"/>
      <c r="C255" s="37"/>
      <c r="D255" s="37"/>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7"/>
      <c r="AK255" s="37"/>
      <c r="AL255" s="37"/>
      <c r="AM255" s="37"/>
      <c r="AN255" s="37"/>
      <c r="AO255" s="39"/>
      <c r="AP255" s="40"/>
    </row>
    <row r="256">
      <c r="A256" s="37"/>
      <c r="B256" s="37"/>
      <c r="C256" s="37"/>
      <c r="D256" s="37"/>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7"/>
      <c r="AK256" s="37"/>
      <c r="AL256" s="37"/>
      <c r="AM256" s="37"/>
      <c r="AN256" s="37"/>
      <c r="AO256" s="39"/>
      <c r="AP256" s="40"/>
    </row>
    <row r="257">
      <c r="A257" s="37"/>
      <c r="B257" s="37"/>
      <c r="C257" s="37"/>
      <c r="D257" s="37"/>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7"/>
      <c r="AK257" s="37"/>
      <c r="AL257" s="37"/>
      <c r="AM257" s="37"/>
      <c r="AN257" s="37"/>
      <c r="AO257" s="39"/>
      <c r="AP257" s="40"/>
    </row>
    <row r="258">
      <c r="A258" s="37"/>
      <c r="B258" s="37"/>
      <c r="C258" s="37"/>
      <c r="D258" s="37"/>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7"/>
      <c r="AK258" s="37"/>
      <c r="AL258" s="37"/>
      <c r="AM258" s="37"/>
      <c r="AN258" s="37"/>
      <c r="AO258" s="39"/>
      <c r="AP258" s="40"/>
    </row>
    <row r="259">
      <c r="A259" s="37"/>
      <c r="B259" s="37"/>
      <c r="C259" s="37"/>
      <c r="D259" s="37"/>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7"/>
      <c r="AK259" s="37"/>
      <c r="AL259" s="37"/>
      <c r="AM259" s="37"/>
      <c r="AN259" s="37"/>
      <c r="AO259" s="39"/>
      <c r="AP259" s="40"/>
    </row>
    <row r="260">
      <c r="A260" s="37"/>
      <c r="B260" s="37"/>
      <c r="C260" s="37"/>
      <c r="D260" s="37"/>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7"/>
      <c r="AK260" s="37"/>
      <c r="AL260" s="37"/>
      <c r="AM260" s="37"/>
      <c r="AN260" s="37"/>
      <c r="AO260" s="39"/>
      <c r="AP260" s="40"/>
    </row>
    <row r="261">
      <c r="A261" s="37"/>
      <c r="B261" s="37"/>
      <c r="C261" s="37"/>
      <c r="D261" s="37"/>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7"/>
      <c r="AK261" s="37"/>
      <c r="AL261" s="37"/>
      <c r="AM261" s="37"/>
      <c r="AN261" s="37"/>
      <c r="AO261" s="39"/>
      <c r="AP261" s="40"/>
    </row>
    <row r="262">
      <c r="A262" s="37"/>
      <c r="B262" s="37"/>
      <c r="C262" s="37"/>
      <c r="D262" s="37"/>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7"/>
      <c r="AK262" s="37"/>
      <c r="AL262" s="37"/>
      <c r="AM262" s="37"/>
      <c r="AN262" s="37"/>
      <c r="AO262" s="39"/>
      <c r="AP262" s="40"/>
    </row>
    <row r="263">
      <c r="A263" s="37"/>
      <c r="B263" s="37"/>
      <c r="C263" s="37"/>
      <c r="D263" s="37"/>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7"/>
      <c r="AK263" s="37"/>
      <c r="AL263" s="37"/>
      <c r="AM263" s="37"/>
      <c r="AN263" s="37"/>
      <c r="AO263" s="39"/>
      <c r="AP263" s="40"/>
    </row>
    <row r="264">
      <c r="A264" s="37"/>
      <c r="B264" s="37"/>
      <c r="C264" s="37"/>
      <c r="D264" s="37"/>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7"/>
      <c r="AK264" s="37"/>
      <c r="AL264" s="37"/>
      <c r="AM264" s="37"/>
      <c r="AN264" s="37"/>
      <c r="AO264" s="39"/>
      <c r="AP264" s="40"/>
    </row>
    <row r="265">
      <c r="A265" s="37"/>
      <c r="B265" s="37"/>
      <c r="C265" s="37"/>
      <c r="D265" s="37"/>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7"/>
      <c r="AK265" s="37"/>
      <c r="AL265" s="37"/>
      <c r="AM265" s="37"/>
      <c r="AN265" s="37"/>
      <c r="AO265" s="39"/>
      <c r="AP265" s="40"/>
    </row>
    <row r="266">
      <c r="A266" s="37"/>
      <c r="B266" s="37"/>
      <c r="C266" s="37"/>
      <c r="D266" s="37"/>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7"/>
      <c r="AK266" s="37"/>
      <c r="AL266" s="37"/>
      <c r="AM266" s="37"/>
      <c r="AN266" s="37"/>
      <c r="AO266" s="39"/>
      <c r="AP266" s="40"/>
    </row>
    <row r="267">
      <c r="A267" s="37"/>
      <c r="B267" s="37"/>
      <c r="C267" s="37"/>
      <c r="D267" s="37"/>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7"/>
      <c r="AK267" s="37"/>
      <c r="AL267" s="37"/>
      <c r="AM267" s="37"/>
      <c r="AN267" s="37"/>
      <c r="AO267" s="39"/>
      <c r="AP267" s="40"/>
    </row>
    <row r="268">
      <c r="A268" s="37"/>
      <c r="B268" s="37"/>
      <c r="C268" s="37"/>
      <c r="D268" s="37"/>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7"/>
      <c r="AK268" s="37"/>
      <c r="AL268" s="37"/>
      <c r="AM268" s="37"/>
      <c r="AN268" s="37"/>
      <c r="AO268" s="39"/>
      <c r="AP268" s="40"/>
    </row>
    <row r="269">
      <c r="A269" s="37"/>
      <c r="B269" s="37"/>
      <c r="C269" s="37"/>
      <c r="D269" s="37"/>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7"/>
      <c r="AK269" s="37"/>
      <c r="AL269" s="37"/>
      <c r="AM269" s="37"/>
      <c r="AN269" s="37"/>
      <c r="AO269" s="39"/>
      <c r="AP269" s="40"/>
    </row>
    <row r="270">
      <c r="A270" s="37"/>
      <c r="B270" s="37"/>
      <c r="C270" s="37"/>
      <c r="D270" s="37"/>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7"/>
      <c r="AK270" s="37"/>
      <c r="AL270" s="37"/>
      <c r="AM270" s="37"/>
      <c r="AN270" s="37"/>
      <c r="AO270" s="39"/>
      <c r="AP270" s="40"/>
    </row>
    <row r="271">
      <c r="A271" s="37"/>
      <c r="B271" s="37"/>
      <c r="C271" s="37"/>
      <c r="D271" s="37"/>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7"/>
      <c r="AK271" s="37"/>
      <c r="AL271" s="37"/>
      <c r="AM271" s="37"/>
      <c r="AN271" s="37"/>
      <c r="AO271" s="39"/>
      <c r="AP271" s="40"/>
    </row>
    <row r="272">
      <c r="A272" s="37"/>
      <c r="B272" s="37"/>
      <c r="C272" s="37"/>
      <c r="D272" s="37"/>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7"/>
      <c r="AK272" s="37"/>
      <c r="AL272" s="37"/>
      <c r="AM272" s="37"/>
      <c r="AN272" s="37"/>
      <c r="AO272" s="39"/>
      <c r="AP272" s="40"/>
    </row>
    <row r="273">
      <c r="A273" s="37"/>
      <c r="B273" s="37"/>
      <c r="C273" s="37"/>
      <c r="D273" s="37"/>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7"/>
      <c r="AK273" s="37"/>
      <c r="AL273" s="37"/>
      <c r="AM273" s="37"/>
      <c r="AN273" s="37"/>
      <c r="AO273" s="39"/>
      <c r="AP273" s="40"/>
    </row>
    <row r="274">
      <c r="A274" s="37"/>
      <c r="B274" s="37"/>
      <c r="C274" s="37"/>
      <c r="D274" s="37"/>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7"/>
      <c r="AK274" s="37"/>
      <c r="AL274" s="37"/>
      <c r="AM274" s="37"/>
      <c r="AN274" s="37"/>
      <c r="AO274" s="39"/>
      <c r="AP274" s="40"/>
    </row>
    <row r="275">
      <c r="A275" s="37"/>
      <c r="B275" s="37"/>
      <c r="C275" s="37"/>
      <c r="D275" s="37"/>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7"/>
      <c r="AK275" s="37"/>
      <c r="AL275" s="37"/>
      <c r="AM275" s="37"/>
      <c r="AN275" s="37"/>
      <c r="AO275" s="39"/>
      <c r="AP275" s="40"/>
    </row>
    <row r="276">
      <c r="A276" s="37"/>
      <c r="B276" s="37"/>
      <c r="C276" s="37"/>
      <c r="D276" s="37"/>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7"/>
      <c r="AK276" s="37"/>
      <c r="AL276" s="37"/>
      <c r="AM276" s="37"/>
      <c r="AN276" s="37"/>
      <c r="AO276" s="39"/>
      <c r="AP276" s="40"/>
    </row>
    <row r="277">
      <c r="A277" s="37"/>
      <c r="B277" s="37"/>
      <c r="C277" s="37"/>
      <c r="D277" s="37"/>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7"/>
      <c r="AK277" s="37"/>
      <c r="AL277" s="37"/>
      <c r="AM277" s="37"/>
      <c r="AN277" s="37"/>
      <c r="AO277" s="39"/>
      <c r="AP277" s="40"/>
    </row>
    <row r="278">
      <c r="A278" s="37"/>
      <c r="B278" s="37"/>
      <c r="C278" s="37"/>
      <c r="D278" s="37"/>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7"/>
      <c r="AK278" s="37"/>
      <c r="AL278" s="37"/>
      <c r="AM278" s="37"/>
      <c r="AN278" s="37"/>
      <c r="AO278" s="39"/>
      <c r="AP278" s="40"/>
    </row>
    <row r="279">
      <c r="A279" s="37"/>
      <c r="B279" s="37"/>
      <c r="C279" s="37"/>
      <c r="D279" s="37"/>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7"/>
      <c r="AK279" s="37"/>
      <c r="AL279" s="37"/>
      <c r="AM279" s="37"/>
      <c r="AN279" s="37"/>
      <c r="AO279" s="39"/>
      <c r="AP279" s="40"/>
    </row>
    <row r="280">
      <c r="A280" s="37"/>
      <c r="B280" s="37"/>
      <c r="C280" s="37"/>
      <c r="D280" s="37"/>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7"/>
      <c r="AK280" s="37"/>
      <c r="AL280" s="37"/>
      <c r="AM280" s="37"/>
      <c r="AN280" s="37"/>
      <c r="AO280" s="39"/>
      <c r="AP280" s="40"/>
    </row>
    <row r="281">
      <c r="A281" s="37"/>
      <c r="B281" s="37"/>
      <c r="C281" s="37"/>
      <c r="D281" s="37"/>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7"/>
      <c r="AK281" s="37"/>
      <c r="AL281" s="37"/>
      <c r="AM281" s="37"/>
      <c r="AN281" s="37"/>
      <c r="AO281" s="39"/>
      <c r="AP281" s="40"/>
    </row>
    <row r="282">
      <c r="A282" s="37"/>
      <c r="B282" s="37"/>
      <c r="C282" s="37"/>
      <c r="D282" s="37"/>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7"/>
      <c r="AK282" s="37"/>
      <c r="AL282" s="37"/>
      <c r="AM282" s="37"/>
      <c r="AN282" s="37"/>
      <c r="AO282" s="39"/>
      <c r="AP282" s="40"/>
    </row>
    <row r="283">
      <c r="A283" s="37"/>
      <c r="B283" s="37"/>
      <c r="C283" s="37"/>
      <c r="D283" s="37"/>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7"/>
      <c r="AK283" s="37"/>
      <c r="AL283" s="37"/>
      <c r="AM283" s="37"/>
      <c r="AN283" s="37"/>
      <c r="AO283" s="39"/>
      <c r="AP283" s="40"/>
    </row>
    <row r="284">
      <c r="A284" s="37"/>
      <c r="B284" s="37"/>
      <c r="C284" s="37"/>
      <c r="D284" s="37"/>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7"/>
      <c r="AK284" s="37"/>
      <c r="AL284" s="37"/>
      <c r="AM284" s="37"/>
      <c r="AN284" s="37"/>
      <c r="AO284" s="39"/>
      <c r="AP284" s="40"/>
    </row>
    <row r="285">
      <c r="A285" s="37"/>
      <c r="B285" s="37"/>
      <c r="C285" s="37"/>
      <c r="D285" s="37"/>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7"/>
      <c r="AK285" s="37"/>
      <c r="AL285" s="37"/>
      <c r="AM285" s="37"/>
      <c r="AN285" s="37"/>
      <c r="AO285" s="39"/>
      <c r="AP285" s="40"/>
    </row>
    <row r="286">
      <c r="A286" s="37"/>
      <c r="B286" s="37"/>
      <c r="C286" s="37"/>
      <c r="D286" s="37"/>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7"/>
      <c r="AK286" s="37"/>
      <c r="AL286" s="37"/>
      <c r="AM286" s="37"/>
      <c r="AN286" s="37"/>
      <c r="AO286" s="39"/>
      <c r="AP286" s="40"/>
    </row>
    <row r="287">
      <c r="A287" s="37"/>
      <c r="B287" s="37"/>
      <c r="C287" s="37"/>
      <c r="D287" s="37"/>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7"/>
      <c r="AK287" s="37"/>
      <c r="AL287" s="37"/>
      <c r="AM287" s="37"/>
      <c r="AN287" s="37"/>
      <c r="AO287" s="39"/>
      <c r="AP287" s="40"/>
    </row>
    <row r="288">
      <c r="A288" s="37"/>
      <c r="B288" s="37"/>
      <c r="C288" s="37"/>
      <c r="D288" s="37"/>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7"/>
      <c r="AK288" s="37"/>
      <c r="AL288" s="37"/>
      <c r="AM288" s="37"/>
      <c r="AN288" s="37"/>
      <c r="AO288" s="39"/>
      <c r="AP288" s="40"/>
    </row>
    <row r="289">
      <c r="A289" s="37"/>
      <c r="B289" s="37"/>
      <c r="C289" s="37"/>
      <c r="D289" s="37"/>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7"/>
      <c r="AK289" s="37"/>
      <c r="AL289" s="37"/>
      <c r="AM289" s="37"/>
      <c r="AN289" s="37"/>
      <c r="AO289" s="39"/>
      <c r="AP289" s="40"/>
    </row>
    <row r="290">
      <c r="A290" s="37"/>
      <c r="B290" s="37"/>
      <c r="C290" s="37"/>
      <c r="D290" s="37"/>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7"/>
      <c r="AK290" s="37"/>
      <c r="AL290" s="37"/>
      <c r="AM290" s="37"/>
      <c r="AN290" s="37"/>
      <c r="AO290" s="39"/>
      <c r="AP290" s="40"/>
    </row>
    <row r="291">
      <c r="A291" s="37"/>
      <c r="B291" s="37"/>
      <c r="C291" s="37"/>
      <c r="D291" s="37"/>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7"/>
      <c r="AK291" s="37"/>
      <c r="AL291" s="37"/>
      <c r="AM291" s="37"/>
      <c r="AN291" s="37"/>
      <c r="AO291" s="39"/>
      <c r="AP291" s="40"/>
    </row>
    <row r="292">
      <c r="A292" s="37"/>
      <c r="B292" s="37"/>
      <c r="C292" s="37"/>
      <c r="D292" s="37"/>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7"/>
      <c r="AK292" s="37"/>
      <c r="AL292" s="37"/>
      <c r="AM292" s="37"/>
      <c r="AN292" s="37"/>
      <c r="AO292" s="39"/>
      <c r="AP292" s="40"/>
    </row>
    <row r="293">
      <c r="A293" s="37"/>
      <c r="B293" s="37"/>
      <c r="C293" s="37"/>
      <c r="D293" s="37"/>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7"/>
      <c r="AK293" s="37"/>
      <c r="AL293" s="37"/>
      <c r="AM293" s="37"/>
      <c r="AN293" s="37"/>
      <c r="AO293" s="39"/>
      <c r="AP293" s="40"/>
    </row>
    <row r="294">
      <c r="A294" s="37"/>
      <c r="B294" s="37"/>
      <c r="C294" s="37"/>
      <c r="D294" s="37"/>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7"/>
      <c r="AK294" s="37"/>
      <c r="AL294" s="37"/>
      <c r="AM294" s="37"/>
      <c r="AN294" s="37"/>
      <c r="AO294" s="39"/>
      <c r="AP294" s="40"/>
    </row>
    <row r="295">
      <c r="A295" s="37"/>
      <c r="B295" s="37"/>
      <c r="C295" s="37"/>
      <c r="D295" s="37"/>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7"/>
      <c r="AK295" s="37"/>
      <c r="AL295" s="37"/>
      <c r="AM295" s="37"/>
      <c r="AN295" s="37"/>
      <c r="AO295" s="39"/>
      <c r="AP295" s="40"/>
    </row>
    <row r="296">
      <c r="A296" s="37"/>
      <c r="B296" s="37"/>
      <c r="C296" s="37"/>
      <c r="D296" s="37"/>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7"/>
      <c r="AK296" s="37"/>
      <c r="AL296" s="37"/>
      <c r="AM296" s="37"/>
      <c r="AN296" s="37"/>
      <c r="AO296" s="39"/>
      <c r="AP296" s="40"/>
    </row>
    <row r="297">
      <c r="A297" s="37"/>
      <c r="B297" s="37"/>
      <c r="C297" s="37"/>
      <c r="D297" s="37"/>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7"/>
      <c r="AK297" s="37"/>
      <c r="AL297" s="37"/>
      <c r="AM297" s="37"/>
      <c r="AN297" s="37"/>
      <c r="AO297" s="39"/>
      <c r="AP297" s="40"/>
    </row>
    <row r="298">
      <c r="A298" s="37"/>
      <c r="B298" s="37"/>
      <c r="C298" s="37"/>
      <c r="D298" s="37"/>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7"/>
      <c r="AK298" s="37"/>
      <c r="AL298" s="37"/>
      <c r="AM298" s="37"/>
      <c r="AN298" s="37"/>
      <c r="AO298" s="39"/>
      <c r="AP298" s="40"/>
    </row>
    <row r="299">
      <c r="A299" s="37"/>
      <c r="B299" s="37"/>
      <c r="C299" s="37"/>
      <c r="D299" s="37"/>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7"/>
      <c r="AK299" s="37"/>
      <c r="AL299" s="37"/>
      <c r="AM299" s="37"/>
      <c r="AN299" s="37"/>
      <c r="AO299" s="39"/>
      <c r="AP299" s="40"/>
    </row>
    <row r="300">
      <c r="A300" s="37"/>
      <c r="B300" s="37"/>
      <c r="C300" s="37"/>
      <c r="D300" s="37"/>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7"/>
      <c r="AK300" s="37"/>
      <c r="AL300" s="37"/>
      <c r="AM300" s="37"/>
      <c r="AN300" s="37"/>
      <c r="AO300" s="39"/>
      <c r="AP300" s="40"/>
    </row>
    <row r="301">
      <c r="A301" s="37"/>
      <c r="B301" s="37"/>
      <c r="C301" s="37"/>
      <c r="D301" s="37"/>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7"/>
      <c r="AK301" s="37"/>
      <c r="AL301" s="37"/>
      <c r="AM301" s="37"/>
      <c r="AN301" s="37"/>
      <c r="AO301" s="39"/>
      <c r="AP301" s="40"/>
    </row>
    <row r="302">
      <c r="A302" s="37"/>
      <c r="B302" s="37"/>
      <c r="C302" s="37"/>
      <c r="D302" s="37"/>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7"/>
      <c r="AK302" s="37"/>
      <c r="AL302" s="37"/>
      <c r="AM302" s="37"/>
      <c r="AN302" s="37"/>
      <c r="AO302" s="39"/>
      <c r="AP302" s="40"/>
    </row>
    <row r="303">
      <c r="A303" s="37"/>
      <c r="B303" s="37"/>
      <c r="C303" s="37"/>
      <c r="D303" s="37"/>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7"/>
      <c r="AK303" s="37"/>
      <c r="AL303" s="37"/>
      <c r="AM303" s="37"/>
      <c r="AN303" s="37"/>
      <c r="AO303" s="39"/>
      <c r="AP303" s="40"/>
    </row>
    <row r="304">
      <c r="A304" s="37"/>
      <c r="B304" s="37"/>
      <c r="C304" s="37"/>
      <c r="D304" s="37"/>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7"/>
      <c r="AK304" s="37"/>
      <c r="AL304" s="37"/>
      <c r="AM304" s="37"/>
      <c r="AN304" s="37"/>
      <c r="AO304" s="39"/>
      <c r="AP304" s="40"/>
    </row>
    <row r="305">
      <c r="A305" s="37"/>
      <c r="B305" s="37"/>
      <c r="C305" s="37"/>
      <c r="D305" s="37"/>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7"/>
      <c r="AK305" s="37"/>
      <c r="AL305" s="37"/>
      <c r="AM305" s="37"/>
      <c r="AN305" s="37"/>
      <c r="AO305" s="39"/>
      <c r="AP305" s="40"/>
    </row>
    <row r="306">
      <c r="A306" s="37"/>
      <c r="B306" s="37"/>
      <c r="C306" s="37"/>
      <c r="D306" s="37"/>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7"/>
      <c r="AK306" s="37"/>
      <c r="AL306" s="37"/>
      <c r="AM306" s="37"/>
      <c r="AN306" s="37"/>
      <c r="AO306" s="39"/>
      <c r="AP306" s="40"/>
    </row>
    <row r="307">
      <c r="A307" s="37"/>
      <c r="B307" s="37"/>
      <c r="C307" s="37"/>
      <c r="D307" s="37"/>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7"/>
      <c r="AK307" s="37"/>
      <c r="AL307" s="37"/>
      <c r="AM307" s="37"/>
      <c r="AN307" s="37"/>
      <c r="AO307" s="39"/>
      <c r="AP307" s="40"/>
    </row>
    <row r="308">
      <c r="A308" s="37"/>
      <c r="B308" s="37"/>
      <c r="C308" s="37"/>
      <c r="D308" s="37"/>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7"/>
      <c r="AK308" s="37"/>
      <c r="AL308" s="37"/>
      <c r="AM308" s="37"/>
      <c r="AN308" s="37"/>
      <c r="AO308" s="39"/>
      <c r="AP308" s="40"/>
    </row>
    <row r="309">
      <c r="A309" s="37"/>
      <c r="B309" s="37"/>
      <c r="C309" s="37"/>
      <c r="D309" s="37"/>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7"/>
      <c r="AK309" s="37"/>
      <c r="AL309" s="37"/>
      <c r="AM309" s="37"/>
      <c r="AN309" s="37"/>
      <c r="AO309" s="39"/>
      <c r="AP309" s="40"/>
    </row>
    <row r="310">
      <c r="A310" s="37"/>
      <c r="B310" s="37"/>
      <c r="C310" s="37"/>
      <c r="D310" s="37"/>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7"/>
      <c r="AK310" s="37"/>
      <c r="AL310" s="37"/>
      <c r="AM310" s="37"/>
      <c r="AN310" s="37"/>
      <c r="AO310" s="39"/>
      <c r="AP310" s="40"/>
    </row>
    <row r="311">
      <c r="A311" s="37"/>
      <c r="B311" s="37"/>
      <c r="C311" s="37"/>
      <c r="D311" s="37"/>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7"/>
      <c r="AK311" s="37"/>
      <c r="AL311" s="37"/>
      <c r="AM311" s="37"/>
      <c r="AN311" s="37"/>
      <c r="AO311" s="39"/>
      <c r="AP311" s="40"/>
    </row>
    <row r="312">
      <c r="A312" s="37"/>
      <c r="B312" s="37"/>
      <c r="C312" s="37"/>
      <c r="D312" s="37"/>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7"/>
      <c r="AK312" s="37"/>
      <c r="AL312" s="37"/>
      <c r="AM312" s="37"/>
      <c r="AN312" s="37"/>
      <c r="AO312" s="39"/>
      <c r="AP312" s="40"/>
    </row>
    <row r="313">
      <c r="A313" s="37"/>
      <c r="B313" s="37"/>
      <c r="C313" s="37"/>
      <c r="D313" s="37"/>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7"/>
      <c r="AK313" s="37"/>
      <c r="AL313" s="37"/>
      <c r="AM313" s="37"/>
      <c r="AN313" s="37"/>
      <c r="AO313" s="39"/>
      <c r="AP313" s="40"/>
    </row>
    <row r="314">
      <c r="A314" s="37"/>
      <c r="B314" s="37"/>
      <c r="C314" s="37"/>
      <c r="D314" s="37"/>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7"/>
      <c r="AK314" s="37"/>
      <c r="AL314" s="37"/>
      <c r="AM314" s="37"/>
      <c r="AN314" s="37"/>
      <c r="AO314" s="39"/>
      <c r="AP314" s="40"/>
    </row>
    <row r="315">
      <c r="A315" s="37"/>
      <c r="B315" s="37"/>
      <c r="C315" s="37"/>
      <c r="D315" s="37"/>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7"/>
      <c r="AK315" s="37"/>
      <c r="AL315" s="37"/>
      <c r="AM315" s="37"/>
      <c r="AN315" s="37"/>
      <c r="AO315" s="39"/>
      <c r="AP315" s="40"/>
    </row>
    <row r="316">
      <c r="A316" s="37"/>
      <c r="B316" s="37"/>
      <c r="C316" s="37"/>
      <c r="D316" s="37"/>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7"/>
      <c r="AK316" s="37"/>
      <c r="AL316" s="37"/>
      <c r="AM316" s="37"/>
      <c r="AN316" s="37"/>
      <c r="AO316" s="39"/>
      <c r="AP316" s="40"/>
    </row>
    <row r="317">
      <c r="A317" s="37"/>
      <c r="B317" s="37"/>
      <c r="C317" s="37"/>
      <c r="D317" s="37"/>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7"/>
      <c r="AK317" s="37"/>
      <c r="AL317" s="37"/>
      <c r="AM317" s="37"/>
      <c r="AN317" s="37"/>
      <c r="AO317" s="39"/>
      <c r="AP317" s="40"/>
    </row>
    <row r="318">
      <c r="A318" s="37"/>
      <c r="B318" s="37"/>
      <c r="C318" s="37"/>
      <c r="D318" s="37"/>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7"/>
      <c r="AK318" s="37"/>
      <c r="AL318" s="37"/>
      <c r="AM318" s="37"/>
      <c r="AN318" s="37"/>
      <c r="AO318" s="39"/>
      <c r="AP318" s="40"/>
    </row>
    <row r="319">
      <c r="A319" s="37"/>
      <c r="B319" s="37"/>
      <c r="C319" s="37"/>
      <c r="D319" s="37"/>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7"/>
      <c r="AK319" s="37"/>
      <c r="AL319" s="37"/>
      <c r="AM319" s="37"/>
      <c r="AN319" s="37"/>
      <c r="AO319" s="39"/>
      <c r="AP319" s="40"/>
    </row>
    <row r="320">
      <c r="A320" s="37"/>
      <c r="B320" s="37"/>
      <c r="C320" s="37"/>
      <c r="D320" s="37"/>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7"/>
      <c r="AK320" s="37"/>
      <c r="AL320" s="37"/>
      <c r="AM320" s="37"/>
      <c r="AN320" s="37"/>
      <c r="AO320" s="39"/>
      <c r="AP320" s="40"/>
    </row>
    <row r="321">
      <c r="A321" s="37"/>
      <c r="B321" s="37"/>
      <c r="C321" s="37"/>
      <c r="D321" s="37"/>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7"/>
      <c r="AK321" s="37"/>
      <c r="AL321" s="37"/>
      <c r="AM321" s="37"/>
      <c r="AN321" s="37"/>
      <c r="AO321" s="39"/>
      <c r="AP321" s="40"/>
    </row>
    <row r="322">
      <c r="A322" s="37"/>
      <c r="B322" s="37"/>
      <c r="C322" s="37"/>
      <c r="D322" s="37"/>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7"/>
      <c r="AK322" s="37"/>
      <c r="AL322" s="37"/>
      <c r="AM322" s="37"/>
      <c r="AN322" s="37"/>
      <c r="AO322" s="39"/>
      <c r="AP322" s="40"/>
    </row>
    <row r="323">
      <c r="A323" s="37"/>
      <c r="B323" s="37"/>
      <c r="C323" s="37"/>
      <c r="D323" s="37"/>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7"/>
      <c r="AK323" s="37"/>
      <c r="AL323" s="37"/>
      <c r="AM323" s="37"/>
      <c r="AN323" s="37"/>
      <c r="AO323" s="39"/>
      <c r="AP323" s="40"/>
    </row>
    <row r="324">
      <c r="A324" s="37"/>
      <c r="B324" s="37"/>
      <c r="C324" s="37"/>
      <c r="D324" s="37"/>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7"/>
      <c r="AK324" s="37"/>
      <c r="AL324" s="37"/>
      <c r="AM324" s="37"/>
      <c r="AN324" s="37"/>
      <c r="AO324" s="39"/>
      <c r="AP324" s="40"/>
    </row>
    <row r="325">
      <c r="A325" s="37"/>
      <c r="B325" s="37"/>
      <c r="C325" s="37"/>
      <c r="D325" s="37"/>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7"/>
      <c r="AK325" s="37"/>
      <c r="AL325" s="37"/>
      <c r="AM325" s="37"/>
      <c r="AN325" s="37"/>
      <c r="AO325" s="39"/>
      <c r="AP325" s="40"/>
    </row>
    <row r="326">
      <c r="A326" s="37"/>
      <c r="B326" s="37"/>
      <c r="C326" s="37"/>
      <c r="D326" s="37"/>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7"/>
      <c r="AK326" s="37"/>
      <c r="AL326" s="37"/>
      <c r="AM326" s="37"/>
      <c r="AN326" s="37"/>
      <c r="AO326" s="39"/>
      <c r="AP326" s="40"/>
    </row>
    <row r="327">
      <c r="A327" s="37"/>
      <c r="B327" s="37"/>
      <c r="C327" s="37"/>
      <c r="D327" s="37"/>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7"/>
      <c r="AK327" s="37"/>
      <c r="AL327" s="37"/>
      <c r="AM327" s="37"/>
      <c r="AN327" s="37"/>
      <c r="AO327" s="39"/>
      <c r="AP327" s="40"/>
    </row>
    <row r="328">
      <c r="A328" s="37"/>
      <c r="B328" s="37"/>
      <c r="C328" s="37"/>
      <c r="D328" s="37"/>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7"/>
      <c r="AK328" s="37"/>
      <c r="AL328" s="37"/>
      <c r="AM328" s="37"/>
      <c r="AN328" s="37"/>
      <c r="AO328" s="39"/>
      <c r="AP328" s="40"/>
    </row>
    <row r="329">
      <c r="A329" s="37"/>
      <c r="B329" s="37"/>
      <c r="C329" s="37"/>
      <c r="D329" s="37"/>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7"/>
      <c r="AK329" s="37"/>
      <c r="AL329" s="37"/>
      <c r="AM329" s="37"/>
      <c r="AN329" s="37"/>
      <c r="AO329" s="39"/>
      <c r="AP329" s="40"/>
    </row>
    <row r="330">
      <c r="A330" s="37"/>
      <c r="B330" s="37"/>
      <c r="C330" s="37"/>
      <c r="D330" s="37"/>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7"/>
      <c r="AK330" s="37"/>
      <c r="AL330" s="37"/>
      <c r="AM330" s="37"/>
      <c r="AN330" s="37"/>
      <c r="AO330" s="39"/>
      <c r="AP330" s="40"/>
    </row>
    <row r="331">
      <c r="A331" s="37"/>
      <c r="B331" s="37"/>
      <c r="C331" s="37"/>
      <c r="D331" s="37"/>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7"/>
      <c r="AK331" s="37"/>
      <c r="AL331" s="37"/>
      <c r="AM331" s="37"/>
      <c r="AN331" s="37"/>
      <c r="AO331" s="39"/>
      <c r="AP331" s="40"/>
    </row>
    <row r="332">
      <c r="A332" s="37"/>
      <c r="B332" s="37"/>
      <c r="C332" s="37"/>
      <c r="D332" s="37"/>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7"/>
      <c r="AK332" s="37"/>
      <c r="AL332" s="37"/>
      <c r="AM332" s="37"/>
      <c r="AN332" s="37"/>
      <c r="AO332" s="39"/>
      <c r="AP332" s="40"/>
    </row>
    <row r="333">
      <c r="A333" s="37"/>
      <c r="B333" s="37"/>
      <c r="C333" s="37"/>
      <c r="D333" s="37"/>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7"/>
      <c r="AK333" s="37"/>
      <c r="AL333" s="37"/>
      <c r="AM333" s="37"/>
      <c r="AN333" s="37"/>
      <c r="AO333" s="39"/>
      <c r="AP333" s="40"/>
    </row>
    <row r="334">
      <c r="A334" s="37"/>
      <c r="B334" s="37"/>
      <c r="C334" s="37"/>
      <c r="D334" s="37"/>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7"/>
      <c r="AK334" s="37"/>
      <c r="AL334" s="37"/>
      <c r="AM334" s="37"/>
      <c r="AN334" s="37"/>
      <c r="AO334" s="39"/>
      <c r="AP334" s="40"/>
    </row>
    <row r="335">
      <c r="A335" s="37"/>
      <c r="B335" s="37"/>
      <c r="C335" s="37"/>
      <c r="D335" s="37"/>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7"/>
      <c r="AK335" s="37"/>
      <c r="AL335" s="37"/>
      <c r="AM335" s="37"/>
      <c r="AN335" s="37"/>
      <c r="AO335" s="39"/>
      <c r="AP335" s="40"/>
    </row>
    <row r="336">
      <c r="A336" s="37"/>
      <c r="B336" s="37"/>
      <c r="C336" s="37"/>
      <c r="D336" s="37"/>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7"/>
      <c r="AK336" s="37"/>
      <c r="AL336" s="37"/>
      <c r="AM336" s="37"/>
      <c r="AN336" s="37"/>
      <c r="AO336" s="39"/>
      <c r="AP336" s="40"/>
    </row>
    <row r="337">
      <c r="A337" s="37"/>
      <c r="B337" s="37"/>
      <c r="C337" s="37"/>
      <c r="D337" s="37"/>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7"/>
      <c r="AK337" s="37"/>
      <c r="AL337" s="37"/>
      <c r="AM337" s="37"/>
      <c r="AN337" s="37"/>
      <c r="AO337" s="39"/>
      <c r="AP337" s="40"/>
    </row>
    <row r="338">
      <c r="A338" s="37"/>
      <c r="B338" s="37"/>
      <c r="C338" s="37"/>
      <c r="D338" s="37"/>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7"/>
      <c r="AK338" s="37"/>
      <c r="AL338" s="37"/>
      <c r="AM338" s="37"/>
      <c r="AN338" s="37"/>
      <c r="AO338" s="39"/>
      <c r="AP338" s="40"/>
    </row>
    <row r="339">
      <c r="A339" s="37"/>
      <c r="B339" s="37"/>
      <c r="C339" s="37"/>
      <c r="D339" s="37"/>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7"/>
      <c r="AK339" s="37"/>
      <c r="AL339" s="37"/>
      <c r="AM339" s="37"/>
      <c r="AN339" s="37"/>
      <c r="AO339" s="39"/>
      <c r="AP339" s="40"/>
    </row>
    <row r="340">
      <c r="A340" s="37"/>
      <c r="B340" s="37"/>
      <c r="C340" s="37"/>
      <c r="D340" s="37"/>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7"/>
      <c r="AK340" s="37"/>
      <c r="AL340" s="37"/>
      <c r="AM340" s="37"/>
      <c r="AN340" s="37"/>
      <c r="AO340" s="39"/>
      <c r="AP340" s="40"/>
    </row>
    <row r="341">
      <c r="A341" s="37"/>
      <c r="B341" s="37"/>
      <c r="C341" s="37"/>
      <c r="D341" s="37"/>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7"/>
      <c r="AK341" s="37"/>
      <c r="AL341" s="37"/>
      <c r="AM341" s="37"/>
      <c r="AN341" s="37"/>
      <c r="AO341" s="39"/>
      <c r="AP341" s="40"/>
    </row>
    <row r="342">
      <c r="A342" s="37"/>
      <c r="B342" s="37"/>
      <c r="C342" s="37"/>
      <c r="D342" s="37"/>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7"/>
      <c r="AK342" s="37"/>
      <c r="AL342" s="37"/>
      <c r="AM342" s="37"/>
      <c r="AN342" s="37"/>
      <c r="AO342" s="39"/>
      <c r="AP342" s="40"/>
    </row>
    <row r="343">
      <c r="A343" s="37"/>
      <c r="B343" s="37"/>
      <c r="C343" s="37"/>
      <c r="D343" s="37"/>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7"/>
      <c r="AK343" s="37"/>
      <c r="AL343" s="37"/>
      <c r="AM343" s="37"/>
      <c r="AN343" s="37"/>
      <c r="AO343" s="39"/>
      <c r="AP343" s="40"/>
    </row>
    <row r="344">
      <c r="A344" s="37"/>
      <c r="B344" s="37"/>
      <c r="C344" s="37"/>
      <c r="D344" s="37"/>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7"/>
      <c r="AK344" s="37"/>
      <c r="AL344" s="37"/>
      <c r="AM344" s="37"/>
      <c r="AN344" s="37"/>
      <c r="AO344" s="39"/>
      <c r="AP344" s="40"/>
    </row>
    <row r="345">
      <c r="A345" s="37"/>
      <c r="B345" s="37"/>
      <c r="C345" s="37"/>
      <c r="D345" s="37"/>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7"/>
      <c r="AK345" s="37"/>
      <c r="AL345" s="37"/>
      <c r="AM345" s="37"/>
      <c r="AN345" s="37"/>
      <c r="AO345" s="39"/>
      <c r="AP345" s="40"/>
    </row>
    <row r="346">
      <c r="A346" s="37"/>
      <c r="B346" s="37"/>
      <c r="C346" s="37"/>
      <c r="D346" s="37"/>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7"/>
      <c r="AK346" s="37"/>
      <c r="AL346" s="37"/>
      <c r="AM346" s="37"/>
      <c r="AN346" s="37"/>
      <c r="AO346" s="39"/>
      <c r="AP346" s="40"/>
    </row>
    <row r="347">
      <c r="A347" s="37"/>
      <c r="B347" s="37"/>
      <c r="C347" s="37"/>
      <c r="D347" s="37"/>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7"/>
      <c r="AK347" s="37"/>
      <c r="AL347" s="37"/>
      <c r="AM347" s="37"/>
      <c r="AN347" s="37"/>
      <c r="AO347" s="39"/>
      <c r="AP347" s="40"/>
    </row>
    <row r="348">
      <c r="A348" s="37"/>
      <c r="B348" s="37"/>
      <c r="C348" s="37"/>
      <c r="D348" s="37"/>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7"/>
      <c r="AK348" s="37"/>
      <c r="AL348" s="37"/>
      <c r="AM348" s="37"/>
      <c r="AN348" s="37"/>
      <c r="AO348" s="39"/>
      <c r="AP348" s="40"/>
    </row>
    <row r="349">
      <c r="A349" s="37"/>
      <c r="B349" s="37"/>
      <c r="C349" s="37"/>
      <c r="D349" s="37"/>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7"/>
      <c r="AK349" s="37"/>
      <c r="AL349" s="37"/>
      <c r="AM349" s="37"/>
      <c r="AN349" s="37"/>
      <c r="AO349" s="39"/>
      <c r="AP349" s="40"/>
    </row>
    <row r="350">
      <c r="A350" s="37"/>
      <c r="B350" s="37"/>
      <c r="C350" s="37"/>
      <c r="D350" s="37"/>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7"/>
      <c r="AK350" s="37"/>
      <c r="AL350" s="37"/>
      <c r="AM350" s="37"/>
      <c r="AN350" s="37"/>
      <c r="AO350" s="39"/>
      <c r="AP350" s="40"/>
    </row>
    <row r="351">
      <c r="A351" s="37"/>
      <c r="B351" s="37"/>
      <c r="C351" s="37"/>
      <c r="D351" s="37"/>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7"/>
      <c r="AK351" s="37"/>
      <c r="AL351" s="37"/>
      <c r="AM351" s="37"/>
      <c r="AN351" s="37"/>
      <c r="AO351" s="39"/>
      <c r="AP351" s="40"/>
    </row>
    <row r="352">
      <c r="A352" s="37"/>
      <c r="B352" s="37"/>
      <c r="C352" s="37"/>
      <c r="D352" s="37"/>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7"/>
      <c r="AK352" s="37"/>
      <c r="AL352" s="37"/>
      <c r="AM352" s="37"/>
      <c r="AN352" s="37"/>
      <c r="AO352" s="39"/>
      <c r="AP352" s="40"/>
    </row>
    <row r="353">
      <c r="A353" s="37"/>
      <c r="B353" s="37"/>
      <c r="C353" s="37"/>
      <c r="D353" s="37"/>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7"/>
      <c r="AK353" s="37"/>
      <c r="AL353" s="37"/>
      <c r="AM353" s="37"/>
      <c r="AN353" s="37"/>
      <c r="AO353" s="39"/>
      <c r="AP353" s="40"/>
    </row>
    <row r="354">
      <c r="A354" s="37"/>
      <c r="B354" s="37"/>
      <c r="C354" s="37"/>
      <c r="D354" s="37"/>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7"/>
      <c r="AK354" s="37"/>
      <c r="AL354" s="37"/>
      <c r="AM354" s="37"/>
      <c r="AN354" s="37"/>
      <c r="AO354" s="39"/>
      <c r="AP354" s="40"/>
    </row>
    <row r="355">
      <c r="A355" s="37"/>
      <c r="B355" s="37"/>
      <c r="C355" s="37"/>
      <c r="D355" s="37"/>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7"/>
      <c r="AK355" s="37"/>
      <c r="AL355" s="37"/>
      <c r="AM355" s="37"/>
      <c r="AN355" s="37"/>
      <c r="AO355" s="39"/>
      <c r="AP355" s="40"/>
    </row>
    <row r="356">
      <c r="A356" s="37"/>
      <c r="B356" s="37"/>
      <c r="C356" s="37"/>
      <c r="D356" s="37"/>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7"/>
      <c r="AK356" s="37"/>
      <c r="AL356" s="37"/>
      <c r="AM356" s="37"/>
      <c r="AN356" s="37"/>
      <c r="AO356" s="39"/>
      <c r="AP356" s="40"/>
    </row>
    <row r="357">
      <c r="A357" s="37"/>
      <c r="B357" s="37"/>
      <c r="C357" s="37"/>
      <c r="D357" s="37"/>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7"/>
      <c r="AK357" s="37"/>
      <c r="AL357" s="37"/>
      <c r="AM357" s="37"/>
      <c r="AN357" s="37"/>
      <c r="AO357" s="39"/>
      <c r="AP357" s="40"/>
    </row>
    <row r="358">
      <c r="A358" s="37"/>
      <c r="B358" s="37"/>
      <c r="C358" s="37"/>
      <c r="D358" s="37"/>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7"/>
      <c r="AK358" s="37"/>
      <c r="AL358" s="37"/>
      <c r="AM358" s="37"/>
      <c r="AN358" s="37"/>
      <c r="AO358" s="39"/>
      <c r="AP358" s="40"/>
    </row>
    <row r="359">
      <c r="A359" s="37"/>
      <c r="B359" s="37"/>
      <c r="C359" s="37"/>
      <c r="D359" s="37"/>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7"/>
      <c r="AK359" s="37"/>
      <c r="AL359" s="37"/>
      <c r="AM359" s="37"/>
      <c r="AN359" s="37"/>
      <c r="AO359" s="39"/>
      <c r="AP359" s="40"/>
    </row>
    <row r="360">
      <c r="A360" s="37"/>
      <c r="B360" s="37"/>
      <c r="C360" s="37"/>
      <c r="D360" s="37"/>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7"/>
      <c r="AK360" s="37"/>
      <c r="AL360" s="37"/>
      <c r="AM360" s="37"/>
      <c r="AN360" s="37"/>
      <c r="AO360" s="39"/>
      <c r="AP360" s="40"/>
    </row>
    <row r="361">
      <c r="A361" s="37"/>
      <c r="B361" s="37"/>
      <c r="C361" s="37"/>
      <c r="D361" s="37"/>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7"/>
      <c r="AK361" s="37"/>
      <c r="AL361" s="37"/>
      <c r="AM361" s="37"/>
      <c r="AN361" s="37"/>
      <c r="AO361" s="39"/>
      <c r="AP361" s="40"/>
    </row>
    <row r="362">
      <c r="A362" s="37"/>
      <c r="B362" s="37"/>
      <c r="C362" s="37"/>
      <c r="D362" s="37"/>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7"/>
      <c r="AK362" s="37"/>
      <c r="AL362" s="37"/>
      <c r="AM362" s="37"/>
      <c r="AN362" s="37"/>
      <c r="AO362" s="39"/>
      <c r="AP362" s="40"/>
    </row>
    <row r="363">
      <c r="A363" s="37"/>
      <c r="B363" s="37"/>
      <c r="C363" s="37"/>
      <c r="D363" s="37"/>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7"/>
      <c r="AK363" s="37"/>
      <c r="AL363" s="37"/>
      <c r="AM363" s="37"/>
      <c r="AN363" s="37"/>
      <c r="AO363" s="39"/>
      <c r="AP363" s="40"/>
    </row>
    <row r="364">
      <c r="A364" s="37"/>
      <c r="B364" s="37"/>
      <c r="C364" s="37"/>
      <c r="D364" s="37"/>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7"/>
      <c r="AK364" s="37"/>
      <c r="AL364" s="37"/>
      <c r="AM364" s="37"/>
      <c r="AN364" s="37"/>
      <c r="AO364" s="39"/>
      <c r="AP364" s="40"/>
    </row>
    <row r="365">
      <c r="A365" s="37"/>
      <c r="B365" s="37"/>
      <c r="C365" s="37"/>
      <c r="D365" s="37"/>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7"/>
      <c r="AK365" s="37"/>
      <c r="AL365" s="37"/>
      <c r="AM365" s="37"/>
      <c r="AN365" s="37"/>
      <c r="AO365" s="39"/>
      <c r="AP365" s="40"/>
    </row>
    <row r="366">
      <c r="A366" s="37"/>
      <c r="B366" s="37"/>
      <c r="C366" s="37"/>
      <c r="D366" s="37"/>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7"/>
      <c r="AK366" s="37"/>
      <c r="AL366" s="37"/>
      <c r="AM366" s="37"/>
      <c r="AN366" s="37"/>
      <c r="AO366" s="39"/>
      <c r="AP366" s="40"/>
    </row>
    <row r="367">
      <c r="A367" s="37"/>
      <c r="B367" s="37"/>
      <c r="C367" s="37"/>
      <c r="D367" s="37"/>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7"/>
      <c r="AK367" s="37"/>
      <c r="AL367" s="37"/>
      <c r="AM367" s="37"/>
      <c r="AN367" s="37"/>
      <c r="AO367" s="39"/>
      <c r="AP367" s="40"/>
    </row>
    <row r="368">
      <c r="A368" s="37"/>
      <c r="B368" s="37"/>
      <c r="C368" s="37"/>
      <c r="D368" s="37"/>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7"/>
      <c r="AK368" s="37"/>
      <c r="AL368" s="37"/>
      <c r="AM368" s="37"/>
      <c r="AN368" s="37"/>
      <c r="AO368" s="39"/>
      <c r="AP368" s="40"/>
    </row>
    <row r="369">
      <c r="A369" s="37"/>
      <c r="B369" s="37"/>
      <c r="C369" s="37"/>
      <c r="D369" s="37"/>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7"/>
      <c r="AK369" s="37"/>
      <c r="AL369" s="37"/>
      <c r="AM369" s="37"/>
      <c r="AN369" s="37"/>
      <c r="AO369" s="39"/>
      <c r="AP369" s="40"/>
    </row>
    <row r="370">
      <c r="A370" s="37"/>
      <c r="B370" s="37"/>
      <c r="C370" s="37"/>
      <c r="D370" s="37"/>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7"/>
      <c r="AK370" s="37"/>
      <c r="AL370" s="37"/>
      <c r="AM370" s="37"/>
      <c r="AN370" s="37"/>
      <c r="AO370" s="39"/>
      <c r="AP370" s="40"/>
    </row>
    <row r="371">
      <c r="A371" s="37"/>
      <c r="B371" s="37"/>
      <c r="C371" s="37"/>
      <c r="D371" s="37"/>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7"/>
      <c r="AK371" s="37"/>
      <c r="AL371" s="37"/>
      <c r="AM371" s="37"/>
      <c r="AN371" s="37"/>
      <c r="AO371" s="39"/>
      <c r="AP371" s="40"/>
    </row>
    <row r="372">
      <c r="A372" s="37"/>
      <c r="B372" s="37"/>
      <c r="C372" s="37"/>
      <c r="D372" s="37"/>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7"/>
      <c r="AK372" s="37"/>
      <c r="AL372" s="37"/>
      <c r="AM372" s="37"/>
      <c r="AN372" s="37"/>
      <c r="AO372" s="39"/>
      <c r="AP372" s="40"/>
    </row>
    <row r="373">
      <c r="A373" s="37"/>
      <c r="B373" s="37"/>
      <c r="C373" s="37"/>
      <c r="D373" s="37"/>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7"/>
      <c r="AK373" s="37"/>
      <c r="AL373" s="37"/>
      <c r="AM373" s="37"/>
      <c r="AN373" s="37"/>
      <c r="AO373" s="39"/>
      <c r="AP373" s="40"/>
    </row>
    <row r="374">
      <c r="A374" s="37"/>
      <c r="B374" s="37"/>
      <c r="C374" s="37"/>
      <c r="D374" s="37"/>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7"/>
      <c r="AK374" s="37"/>
      <c r="AL374" s="37"/>
      <c r="AM374" s="37"/>
      <c r="AN374" s="37"/>
      <c r="AO374" s="39"/>
      <c r="AP374" s="40"/>
    </row>
    <row r="375">
      <c r="A375" s="37"/>
      <c r="B375" s="37"/>
      <c r="C375" s="37"/>
      <c r="D375" s="37"/>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7"/>
      <c r="AK375" s="37"/>
      <c r="AL375" s="37"/>
      <c r="AM375" s="37"/>
      <c r="AN375" s="37"/>
      <c r="AO375" s="39"/>
      <c r="AP375" s="40"/>
    </row>
    <row r="376">
      <c r="A376" s="37"/>
      <c r="B376" s="37"/>
      <c r="C376" s="37"/>
      <c r="D376" s="37"/>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7"/>
      <c r="AK376" s="37"/>
      <c r="AL376" s="37"/>
      <c r="AM376" s="37"/>
      <c r="AN376" s="37"/>
      <c r="AO376" s="39"/>
      <c r="AP376" s="40"/>
    </row>
    <row r="377">
      <c r="A377" s="37"/>
      <c r="B377" s="37"/>
      <c r="C377" s="37"/>
      <c r="D377" s="37"/>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7"/>
      <c r="AK377" s="37"/>
      <c r="AL377" s="37"/>
      <c r="AM377" s="37"/>
      <c r="AN377" s="37"/>
      <c r="AO377" s="39"/>
      <c r="AP377" s="40"/>
    </row>
    <row r="378">
      <c r="A378" s="37"/>
      <c r="B378" s="37"/>
      <c r="C378" s="37"/>
      <c r="D378" s="37"/>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7"/>
      <c r="AK378" s="37"/>
      <c r="AL378" s="37"/>
      <c r="AM378" s="37"/>
      <c r="AN378" s="37"/>
      <c r="AO378" s="39"/>
      <c r="AP378" s="40"/>
    </row>
    <row r="379">
      <c r="A379" s="37"/>
      <c r="B379" s="37"/>
      <c r="C379" s="37"/>
      <c r="D379" s="37"/>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7"/>
      <c r="AK379" s="37"/>
      <c r="AL379" s="37"/>
      <c r="AM379" s="37"/>
      <c r="AN379" s="37"/>
      <c r="AO379" s="39"/>
      <c r="AP379" s="40"/>
    </row>
    <row r="380">
      <c r="A380" s="37"/>
      <c r="B380" s="37"/>
      <c r="C380" s="37"/>
      <c r="D380" s="37"/>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7"/>
      <c r="AK380" s="37"/>
      <c r="AL380" s="37"/>
      <c r="AM380" s="37"/>
      <c r="AN380" s="37"/>
      <c r="AO380" s="39"/>
      <c r="AP380" s="40"/>
    </row>
    <row r="381">
      <c r="A381" s="37"/>
      <c r="B381" s="37"/>
      <c r="C381" s="37"/>
      <c r="D381" s="37"/>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7"/>
      <c r="AK381" s="37"/>
      <c r="AL381" s="37"/>
      <c r="AM381" s="37"/>
      <c r="AN381" s="37"/>
      <c r="AO381" s="39"/>
      <c r="AP381" s="40"/>
    </row>
    <row r="382">
      <c r="A382" s="37"/>
      <c r="B382" s="37"/>
      <c r="C382" s="37"/>
      <c r="D382" s="37"/>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7"/>
      <c r="AK382" s="37"/>
      <c r="AL382" s="37"/>
      <c r="AM382" s="37"/>
      <c r="AN382" s="37"/>
      <c r="AO382" s="39"/>
      <c r="AP382" s="40"/>
    </row>
    <row r="383">
      <c r="A383" s="37"/>
      <c r="B383" s="37"/>
      <c r="C383" s="37"/>
      <c r="D383" s="37"/>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7"/>
      <c r="AK383" s="37"/>
      <c r="AL383" s="37"/>
      <c r="AM383" s="37"/>
      <c r="AN383" s="37"/>
      <c r="AO383" s="39"/>
      <c r="AP383" s="40"/>
    </row>
    <row r="384">
      <c r="A384" s="37"/>
      <c r="B384" s="37"/>
      <c r="C384" s="37"/>
      <c r="D384" s="37"/>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7"/>
      <c r="AK384" s="37"/>
      <c r="AL384" s="37"/>
      <c r="AM384" s="37"/>
      <c r="AN384" s="37"/>
      <c r="AO384" s="39"/>
      <c r="AP384" s="40"/>
    </row>
    <row r="385">
      <c r="A385" s="37"/>
      <c r="B385" s="37"/>
      <c r="C385" s="37"/>
      <c r="D385" s="37"/>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7"/>
      <c r="AK385" s="37"/>
      <c r="AL385" s="37"/>
      <c r="AM385" s="37"/>
      <c r="AN385" s="37"/>
      <c r="AO385" s="39"/>
      <c r="AP385" s="40"/>
    </row>
    <row r="386">
      <c r="A386" s="37"/>
      <c r="B386" s="37"/>
      <c r="C386" s="37"/>
      <c r="D386" s="37"/>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7"/>
      <c r="AK386" s="37"/>
      <c r="AL386" s="37"/>
      <c r="AM386" s="37"/>
      <c r="AN386" s="37"/>
      <c r="AO386" s="39"/>
      <c r="AP386" s="40"/>
    </row>
    <row r="387">
      <c r="A387" s="37"/>
      <c r="B387" s="37"/>
      <c r="C387" s="37"/>
      <c r="D387" s="37"/>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7"/>
      <c r="AK387" s="37"/>
      <c r="AL387" s="37"/>
      <c r="AM387" s="37"/>
      <c r="AN387" s="37"/>
      <c r="AO387" s="39"/>
      <c r="AP387" s="40"/>
    </row>
    <row r="388">
      <c r="A388" s="37"/>
      <c r="B388" s="37"/>
      <c r="C388" s="37"/>
      <c r="D388" s="37"/>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7"/>
      <c r="AK388" s="37"/>
      <c r="AL388" s="37"/>
      <c r="AM388" s="37"/>
      <c r="AN388" s="37"/>
      <c r="AO388" s="39"/>
      <c r="AP388" s="40"/>
    </row>
    <row r="389">
      <c r="A389" s="37"/>
      <c r="B389" s="37"/>
      <c r="C389" s="37"/>
      <c r="D389" s="37"/>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7"/>
      <c r="AK389" s="37"/>
      <c r="AL389" s="37"/>
      <c r="AM389" s="37"/>
      <c r="AN389" s="37"/>
      <c r="AO389" s="39"/>
      <c r="AP389" s="40"/>
    </row>
    <row r="390">
      <c r="A390" s="37"/>
      <c r="B390" s="37"/>
      <c r="C390" s="37"/>
      <c r="D390" s="37"/>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7"/>
      <c r="AK390" s="37"/>
      <c r="AL390" s="37"/>
      <c r="AM390" s="37"/>
      <c r="AN390" s="37"/>
      <c r="AO390" s="39"/>
      <c r="AP390" s="40"/>
    </row>
    <row r="391">
      <c r="A391" s="37"/>
      <c r="B391" s="37"/>
      <c r="C391" s="37"/>
      <c r="D391" s="37"/>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7"/>
      <c r="AK391" s="37"/>
      <c r="AL391" s="37"/>
      <c r="AM391" s="37"/>
      <c r="AN391" s="37"/>
      <c r="AO391" s="39"/>
      <c r="AP391" s="40"/>
    </row>
    <row r="392">
      <c r="A392" s="37"/>
      <c r="B392" s="37"/>
      <c r="C392" s="37"/>
      <c r="D392" s="37"/>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7"/>
      <c r="AK392" s="37"/>
      <c r="AL392" s="37"/>
      <c r="AM392" s="37"/>
      <c r="AN392" s="37"/>
      <c r="AO392" s="39"/>
      <c r="AP392" s="40"/>
    </row>
    <row r="393">
      <c r="A393" s="37"/>
      <c r="B393" s="37"/>
      <c r="C393" s="37"/>
      <c r="D393" s="37"/>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7"/>
      <c r="AK393" s="37"/>
      <c r="AL393" s="37"/>
      <c r="AM393" s="37"/>
      <c r="AN393" s="37"/>
      <c r="AO393" s="39"/>
      <c r="AP393" s="40"/>
    </row>
    <row r="394">
      <c r="A394" s="37"/>
      <c r="B394" s="37"/>
      <c r="C394" s="37"/>
      <c r="D394" s="37"/>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7"/>
      <c r="AK394" s="37"/>
      <c r="AL394" s="37"/>
      <c r="AM394" s="37"/>
      <c r="AN394" s="37"/>
      <c r="AO394" s="39"/>
      <c r="AP394" s="40"/>
    </row>
    <row r="395">
      <c r="A395" s="37"/>
      <c r="B395" s="37"/>
      <c r="C395" s="37"/>
      <c r="D395" s="37"/>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7"/>
      <c r="AK395" s="37"/>
      <c r="AL395" s="37"/>
      <c r="AM395" s="37"/>
      <c r="AN395" s="37"/>
      <c r="AO395" s="39"/>
      <c r="AP395" s="40"/>
    </row>
    <row r="396">
      <c r="A396" s="37"/>
      <c r="B396" s="37"/>
      <c r="C396" s="37"/>
      <c r="D396" s="37"/>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7"/>
      <c r="AK396" s="37"/>
      <c r="AL396" s="37"/>
      <c r="AM396" s="37"/>
      <c r="AN396" s="37"/>
      <c r="AO396" s="39"/>
      <c r="AP396" s="40"/>
    </row>
    <row r="397">
      <c r="A397" s="37"/>
      <c r="B397" s="37"/>
      <c r="C397" s="37"/>
      <c r="D397" s="37"/>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7"/>
      <c r="AK397" s="37"/>
      <c r="AL397" s="37"/>
      <c r="AM397" s="37"/>
      <c r="AN397" s="37"/>
      <c r="AO397" s="39"/>
      <c r="AP397" s="40"/>
    </row>
    <row r="398">
      <c r="A398" s="37"/>
      <c r="B398" s="37"/>
      <c r="C398" s="37"/>
      <c r="D398" s="37"/>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7"/>
      <c r="AK398" s="37"/>
      <c r="AL398" s="37"/>
      <c r="AM398" s="37"/>
      <c r="AN398" s="37"/>
      <c r="AO398" s="39"/>
      <c r="AP398" s="40"/>
    </row>
    <row r="399">
      <c r="A399" s="37"/>
      <c r="B399" s="37"/>
      <c r="C399" s="37"/>
      <c r="D399" s="37"/>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7"/>
      <c r="AK399" s="37"/>
      <c r="AL399" s="37"/>
      <c r="AM399" s="37"/>
      <c r="AN399" s="37"/>
      <c r="AO399" s="39"/>
      <c r="AP399" s="40"/>
    </row>
    <row r="400">
      <c r="A400" s="37"/>
      <c r="B400" s="37"/>
      <c r="C400" s="37"/>
      <c r="D400" s="37"/>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7"/>
      <c r="AK400" s="37"/>
      <c r="AL400" s="37"/>
      <c r="AM400" s="37"/>
      <c r="AN400" s="37"/>
      <c r="AO400" s="39"/>
      <c r="AP400" s="40"/>
    </row>
    <row r="401">
      <c r="A401" s="37"/>
      <c r="B401" s="37"/>
      <c r="C401" s="37"/>
      <c r="D401" s="37"/>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7"/>
      <c r="AK401" s="37"/>
      <c r="AL401" s="37"/>
      <c r="AM401" s="37"/>
      <c r="AN401" s="37"/>
      <c r="AO401" s="39"/>
      <c r="AP401" s="40"/>
    </row>
    <row r="402">
      <c r="A402" s="37"/>
      <c r="B402" s="37"/>
      <c r="C402" s="37"/>
      <c r="D402" s="37"/>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7"/>
      <c r="AK402" s="37"/>
      <c r="AL402" s="37"/>
      <c r="AM402" s="37"/>
      <c r="AN402" s="37"/>
      <c r="AO402" s="39"/>
      <c r="AP402" s="40"/>
    </row>
    <row r="403">
      <c r="A403" s="37"/>
      <c r="B403" s="37"/>
      <c r="C403" s="37"/>
      <c r="D403" s="37"/>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7"/>
      <c r="AK403" s="37"/>
      <c r="AL403" s="37"/>
      <c r="AM403" s="37"/>
      <c r="AN403" s="37"/>
      <c r="AO403" s="39"/>
      <c r="AP403" s="40"/>
    </row>
    <row r="404">
      <c r="A404" s="37"/>
      <c r="B404" s="37"/>
      <c r="C404" s="37"/>
      <c r="D404" s="37"/>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7"/>
      <c r="AK404" s="37"/>
      <c r="AL404" s="37"/>
      <c r="AM404" s="37"/>
      <c r="AN404" s="37"/>
      <c r="AO404" s="39"/>
      <c r="AP404" s="40"/>
    </row>
    <row r="405">
      <c r="A405" s="37"/>
      <c r="B405" s="37"/>
      <c r="C405" s="37"/>
      <c r="D405" s="37"/>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7"/>
      <c r="AK405" s="37"/>
      <c r="AL405" s="37"/>
      <c r="AM405" s="37"/>
      <c r="AN405" s="37"/>
      <c r="AO405" s="39"/>
      <c r="AP405" s="40"/>
    </row>
    <row r="406">
      <c r="A406" s="37"/>
      <c r="B406" s="37"/>
      <c r="C406" s="37"/>
      <c r="D406" s="37"/>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7"/>
      <c r="AK406" s="37"/>
      <c r="AL406" s="37"/>
      <c r="AM406" s="37"/>
      <c r="AN406" s="37"/>
      <c r="AO406" s="39"/>
      <c r="AP406" s="40"/>
    </row>
    <row r="407">
      <c r="A407" s="37"/>
      <c r="B407" s="37"/>
      <c r="C407" s="37"/>
      <c r="D407" s="37"/>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7"/>
      <c r="AK407" s="37"/>
      <c r="AL407" s="37"/>
      <c r="AM407" s="37"/>
      <c r="AN407" s="37"/>
      <c r="AO407" s="39"/>
      <c r="AP407" s="40"/>
    </row>
    <row r="408">
      <c r="A408" s="37"/>
      <c r="B408" s="37"/>
      <c r="C408" s="37"/>
      <c r="D408" s="37"/>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7"/>
      <c r="AK408" s="37"/>
      <c r="AL408" s="37"/>
      <c r="AM408" s="37"/>
      <c r="AN408" s="37"/>
      <c r="AO408" s="39"/>
      <c r="AP408" s="40"/>
    </row>
    <row r="409">
      <c r="A409" s="37"/>
      <c r="B409" s="37"/>
      <c r="C409" s="37"/>
      <c r="D409" s="37"/>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7"/>
      <c r="AK409" s="37"/>
      <c r="AL409" s="37"/>
      <c r="AM409" s="37"/>
      <c r="AN409" s="37"/>
      <c r="AO409" s="39"/>
      <c r="AP409" s="40"/>
    </row>
    <row r="410">
      <c r="A410" s="37"/>
      <c r="B410" s="37"/>
      <c r="C410" s="37"/>
      <c r="D410" s="37"/>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7"/>
      <c r="AK410" s="37"/>
      <c r="AL410" s="37"/>
      <c r="AM410" s="37"/>
      <c r="AN410" s="37"/>
      <c r="AO410" s="39"/>
      <c r="AP410" s="40"/>
    </row>
    <row r="411">
      <c r="A411" s="37"/>
      <c r="B411" s="37"/>
      <c r="C411" s="37"/>
      <c r="D411" s="37"/>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7"/>
      <c r="AK411" s="37"/>
      <c r="AL411" s="37"/>
      <c r="AM411" s="37"/>
      <c r="AN411" s="37"/>
      <c r="AO411" s="39"/>
      <c r="AP411" s="40"/>
    </row>
    <row r="412">
      <c r="A412" s="37"/>
      <c r="B412" s="37"/>
      <c r="C412" s="37"/>
      <c r="D412" s="37"/>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7"/>
      <c r="AK412" s="37"/>
      <c r="AL412" s="37"/>
      <c r="AM412" s="37"/>
      <c r="AN412" s="37"/>
      <c r="AO412" s="39"/>
      <c r="AP412" s="40"/>
    </row>
    <row r="413">
      <c r="A413" s="37"/>
      <c r="B413" s="37"/>
      <c r="C413" s="37"/>
      <c r="D413" s="37"/>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7"/>
      <c r="AK413" s="37"/>
      <c r="AL413" s="37"/>
      <c r="AM413" s="37"/>
      <c r="AN413" s="37"/>
      <c r="AO413" s="39"/>
      <c r="AP413" s="40"/>
    </row>
    <row r="414">
      <c r="A414" s="37"/>
      <c r="B414" s="37"/>
      <c r="C414" s="37"/>
      <c r="D414" s="37"/>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7"/>
      <c r="AK414" s="37"/>
      <c r="AL414" s="37"/>
      <c r="AM414" s="37"/>
      <c r="AN414" s="37"/>
      <c r="AO414" s="39"/>
      <c r="AP414" s="40"/>
    </row>
    <row r="415">
      <c r="A415" s="37"/>
      <c r="B415" s="37"/>
      <c r="C415" s="37"/>
      <c r="D415" s="37"/>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7"/>
      <c r="AK415" s="37"/>
      <c r="AL415" s="37"/>
      <c r="AM415" s="37"/>
      <c r="AN415" s="37"/>
      <c r="AO415" s="39"/>
      <c r="AP415" s="40"/>
    </row>
    <row r="416">
      <c r="A416" s="37"/>
      <c r="B416" s="37"/>
      <c r="C416" s="37"/>
      <c r="D416" s="37"/>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7"/>
      <c r="AK416" s="37"/>
      <c r="AL416" s="37"/>
      <c r="AM416" s="37"/>
      <c r="AN416" s="37"/>
      <c r="AO416" s="39"/>
      <c r="AP416" s="40"/>
    </row>
    <row r="417">
      <c r="A417" s="37"/>
      <c r="B417" s="37"/>
      <c r="C417" s="37"/>
      <c r="D417" s="37"/>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7"/>
      <c r="AK417" s="37"/>
      <c r="AL417" s="37"/>
      <c r="AM417" s="37"/>
      <c r="AN417" s="37"/>
      <c r="AO417" s="39"/>
      <c r="AP417" s="40"/>
    </row>
    <row r="418">
      <c r="A418" s="37"/>
      <c r="B418" s="37"/>
      <c r="C418" s="37"/>
      <c r="D418" s="37"/>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7"/>
      <c r="AK418" s="37"/>
      <c r="AL418" s="37"/>
      <c r="AM418" s="37"/>
      <c r="AN418" s="37"/>
      <c r="AO418" s="39"/>
      <c r="AP418" s="40"/>
    </row>
    <row r="419">
      <c r="A419" s="37"/>
      <c r="B419" s="37"/>
      <c r="C419" s="37"/>
      <c r="D419" s="37"/>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7"/>
      <c r="AK419" s="37"/>
      <c r="AL419" s="37"/>
      <c r="AM419" s="37"/>
      <c r="AN419" s="37"/>
      <c r="AO419" s="39"/>
      <c r="AP419" s="40"/>
    </row>
    <row r="420">
      <c r="A420" s="37"/>
      <c r="B420" s="37"/>
      <c r="C420" s="37"/>
      <c r="D420" s="37"/>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7"/>
      <c r="AK420" s="37"/>
      <c r="AL420" s="37"/>
      <c r="AM420" s="37"/>
      <c r="AN420" s="37"/>
      <c r="AO420" s="39"/>
      <c r="AP420" s="40"/>
    </row>
    <row r="421">
      <c r="A421" s="37"/>
      <c r="B421" s="37"/>
      <c r="C421" s="37"/>
      <c r="D421" s="37"/>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7"/>
      <c r="AK421" s="37"/>
      <c r="AL421" s="37"/>
      <c r="AM421" s="37"/>
      <c r="AN421" s="37"/>
      <c r="AO421" s="39"/>
      <c r="AP421" s="40"/>
    </row>
    <row r="422">
      <c r="A422" s="37"/>
      <c r="B422" s="37"/>
      <c r="C422" s="37"/>
      <c r="D422" s="37"/>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7"/>
      <c r="AK422" s="37"/>
      <c r="AL422" s="37"/>
      <c r="AM422" s="37"/>
      <c r="AN422" s="37"/>
      <c r="AO422" s="39"/>
      <c r="AP422" s="40"/>
    </row>
    <row r="423">
      <c r="A423" s="37"/>
      <c r="B423" s="37"/>
      <c r="C423" s="37"/>
      <c r="D423" s="37"/>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7"/>
      <c r="AK423" s="37"/>
      <c r="AL423" s="37"/>
      <c r="AM423" s="37"/>
      <c r="AN423" s="37"/>
      <c r="AO423" s="39"/>
      <c r="AP423" s="40"/>
    </row>
    <row r="424">
      <c r="A424" s="37"/>
      <c r="B424" s="37"/>
      <c r="C424" s="37"/>
      <c r="D424" s="37"/>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7"/>
      <c r="AK424" s="37"/>
      <c r="AL424" s="37"/>
      <c r="AM424" s="37"/>
      <c r="AN424" s="37"/>
      <c r="AO424" s="39"/>
      <c r="AP424" s="40"/>
    </row>
    <row r="425">
      <c r="A425" s="37"/>
      <c r="B425" s="37"/>
      <c r="C425" s="37"/>
      <c r="D425" s="37"/>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7"/>
      <c r="AK425" s="37"/>
      <c r="AL425" s="37"/>
      <c r="AM425" s="37"/>
      <c r="AN425" s="37"/>
      <c r="AO425" s="39"/>
      <c r="AP425" s="40"/>
    </row>
    <row r="426">
      <c r="A426" s="37"/>
      <c r="B426" s="37"/>
      <c r="C426" s="37"/>
      <c r="D426" s="37"/>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7"/>
      <c r="AK426" s="37"/>
      <c r="AL426" s="37"/>
      <c r="AM426" s="37"/>
      <c r="AN426" s="37"/>
      <c r="AO426" s="39"/>
      <c r="AP426" s="40"/>
    </row>
    <row r="427">
      <c r="A427" s="37"/>
      <c r="B427" s="37"/>
      <c r="C427" s="37"/>
      <c r="D427" s="37"/>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7"/>
      <c r="AK427" s="37"/>
      <c r="AL427" s="37"/>
      <c r="AM427" s="37"/>
      <c r="AN427" s="37"/>
      <c r="AO427" s="39"/>
      <c r="AP427" s="40"/>
    </row>
    <row r="428">
      <c r="A428" s="37"/>
      <c r="B428" s="37"/>
      <c r="C428" s="37"/>
      <c r="D428" s="37"/>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7"/>
      <c r="AK428" s="37"/>
      <c r="AL428" s="37"/>
      <c r="AM428" s="37"/>
      <c r="AN428" s="37"/>
      <c r="AO428" s="39"/>
      <c r="AP428" s="40"/>
    </row>
    <row r="429">
      <c r="A429" s="37"/>
      <c r="B429" s="37"/>
      <c r="C429" s="37"/>
      <c r="D429" s="37"/>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7"/>
      <c r="AK429" s="37"/>
      <c r="AL429" s="37"/>
      <c r="AM429" s="37"/>
      <c r="AN429" s="37"/>
      <c r="AO429" s="39"/>
      <c r="AP429" s="40"/>
    </row>
    <row r="430">
      <c r="A430" s="37"/>
      <c r="B430" s="37"/>
      <c r="C430" s="37"/>
      <c r="D430" s="37"/>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7"/>
      <c r="AK430" s="37"/>
      <c r="AL430" s="37"/>
      <c r="AM430" s="37"/>
      <c r="AN430" s="37"/>
      <c r="AO430" s="39"/>
      <c r="AP430" s="40"/>
    </row>
    <row r="431">
      <c r="A431" s="37"/>
      <c r="B431" s="37"/>
      <c r="C431" s="37"/>
      <c r="D431" s="37"/>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7"/>
      <c r="AK431" s="37"/>
      <c r="AL431" s="37"/>
      <c r="AM431" s="37"/>
      <c r="AN431" s="37"/>
      <c r="AO431" s="39"/>
      <c r="AP431" s="40"/>
    </row>
    <row r="432">
      <c r="A432" s="37"/>
      <c r="B432" s="37"/>
      <c r="C432" s="37"/>
      <c r="D432" s="37"/>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7"/>
      <c r="AK432" s="37"/>
      <c r="AL432" s="37"/>
      <c r="AM432" s="37"/>
      <c r="AN432" s="37"/>
      <c r="AO432" s="39"/>
      <c r="AP432" s="40"/>
    </row>
    <row r="433">
      <c r="A433" s="37"/>
      <c r="B433" s="37"/>
      <c r="C433" s="37"/>
      <c r="D433" s="37"/>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7"/>
      <c r="AK433" s="37"/>
      <c r="AL433" s="37"/>
      <c r="AM433" s="37"/>
      <c r="AN433" s="37"/>
      <c r="AO433" s="39"/>
      <c r="AP433" s="40"/>
    </row>
    <row r="434">
      <c r="A434" s="37"/>
      <c r="B434" s="37"/>
      <c r="C434" s="37"/>
      <c r="D434" s="37"/>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7"/>
      <c r="AK434" s="37"/>
      <c r="AL434" s="37"/>
      <c r="AM434" s="37"/>
      <c r="AN434" s="37"/>
      <c r="AO434" s="39"/>
      <c r="AP434" s="40"/>
    </row>
    <row r="435">
      <c r="A435" s="37"/>
      <c r="B435" s="37"/>
      <c r="C435" s="37"/>
      <c r="D435" s="37"/>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7"/>
      <c r="AK435" s="37"/>
      <c r="AL435" s="37"/>
      <c r="AM435" s="37"/>
      <c r="AN435" s="37"/>
      <c r="AO435" s="39"/>
      <c r="AP435" s="40"/>
    </row>
    <row r="436">
      <c r="A436" s="37"/>
      <c r="B436" s="37"/>
      <c r="C436" s="37"/>
      <c r="D436" s="37"/>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7"/>
      <c r="AK436" s="37"/>
      <c r="AL436" s="37"/>
      <c r="AM436" s="37"/>
      <c r="AN436" s="37"/>
      <c r="AO436" s="39"/>
      <c r="AP436" s="40"/>
    </row>
    <row r="437">
      <c r="A437" s="37"/>
      <c r="B437" s="37"/>
      <c r="C437" s="37"/>
      <c r="D437" s="37"/>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7"/>
      <c r="AK437" s="37"/>
      <c r="AL437" s="37"/>
      <c r="AM437" s="37"/>
      <c r="AN437" s="37"/>
      <c r="AO437" s="39"/>
      <c r="AP437" s="40"/>
    </row>
    <row r="438">
      <c r="A438" s="37"/>
      <c r="B438" s="37"/>
      <c r="C438" s="37"/>
      <c r="D438" s="37"/>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7"/>
      <c r="AK438" s="37"/>
      <c r="AL438" s="37"/>
      <c r="AM438" s="37"/>
      <c r="AN438" s="37"/>
      <c r="AO438" s="39"/>
      <c r="AP438" s="40"/>
    </row>
    <row r="439">
      <c r="A439" s="37"/>
      <c r="B439" s="37"/>
      <c r="C439" s="37"/>
      <c r="D439" s="37"/>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7"/>
      <c r="AK439" s="37"/>
      <c r="AL439" s="37"/>
      <c r="AM439" s="37"/>
      <c r="AN439" s="37"/>
      <c r="AO439" s="39"/>
      <c r="AP439" s="40"/>
    </row>
    <row r="440">
      <c r="A440" s="37"/>
      <c r="B440" s="37"/>
      <c r="C440" s="37"/>
      <c r="D440" s="37"/>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7"/>
      <c r="AK440" s="37"/>
      <c r="AL440" s="37"/>
      <c r="AM440" s="37"/>
      <c r="AN440" s="37"/>
      <c r="AO440" s="39"/>
      <c r="AP440" s="40"/>
    </row>
    <row r="441">
      <c r="A441" s="37"/>
      <c r="B441" s="37"/>
      <c r="C441" s="37"/>
      <c r="D441" s="37"/>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7"/>
      <c r="AK441" s="37"/>
      <c r="AL441" s="37"/>
      <c r="AM441" s="37"/>
      <c r="AN441" s="37"/>
      <c r="AO441" s="39"/>
      <c r="AP441" s="40"/>
    </row>
    <row r="442">
      <c r="A442" s="37"/>
      <c r="B442" s="37"/>
      <c r="C442" s="37"/>
      <c r="D442" s="37"/>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7"/>
      <c r="AK442" s="37"/>
      <c r="AL442" s="37"/>
      <c r="AM442" s="37"/>
      <c r="AN442" s="37"/>
      <c r="AO442" s="39"/>
      <c r="AP442" s="40"/>
    </row>
    <row r="443">
      <c r="A443" s="37"/>
      <c r="B443" s="37"/>
      <c r="C443" s="37"/>
      <c r="D443" s="37"/>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7"/>
      <c r="AK443" s="37"/>
      <c r="AL443" s="37"/>
      <c r="AM443" s="37"/>
      <c r="AN443" s="37"/>
      <c r="AO443" s="39"/>
      <c r="AP443" s="40"/>
    </row>
    <row r="444">
      <c r="A444" s="37"/>
      <c r="B444" s="37"/>
      <c r="C444" s="37"/>
      <c r="D444" s="37"/>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7"/>
      <c r="AK444" s="37"/>
      <c r="AL444" s="37"/>
      <c r="AM444" s="37"/>
      <c r="AN444" s="37"/>
      <c r="AO444" s="39"/>
      <c r="AP444" s="40"/>
    </row>
    <row r="445">
      <c r="A445" s="37"/>
      <c r="B445" s="37"/>
      <c r="C445" s="37"/>
      <c r="D445" s="37"/>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7"/>
      <c r="AK445" s="37"/>
      <c r="AL445" s="37"/>
      <c r="AM445" s="37"/>
      <c r="AN445" s="37"/>
      <c r="AO445" s="39"/>
      <c r="AP445" s="40"/>
    </row>
    <row r="446">
      <c r="A446" s="37"/>
      <c r="B446" s="37"/>
      <c r="C446" s="37"/>
      <c r="D446" s="37"/>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7"/>
      <c r="AK446" s="37"/>
      <c r="AL446" s="37"/>
      <c r="AM446" s="37"/>
      <c r="AN446" s="37"/>
      <c r="AO446" s="39"/>
      <c r="AP446" s="40"/>
    </row>
    <row r="447">
      <c r="A447" s="37"/>
      <c r="B447" s="37"/>
      <c r="C447" s="37"/>
      <c r="D447" s="37"/>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7"/>
      <c r="AK447" s="37"/>
      <c r="AL447" s="37"/>
      <c r="AM447" s="37"/>
      <c r="AN447" s="37"/>
      <c r="AO447" s="39"/>
      <c r="AP447" s="40"/>
    </row>
    <row r="448">
      <c r="A448" s="37"/>
      <c r="B448" s="37"/>
      <c r="C448" s="37"/>
      <c r="D448" s="37"/>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7"/>
      <c r="AK448" s="37"/>
      <c r="AL448" s="37"/>
      <c r="AM448" s="37"/>
      <c r="AN448" s="37"/>
      <c r="AO448" s="39"/>
      <c r="AP448" s="40"/>
    </row>
    <row r="449">
      <c r="A449" s="37"/>
      <c r="B449" s="37"/>
      <c r="C449" s="37"/>
      <c r="D449" s="37"/>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7"/>
      <c r="AK449" s="37"/>
      <c r="AL449" s="37"/>
      <c r="AM449" s="37"/>
      <c r="AN449" s="37"/>
      <c r="AO449" s="39"/>
      <c r="AP449" s="40"/>
    </row>
    <row r="450">
      <c r="A450" s="37"/>
      <c r="B450" s="37"/>
      <c r="C450" s="37"/>
      <c r="D450" s="37"/>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7"/>
      <c r="AK450" s="37"/>
      <c r="AL450" s="37"/>
      <c r="AM450" s="37"/>
      <c r="AN450" s="37"/>
      <c r="AO450" s="39"/>
      <c r="AP450" s="40"/>
    </row>
    <row r="451">
      <c r="A451" s="37"/>
      <c r="B451" s="37"/>
      <c r="C451" s="37"/>
      <c r="D451" s="37"/>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7"/>
      <c r="AK451" s="37"/>
      <c r="AL451" s="37"/>
      <c r="AM451" s="37"/>
      <c r="AN451" s="37"/>
      <c r="AO451" s="39"/>
      <c r="AP451" s="40"/>
    </row>
    <row r="452">
      <c r="A452" s="37"/>
      <c r="B452" s="37"/>
      <c r="C452" s="37"/>
      <c r="D452" s="37"/>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7"/>
      <c r="AK452" s="37"/>
      <c r="AL452" s="37"/>
      <c r="AM452" s="37"/>
      <c r="AN452" s="37"/>
      <c r="AO452" s="39"/>
      <c r="AP452" s="40"/>
    </row>
    <row r="453">
      <c r="A453" s="37"/>
      <c r="B453" s="37"/>
      <c r="C453" s="37"/>
      <c r="D453" s="37"/>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7"/>
      <c r="AK453" s="37"/>
      <c r="AL453" s="37"/>
      <c r="AM453" s="37"/>
      <c r="AN453" s="37"/>
      <c r="AO453" s="39"/>
      <c r="AP453" s="40"/>
    </row>
    <row r="454">
      <c r="A454" s="37"/>
      <c r="B454" s="37"/>
      <c r="C454" s="37"/>
      <c r="D454" s="37"/>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7"/>
      <c r="AK454" s="37"/>
      <c r="AL454" s="37"/>
      <c r="AM454" s="37"/>
      <c r="AN454" s="37"/>
      <c r="AO454" s="39"/>
      <c r="AP454" s="40"/>
    </row>
    <row r="455">
      <c r="A455" s="37"/>
      <c r="B455" s="37"/>
      <c r="C455" s="37"/>
      <c r="D455" s="37"/>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7"/>
      <c r="AK455" s="37"/>
      <c r="AL455" s="37"/>
      <c r="AM455" s="37"/>
      <c r="AN455" s="37"/>
      <c r="AO455" s="39"/>
      <c r="AP455" s="40"/>
    </row>
    <row r="456">
      <c r="A456" s="37"/>
      <c r="B456" s="37"/>
      <c r="C456" s="37"/>
      <c r="D456" s="37"/>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7"/>
      <c r="AK456" s="37"/>
      <c r="AL456" s="37"/>
      <c r="AM456" s="37"/>
      <c r="AN456" s="37"/>
      <c r="AO456" s="39"/>
      <c r="AP456" s="40"/>
    </row>
    <row r="457">
      <c r="A457" s="37"/>
      <c r="B457" s="37"/>
      <c r="C457" s="37"/>
      <c r="D457" s="37"/>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7"/>
      <c r="AK457" s="37"/>
      <c r="AL457" s="37"/>
      <c r="AM457" s="37"/>
      <c r="AN457" s="37"/>
      <c r="AO457" s="39"/>
      <c r="AP457" s="40"/>
    </row>
    <row r="458">
      <c r="A458" s="37"/>
      <c r="B458" s="37"/>
      <c r="C458" s="37"/>
      <c r="D458" s="37"/>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7"/>
      <c r="AK458" s="37"/>
      <c r="AL458" s="37"/>
      <c r="AM458" s="37"/>
      <c r="AN458" s="37"/>
      <c r="AO458" s="39"/>
      <c r="AP458" s="40"/>
    </row>
    <row r="459">
      <c r="A459" s="37"/>
      <c r="B459" s="37"/>
      <c r="C459" s="37"/>
      <c r="D459" s="37"/>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7"/>
      <c r="AK459" s="37"/>
      <c r="AL459" s="37"/>
      <c r="AM459" s="37"/>
      <c r="AN459" s="37"/>
      <c r="AO459" s="39"/>
      <c r="AP459" s="40"/>
    </row>
    <row r="460">
      <c r="A460" s="37"/>
      <c r="B460" s="37"/>
      <c r="C460" s="37"/>
      <c r="D460" s="37"/>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7"/>
      <c r="AK460" s="37"/>
      <c r="AL460" s="37"/>
      <c r="AM460" s="37"/>
      <c r="AN460" s="37"/>
      <c r="AO460" s="39"/>
      <c r="AP460" s="40"/>
    </row>
    <row r="461">
      <c r="A461" s="37"/>
      <c r="B461" s="37"/>
      <c r="C461" s="37"/>
      <c r="D461" s="37"/>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7"/>
      <c r="AK461" s="37"/>
      <c r="AL461" s="37"/>
      <c r="AM461" s="37"/>
      <c r="AN461" s="37"/>
      <c r="AO461" s="39"/>
      <c r="AP461" s="40"/>
    </row>
    <row r="462">
      <c r="A462" s="37"/>
      <c r="B462" s="37"/>
      <c r="C462" s="37"/>
      <c r="D462" s="37"/>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7"/>
      <c r="AK462" s="37"/>
      <c r="AL462" s="37"/>
      <c r="AM462" s="37"/>
      <c r="AN462" s="37"/>
      <c r="AO462" s="39"/>
      <c r="AP462" s="40"/>
    </row>
    <row r="463">
      <c r="A463" s="37"/>
      <c r="B463" s="37"/>
      <c r="C463" s="37"/>
      <c r="D463" s="37"/>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7"/>
      <c r="AK463" s="37"/>
      <c r="AL463" s="37"/>
      <c r="AM463" s="37"/>
      <c r="AN463" s="37"/>
      <c r="AO463" s="39"/>
      <c r="AP463" s="40"/>
    </row>
    <row r="464">
      <c r="A464" s="37"/>
      <c r="B464" s="37"/>
      <c r="C464" s="37"/>
      <c r="D464" s="37"/>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7"/>
      <c r="AK464" s="37"/>
      <c r="AL464" s="37"/>
      <c r="AM464" s="37"/>
      <c r="AN464" s="37"/>
      <c r="AO464" s="39"/>
      <c r="AP464" s="40"/>
    </row>
    <row r="465">
      <c r="A465" s="37"/>
      <c r="B465" s="37"/>
      <c r="C465" s="37"/>
      <c r="D465" s="37"/>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7"/>
      <c r="AK465" s="37"/>
      <c r="AL465" s="37"/>
      <c r="AM465" s="37"/>
      <c r="AN465" s="37"/>
      <c r="AO465" s="39"/>
      <c r="AP465" s="40"/>
    </row>
    <row r="466">
      <c r="A466" s="37"/>
      <c r="B466" s="37"/>
      <c r="C466" s="37"/>
      <c r="D466" s="37"/>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7"/>
      <c r="AK466" s="37"/>
      <c r="AL466" s="37"/>
      <c r="AM466" s="37"/>
      <c r="AN466" s="37"/>
      <c r="AO466" s="39"/>
      <c r="AP466" s="40"/>
    </row>
    <row r="467">
      <c r="A467" s="37"/>
      <c r="B467" s="37"/>
      <c r="C467" s="37"/>
      <c r="D467" s="37"/>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7"/>
      <c r="AK467" s="37"/>
      <c r="AL467" s="37"/>
      <c r="AM467" s="37"/>
      <c r="AN467" s="37"/>
      <c r="AO467" s="39"/>
      <c r="AP467" s="40"/>
    </row>
    <row r="468">
      <c r="A468" s="37"/>
      <c r="B468" s="37"/>
      <c r="C468" s="37"/>
      <c r="D468" s="37"/>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7"/>
      <c r="AK468" s="37"/>
      <c r="AL468" s="37"/>
      <c r="AM468" s="37"/>
      <c r="AN468" s="37"/>
      <c r="AO468" s="39"/>
      <c r="AP468" s="40"/>
    </row>
    <row r="469">
      <c r="A469" s="37"/>
      <c r="B469" s="37"/>
      <c r="C469" s="37"/>
      <c r="D469" s="37"/>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7"/>
      <c r="AK469" s="37"/>
      <c r="AL469" s="37"/>
      <c r="AM469" s="37"/>
      <c r="AN469" s="37"/>
      <c r="AO469" s="39"/>
      <c r="AP469" s="40"/>
    </row>
    <row r="470">
      <c r="A470" s="37"/>
      <c r="B470" s="37"/>
      <c r="C470" s="37"/>
      <c r="D470" s="37"/>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7"/>
      <c r="AK470" s="37"/>
      <c r="AL470" s="37"/>
      <c r="AM470" s="37"/>
      <c r="AN470" s="37"/>
      <c r="AO470" s="39"/>
      <c r="AP470" s="40"/>
    </row>
    <row r="471">
      <c r="A471" s="37"/>
      <c r="B471" s="37"/>
      <c r="C471" s="37"/>
      <c r="D471" s="37"/>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7"/>
      <c r="AK471" s="37"/>
      <c r="AL471" s="37"/>
      <c r="AM471" s="37"/>
      <c r="AN471" s="37"/>
      <c r="AO471" s="39"/>
      <c r="AP471" s="40"/>
    </row>
    <row r="472">
      <c r="A472" s="37"/>
      <c r="B472" s="37"/>
      <c r="C472" s="37"/>
      <c r="D472" s="37"/>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7"/>
      <c r="AK472" s="37"/>
      <c r="AL472" s="37"/>
      <c r="AM472" s="37"/>
      <c r="AN472" s="37"/>
      <c r="AO472" s="39"/>
      <c r="AP472" s="40"/>
    </row>
    <row r="473">
      <c r="A473" s="37"/>
      <c r="B473" s="37"/>
      <c r="C473" s="37"/>
      <c r="D473" s="37"/>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7"/>
      <c r="AK473" s="37"/>
      <c r="AL473" s="37"/>
      <c r="AM473" s="37"/>
      <c r="AN473" s="37"/>
      <c r="AO473" s="39"/>
      <c r="AP473" s="40"/>
    </row>
    <row r="474">
      <c r="A474" s="37"/>
      <c r="B474" s="37"/>
      <c r="C474" s="37"/>
      <c r="D474" s="37"/>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7"/>
      <c r="AK474" s="37"/>
      <c r="AL474" s="37"/>
      <c r="AM474" s="37"/>
      <c r="AN474" s="37"/>
      <c r="AO474" s="39"/>
      <c r="AP474" s="40"/>
    </row>
    <row r="475">
      <c r="A475" s="37"/>
      <c r="B475" s="37"/>
      <c r="C475" s="37"/>
      <c r="D475" s="37"/>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7"/>
      <c r="AK475" s="37"/>
      <c r="AL475" s="37"/>
      <c r="AM475" s="37"/>
      <c r="AN475" s="37"/>
      <c r="AO475" s="39"/>
      <c r="AP475" s="40"/>
    </row>
    <row r="476">
      <c r="A476" s="37"/>
      <c r="B476" s="37"/>
      <c r="C476" s="37"/>
      <c r="D476" s="37"/>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7"/>
      <c r="AK476" s="37"/>
      <c r="AL476" s="37"/>
      <c r="AM476" s="37"/>
      <c r="AN476" s="37"/>
      <c r="AO476" s="39"/>
      <c r="AP476" s="40"/>
    </row>
    <row r="477">
      <c r="A477" s="37"/>
      <c r="B477" s="37"/>
      <c r="C477" s="37"/>
      <c r="D477" s="37"/>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7"/>
      <c r="AK477" s="37"/>
      <c r="AL477" s="37"/>
      <c r="AM477" s="37"/>
      <c r="AN477" s="37"/>
      <c r="AO477" s="39"/>
      <c r="AP477" s="40"/>
    </row>
    <row r="478">
      <c r="A478" s="37"/>
      <c r="B478" s="37"/>
      <c r="C478" s="37"/>
      <c r="D478" s="37"/>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7"/>
      <c r="AK478" s="37"/>
      <c r="AL478" s="37"/>
      <c r="AM478" s="37"/>
      <c r="AN478" s="37"/>
      <c r="AO478" s="39"/>
      <c r="AP478" s="40"/>
    </row>
    <row r="479">
      <c r="A479" s="37"/>
      <c r="B479" s="37"/>
      <c r="C479" s="37"/>
      <c r="D479" s="37"/>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7"/>
      <c r="AK479" s="37"/>
      <c r="AL479" s="37"/>
      <c r="AM479" s="37"/>
      <c r="AN479" s="37"/>
      <c r="AO479" s="39"/>
      <c r="AP479" s="40"/>
    </row>
    <row r="480">
      <c r="A480" s="37"/>
      <c r="B480" s="37"/>
      <c r="C480" s="37"/>
      <c r="D480" s="37"/>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7"/>
      <c r="AK480" s="37"/>
      <c r="AL480" s="37"/>
      <c r="AM480" s="37"/>
      <c r="AN480" s="37"/>
      <c r="AO480" s="39"/>
      <c r="AP480" s="40"/>
    </row>
    <row r="481">
      <c r="A481" s="37"/>
      <c r="B481" s="37"/>
      <c r="C481" s="37"/>
      <c r="D481" s="37"/>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7"/>
      <c r="AK481" s="37"/>
      <c r="AL481" s="37"/>
      <c r="AM481" s="37"/>
      <c r="AN481" s="37"/>
      <c r="AO481" s="39"/>
      <c r="AP481" s="40"/>
    </row>
    <row r="482">
      <c r="A482" s="37"/>
      <c r="B482" s="37"/>
      <c r="C482" s="37"/>
      <c r="D482" s="37"/>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7"/>
      <c r="AK482" s="37"/>
      <c r="AL482" s="37"/>
      <c r="AM482" s="37"/>
      <c r="AN482" s="37"/>
      <c r="AO482" s="39"/>
      <c r="AP482" s="40"/>
    </row>
    <row r="483">
      <c r="A483" s="37"/>
      <c r="B483" s="37"/>
      <c r="C483" s="37"/>
      <c r="D483" s="37"/>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7"/>
      <c r="AK483" s="37"/>
      <c r="AL483" s="37"/>
      <c r="AM483" s="37"/>
      <c r="AN483" s="37"/>
      <c r="AO483" s="39"/>
      <c r="AP483" s="40"/>
    </row>
    <row r="484">
      <c r="A484" s="37"/>
      <c r="B484" s="37"/>
      <c r="C484" s="37"/>
      <c r="D484" s="37"/>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7"/>
      <c r="AK484" s="37"/>
      <c r="AL484" s="37"/>
      <c r="AM484" s="37"/>
      <c r="AN484" s="37"/>
      <c r="AO484" s="39"/>
      <c r="AP484" s="40"/>
    </row>
    <row r="485">
      <c r="A485" s="37"/>
      <c r="B485" s="37"/>
      <c r="C485" s="37"/>
      <c r="D485" s="37"/>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7"/>
      <c r="AK485" s="37"/>
      <c r="AL485" s="37"/>
      <c r="AM485" s="37"/>
      <c r="AN485" s="37"/>
      <c r="AO485" s="39"/>
      <c r="AP485" s="40"/>
    </row>
    <row r="486">
      <c r="A486" s="37"/>
      <c r="B486" s="37"/>
      <c r="C486" s="37"/>
      <c r="D486" s="37"/>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7"/>
      <c r="AK486" s="37"/>
      <c r="AL486" s="37"/>
      <c r="AM486" s="37"/>
      <c r="AN486" s="37"/>
      <c r="AO486" s="39"/>
      <c r="AP486" s="40"/>
    </row>
    <row r="487">
      <c r="A487" s="37"/>
      <c r="B487" s="37"/>
      <c r="C487" s="37"/>
      <c r="D487" s="37"/>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7"/>
      <c r="AK487" s="37"/>
      <c r="AL487" s="37"/>
      <c r="AM487" s="37"/>
      <c r="AN487" s="37"/>
      <c r="AO487" s="39"/>
      <c r="AP487" s="40"/>
    </row>
    <row r="488">
      <c r="A488" s="37"/>
      <c r="B488" s="37"/>
      <c r="C488" s="37"/>
      <c r="D488" s="37"/>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7"/>
      <c r="AK488" s="37"/>
      <c r="AL488" s="37"/>
      <c r="AM488" s="37"/>
      <c r="AN488" s="37"/>
      <c r="AO488" s="39"/>
      <c r="AP488" s="40"/>
    </row>
    <row r="489">
      <c r="A489" s="37"/>
      <c r="B489" s="37"/>
      <c r="C489" s="37"/>
      <c r="D489" s="37"/>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7"/>
      <c r="AK489" s="37"/>
      <c r="AL489" s="37"/>
      <c r="AM489" s="37"/>
      <c r="AN489" s="37"/>
      <c r="AO489" s="39"/>
      <c r="AP489" s="40"/>
    </row>
    <row r="490">
      <c r="A490" s="37"/>
      <c r="B490" s="37"/>
      <c r="C490" s="37"/>
      <c r="D490" s="37"/>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7"/>
      <c r="AK490" s="37"/>
      <c r="AL490" s="37"/>
      <c r="AM490" s="37"/>
      <c r="AN490" s="37"/>
      <c r="AO490" s="39"/>
      <c r="AP490" s="40"/>
    </row>
    <row r="491">
      <c r="A491" s="37"/>
      <c r="B491" s="37"/>
      <c r="C491" s="37"/>
      <c r="D491" s="37"/>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7"/>
      <c r="AK491" s="37"/>
      <c r="AL491" s="37"/>
      <c r="AM491" s="37"/>
      <c r="AN491" s="37"/>
      <c r="AO491" s="39"/>
      <c r="AP491" s="40"/>
    </row>
    <row r="492">
      <c r="A492" s="37"/>
      <c r="B492" s="37"/>
      <c r="C492" s="37"/>
      <c r="D492" s="37"/>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7"/>
      <c r="AK492" s="37"/>
      <c r="AL492" s="37"/>
      <c r="AM492" s="37"/>
      <c r="AN492" s="37"/>
      <c r="AO492" s="39"/>
      <c r="AP492" s="40"/>
    </row>
    <row r="493">
      <c r="A493" s="37"/>
      <c r="B493" s="37"/>
      <c r="C493" s="37"/>
      <c r="D493" s="37"/>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7"/>
      <c r="AK493" s="37"/>
      <c r="AL493" s="37"/>
      <c r="AM493" s="37"/>
      <c r="AN493" s="37"/>
      <c r="AO493" s="39"/>
      <c r="AP493" s="40"/>
    </row>
    <row r="494">
      <c r="A494" s="37"/>
      <c r="B494" s="37"/>
      <c r="C494" s="37"/>
      <c r="D494" s="37"/>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7"/>
      <c r="AK494" s="37"/>
      <c r="AL494" s="37"/>
      <c r="AM494" s="37"/>
      <c r="AN494" s="37"/>
      <c r="AO494" s="39"/>
      <c r="AP494" s="40"/>
    </row>
    <row r="495">
      <c r="A495" s="37"/>
      <c r="B495" s="37"/>
      <c r="C495" s="37"/>
      <c r="D495" s="37"/>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7"/>
      <c r="AK495" s="37"/>
      <c r="AL495" s="37"/>
      <c r="AM495" s="37"/>
      <c r="AN495" s="37"/>
      <c r="AO495" s="39"/>
      <c r="AP495" s="40"/>
    </row>
    <row r="496">
      <c r="A496" s="37"/>
      <c r="B496" s="37"/>
      <c r="C496" s="37"/>
      <c r="D496" s="37"/>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7"/>
      <c r="AK496" s="37"/>
      <c r="AL496" s="37"/>
      <c r="AM496" s="37"/>
      <c r="AN496" s="37"/>
      <c r="AO496" s="39"/>
      <c r="AP496" s="40"/>
    </row>
    <row r="497">
      <c r="A497" s="37"/>
      <c r="B497" s="37"/>
      <c r="C497" s="37"/>
      <c r="D497" s="37"/>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7"/>
      <c r="AK497" s="37"/>
      <c r="AL497" s="37"/>
      <c r="AM497" s="37"/>
      <c r="AN497" s="37"/>
      <c r="AO497" s="39"/>
      <c r="AP497" s="40"/>
    </row>
    <row r="498">
      <c r="A498" s="37"/>
      <c r="B498" s="37"/>
      <c r="C498" s="37"/>
      <c r="D498" s="37"/>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7"/>
      <c r="AK498" s="37"/>
      <c r="AL498" s="37"/>
      <c r="AM498" s="37"/>
      <c r="AN498" s="37"/>
      <c r="AO498" s="39"/>
      <c r="AP498" s="40"/>
    </row>
    <row r="499">
      <c r="A499" s="37"/>
      <c r="B499" s="37"/>
      <c r="C499" s="37"/>
      <c r="D499" s="37"/>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7"/>
      <c r="AK499" s="37"/>
      <c r="AL499" s="37"/>
      <c r="AM499" s="37"/>
      <c r="AN499" s="37"/>
      <c r="AO499" s="39"/>
      <c r="AP499" s="40"/>
    </row>
    <row r="500">
      <c r="A500" s="37"/>
      <c r="B500" s="37"/>
      <c r="C500" s="37"/>
      <c r="D500" s="37"/>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7"/>
      <c r="AK500" s="37"/>
      <c r="AL500" s="37"/>
      <c r="AM500" s="37"/>
      <c r="AN500" s="37"/>
      <c r="AO500" s="39"/>
      <c r="AP500" s="40"/>
    </row>
    <row r="501">
      <c r="A501" s="37"/>
      <c r="B501" s="37"/>
      <c r="C501" s="37"/>
      <c r="D501" s="37"/>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7"/>
      <c r="AK501" s="37"/>
      <c r="AL501" s="37"/>
      <c r="AM501" s="37"/>
      <c r="AN501" s="37"/>
      <c r="AO501" s="39"/>
      <c r="AP501" s="40"/>
    </row>
    <row r="502">
      <c r="A502" s="37"/>
      <c r="B502" s="37"/>
      <c r="C502" s="37"/>
      <c r="D502" s="37"/>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7"/>
      <c r="AK502" s="37"/>
      <c r="AL502" s="37"/>
      <c r="AM502" s="37"/>
      <c r="AN502" s="37"/>
      <c r="AO502" s="39"/>
      <c r="AP502" s="40"/>
    </row>
    <row r="503">
      <c r="A503" s="37"/>
      <c r="B503" s="37"/>
      <c r="C503" s="37"/>
      <c r="D503" s="37"/>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7"/>
      <c r="AK503" s="37"/>
      <c r="AL503" s="37"/>
      <c r="AM503" s="37"/>
      <c r="AN503" s="37"/>
      <c r="AO503" s="39"/>
      <c r="AP503" s="40"/>
    </row>
    <row r="504">
      <c r="A504" s="37"/>
      <c r="B504" s="37"/>
      <c r="C504" s="37"/>
      <c r="D504" s="37"/>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7"/>
      <c r="AK504" s="37"/>
      <c r="AL504" s="37"/>
      <c r="AM504" s="37"/>
      <c r="AN504" s="37"/>
      <c r="AO504" s="39"/>
      <c r="AP504" s="40"/>
    </row>
    <row r="505">
      <c r="A505" s="37"/>
      <c r="B505" s="37"/>
      <c r="C505" s="37"/>
      <c r="D505" s="37"/>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7"/>
      <c r="AK505" s="37"/>
      <c r="AL505" s="37"/>
      <c r="AM505" s="37"/>
      <c r="AN505" s="37"/>
      <c r="AO505" s="39"/>
      <c r="AP505" s="40"/>
    </row>
    <row r="506">
      <c r="A506" s="37"/>
      <c r="B506" s="37"/>
      <c r="C506" s="37"/>
      <c r="D506" s="37"/>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7"/>
      <c r="AK506" s="37"/>
      <c r="AL506" s="37"/>
      <c r="AM506" s="37"/>
      <c r="AN506" s="37"/>
      <c r="AO506" s="39"/>
      <c r="AP506" s="40"/>
    </row>
    <row r="507">
      <c r="A507" s="37"/>
      <c r="B507" s="37"/>
      <c r="C507" s="37"/>
      <c r="D507" s="37"/>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7"/>
      <c r="AK507" s="37"/>
      <c r="AL507" s="37"/>
      <c r="AM507" s="37"/>
      <c r="AN507" s="37"/>
      <c r="AO507" s="39"/>
      <c r="AP507" s="40"/>
    </row>
    <row r="508">
      <c r="A508" s="37"/>
      <c r="B508" s="37"/>
      <c r="C508" s="37"/>
      <c r="D508" s="37"/>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7"/>
      <c r="AK508" s="37"/>
      <c r="AL508" s="37"/>
      <c r="AM508" s="37"/>
      <c r="AN508" s="37"/>
      <c r="AO508" s="39"/>
      <c r="AP508" s="40"/>
    </row>
    <row r="509">
      <c r="A509" s="37"/>
      <c r="B509" s="37"/>
      <c r="C509" s="37"/>
      <c r="D509" s="37"/>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7"/>
      <c r="AK509" s="37"/>
      <c r="AL509" s="37"/>
      <c r="AM509" s="37"/>
      <c r="AN509" s="37"/>
      <c r="AO509" s="39"/>
      <c r="AP509" s="40"/>
    </row>
    <row r="510">
      <c r="A510" s="37"/>
      <c r="B510" s="37"/>
      <c r="C510" s="37"/>
      <c r="D510" s="37"/>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7"/>
      <c r="AK510" s="37"/>
      <c r="AL510" s="37"/>
      <c r="AM510" s="37"/>
      <c r="AN510" s="37"/>
      <c r="AO510" s="39"/>
      <c r="AP510" s="40"/>
    </row>
    <row r="511">
      <c r="A511" s="37"/>
      <c r="B511" s="37"/>
      <c r="C511" s="37"/>
      <c r="D511" s="37"/>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7"/>
      <c r="AK511" s="37"/>
      <c r="AL511" s="37"/>
      <c r="AM511" s="37"/>
      <c r="AN511" s="37"/>
      <c r="AO511" s="39"/>
      <c r="AP511" s="40"/>
    </row>
    <row r="512">
      <c r="A512" s="37"/>
      <c r="B512" s="37"/>
      <c r="C512" s="37"/>
      <c r="D512" s="37"/>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7"/>
      <c r="AK512" s="37"/>
      <c r="AL512" s="37"/>
      <c r="AM512" s="37"/>
      <c r="AN512" s="37"/>
      <c r="AO512" s="39"/>
      <c r="AP512" s="40"/>
    </row>
    <row r="513">
      <c r="A513" s="37"/>
      <c r="B513" s="37"/>
      <c r="C513" s="37"/>
      <c r="D513" s="37"/>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7"/>
      <c r="AK513" s="37"/>
      <c r="AL513" s="37"/>
      <c r="AM513" s="37"/>
      <c r="AN513" s="37"/>
      <c r="AO513" s="39"/>
      <c r="AP513" s="40"/>
    </row>
    <row r="514">
      <c r="A514" s="37"/>
      <c r="B514" s="37"/>
      <c r="C514" s="37"/>
      <c r="D514" s="37"/>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7"/>
      <c r="AK514" s="37"/>
      <c r="AL514" s="37"/>
      <c r="AM514" s="37"/>
      <c r="AN514" s="37"/>
      <c r="AO514" s="39"/>
      <c r="AP514" s="40"/>
    </row>
    <row r="515">
      <c r="A515" s="37"/>
      <c r="B515" s="37"/>
      <c r="C515" s="37"/>
      <c r="D515" s="37"/>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7"/>
      <c r="AK515" s="37"/>
      <c r="AL515" s="37"/>
      <c r="AM515" s="37"/>
      <c r="AN515" s="37"/>
      <c r="AO515" s="39"/>
      <c r="AP515" s="40"/>
    </row>
    <row r="516">
      <c r="A516" s="37"/>
      <c r="B516" s="37"/>
      <c r="C516" s="37"/>
      <c r="D516" s="37"/>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7"/>
      <c r="AK516" s="37"/>
      <c r="AL516" s="37"/>
      <c r="AM516" s="37"/>
      <c r="AN516" s="37"/>
      <c r="AO516" s="39"/>
      <c r="AP516" s="40"/>
    </row>
    <row r="517">
      <c r="A517" s="37"/>
      <c r="B517" s="37"/>
      <c r="C517" s="37"/>
      <c r="D517" s="37"/>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7"/>
      <c r="AK517" s="37"/>
      <c r="AL517" s="37"/>
      <c r="AM517" s="37"/>
      <c r="AN517" s="37"/>
      <c r="AO517" s="39"/>
      <c r="AP517" s="40"/>
    </row>
    <row r="518">
      <c r="A518" s="37"/>
      <c r="B518" s="37"/>
      <c r="C518" s="37"/>
      <c r="D518" s="37"/>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7"/>
      <c r="AK518" s="37"/>
      <c r="AL518" s="37"/>
      <c r="AM518" s="37"/>
      <c r="AN518" s="37"/>
      <c r="AO518" s="39"/>
      <c r="AP518" s="40"/>
    </row>
    <row r="519">
      <c r="A519" s="37"/>
      <c r="B519" s="37"/>
      <c r="C519" s="37"/>
      <c r="D519" s="37"/>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7"/>
      <c r="AK519" s="37"/>
      <c r="AL519" s="37"/>
      <c r="AM519" s="37"/>
      <c r="AN519" s="37"/>
      <c r="AO519" s="39"/>
      <c r="AP519" s="40"/>
    </row>
    <row r="520">
      <c r="A520" s="37"/>
      <c r="B520" s="37"/>
      <c r="C520" s="37"/>
      <c r="D520" s="37"/>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7"/>
      <c r="AK520" s="37"/>
      <c r="AL520" s="37"/>
      <c r="AM520" s="37"/>
      <c r="AN520" s="37"/>
      <c r="AO520" s="39"/>
      <c r="AP520" s="40"/>
    </row>
    <row r="521">
      <c r="A521" s="37"/>
      <c r="B521" s="37"/>
      <c r="C521" s="37"/>
      <c r="D521" s="37"/>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7"/>
      <c r="AK521" s="37"/>
      <c r="AL521" s="37"/>
      <c r="AM521" s="37"/>
      <c r="AN521" s="37"/>
      <c r="AO521" s="39"/>
      <c r="AP521" s="40"/>
    </row>
    <row r="522">
      <c r="A522" s="37"/>
      <c r="B522" s="37"/>
      <c r="C522" s="37"/>
      <c r="D522" s="37"/>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7"/>
      <c r="AK522" s="37"/>
      <c r="AL522" s="37"/>
      <c r="AM522" s="37"/>
      <c r="AN522" s="37"/>
      <c r="AO522" s="39"/>
      <c r="AP522" s="40"/>
    </row>
    <row r="523">
      <c r="A523" s="37"/>
      <c r="B523" s="37"/>
      <c r="C523" s="37"/>
      <c r="D523" s="37"/>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7"/>
      <c r="AK523" s="37"/>
      <c r="AL523" s="37"/>
      <c r="AM523" s="37"/>
      <c r="AN523" s="37"/>
      <c r="AO523" s="39"/>
      <c r="AP523" s="40"/>
    </row>
    <row r="524">
      <c r="A524" s="37"/>
      <c r="B524" s="37"/>
      <c r="C524" s="37"/>
      <c r="D524" s="37"/>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7"/>
      <c r="AK524" s="37"/>
      <c r="AL524" s="37"/>
      <c r="AM524" s="37"/>
      <c r="AN524" s="37"/>
      <c r="AO524" s="39"/>
      <c r="AP524" s="40"/>
    </row>
    <row r="525">
      <c r="A525" s="37"/>
      <c r="B525" s="37"/>
      <c r="C525" s="37"/>
      <c r="D525" s="37"/>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7"/>
      <c r="AK525" s="37"/>
      <c r="AL525" s="37"/>
      <c r="AM525" s="37"/>
      <c r="AN525" s="37"/>
      <c r="AO525" s="39"/>
      <c r="AP525" s="40"/>
    </row>
    <row r="526">
      <c r="A526" s="37"/>
      <c r="B526" s="37"/>
      <c r="C526" s="37"/>
      <c r="D526" s="37"/>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7"/>
      <c r="AK526" s="37"/>
      <c r="AL526" s="37"/>
      <c r="AM526" s="37"/>
      <c r="AN526" s="37"/>
      <c r="AO526" s="39"/>
      <c r="AP526" s="40"/>
    </row>
    <row r="527">
      <c r="A527" s="37"/>
      <c r="B527" s="37"/>
      <c r="C527" s="37"/>
      <c r="D527" s="37"/>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7"/>
      <c r="AK527" s="37"/>
      <c r="AL527" s="37"/>
      <c r="AM527" s="37"/>
      <c r="AN527" s="37"/>
      <c r="AO527" s="39"/>
      <c r="AP527" s="40"/>
    </row>
    <row r="528">
      <c r="A528" s="37"/>
      <c r="B528" s="37"/>
      <c r="C528" s="37"/>
      <c r="D528" s="37"/>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7"/>
      <c r="AK528" s="37"/>
      <c r="AL528" s="37"/>
      <c r="AM528" s="37"/>
      <c r="AN528" s="37"/>
      <c r="AO528" s="39"/>
      <c r="AP528" s="40"/>
    </row>
    <row r="529">
      <c r="A529" s="37"/>
      <c r="B529" s="37"/>
      <c r="C529" s="37"/>
      <c r="D529" s="37"/>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7"/>
      <c r="AK529" s="37"/>
      <c r="AL529" s="37"/>
      <c r="AM529" s="37"/>
      <c r="AN529" s="37"/>
      <c r="AO529" s="39"/>
      <c r="AP529" s="40"/>
    </row>
    <row r="530">
      <c r="A530" s="37"/>
      <c r="B530" s="37"/>
      <c r="C530" s="37"/>
      <c r="D530" s="37"/>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7"/>
      <c r="AK530" s="37"/>
      <c r="AL530" s="37"/>
      <c r="AM530" s="37"/>
      <c r="AN530" s="37"/>
      <c r="AO530" s="39"/>
      <c r="AP530" s="40"/>
    </row>
    <row r="531">
      <c r="A531" s="37"/>
      <c r="B531" s="37"/>
      <c r="C531" s="37"/>
      <c r="D531" s="37"/>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7"/>
      <c r="AK531" s="37"/>
      <c r="AL531" s="37"/>
      <c r="AM531" s="37"/>
      <c r="AN531" s="37"/>
      <c r="AO531" s="39"/>
      <c r="AP531" s="40"/>
    </row>
    <row r="532">
      <c r="A532" s="37"/>
      <c r="B532" s="37"/>
      <c r="C532" s="37"/>
      <c r="D532" s="37"/>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7"/>
      <c r="AK532" s="37"/>
      <c r="AL532" s="37"/>
      <c r="AM532" s="37"/>
      <c r="AN532" s="37"/>
      <c r="AO532" s="39"/>
      <c r="AP532" s="40"/>
    </row>
    <row r="533">
      <c r="A533" s="37"/>
      <c r="B533" s="37"/>
      <c r="C533" s="37"/>
      <c r="D533" s="37"/>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7"/>
      <c r="AK533" s="37"/>
      <c r="AL533" s="37"/>
      <c r="AM533" s="37"/>
      <c r="AN533" s="37"/>
      <c r="AO533" s="39"/>
      <c r="AP533" s="40"/>
    </row>
    <row r="534">
      <c r="A534" s="37"/>
      <c r="B534" s="37"/>
      <c r="C534" s="37"/>
      <c r="D534" s="37"/>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7"/>
      <c r="AK534" s="37"/>
      <c r="AL534" s="37"/>
      <c r="AM534" s="37"/>
      <c r="AN534" s="37"/>
      <c r="AO534" s="39"/>
      <c r="AP534" s="40"/>
    </row>
    <row r="535">
      <c r="A535" s="37"/>
      <c r="B535" s="37"/>
      <c r="C535" s="37"/>
      <c r="D535" s="37"/>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7"/>
      <c r="AK535" s="37"/>
      <c r="AL535" s="37"/>
      <c r="AM535" s="37"/>
      <c r="AN535" s="37"/>
      <c r="AO535" s="39"/>
      <c r="AP535" s="40"/>
    </row>
    <row r="536">
      <c r="A536" s="37"/>
      <c r="B536" s="37"/>
      <c r="C536" s="37"/>
      <c r="D536" s="37"/>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7"/>
      <c r="AK536" s="37"/>
      <c r="AL536" s="37"/>
      <c r="AM536" s="37"/>
      <c r="AN536" s="37"/>
      <c r="AO536" s="39"/>
      <c r="AP536" s="40"/>
    </row>
    <row r="537">
      <c r="A537" s="37"/>
      <c r="B537" s="37"/>
      <c r="C537" s="37"/>
      <c r="D537" s="37"/>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7"/>
      <c r="AK537" s="37"/>
      <c r="AL537" s="37"/>
      <c r="AM537" s="37"/>
      <c r="AN537" s="37"/>
      <c r="AO537" s="39"/>
      <c r="AP537" s="40"/>
    </row>
    <row r="538">
      <c r="A538" s="37"/>
      <c r="B538" s="37"/>
      <c r="C538" s="37"/>
      <c r="D538" s="37"/>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7"/>
      <c r="AK538" s="37"/>
      <c r="AL538" s="37"/>
      <c r="AM538" s="37"/>
      <c r="AN538" s="37"/>
      <c r="AO538" s="39"/>
      <c r="AP538" s="40"/>
    </row>
    <row r="539">
      <c r="A539" s="37"/>
      <c r="B539" s="37"/>
      <c r="C539" s="37"/>
      <c r="D539" s="37"/>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7"/>
      <c r="AK539" s="37"/>
      <c r="AL539" s="37"/>
      <c r="AM539" s="37"/>
      <c r="AN539" s="37"/>
      <c r="AO539" s="39"/>
      <c r="AP539" s="40"/>
    </row>
    <row r="540">
      <c r="A540" s="37"/>
      <c r="B540" s="37"/>
      <c r="C540" s="37"/>
      <c r="D540" s="37"/>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7"/>
      <c r="AK540" s="37"/>
      <c r="AL540" s="37"/>
      <c r="AM540" s="37"/>
      <c r="AN540" s="37"/>
      <c r="AO540" s="39"/>
      <c r="AP540" s="40"/>
    </row>
    <row r="541">
      <c r="A541" s="37"/>
      <c r="B541" s="37"/>
      <c r="C541" s="37"/>
      <c r="D541" s="37"/>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7"/>
      <c r="AK541" s="37"/>
      <c r="AL541" s="37"/>
      <c r="AM541" s="37"/>
      <c r="AN541" s="37"/>
      <c r="AO541" s="39"/>
      <c r="AP541" s="40"/>
    </row>
    <row r="542">
      <c r="A542" s="37"/>
      <c r="B542" s="37"/>
      <c r="C542" s="37"/>
      <c r="D542" s="37"/>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7"/>
      <c r="AK542" s="37"/>
      <c r="AL542" s="37"/>
      <c r="AM542" s="37"/>
      <c r="AN542" s="37"/>
      <c r="AO542" s="39"/>
      <c r="AP542" s="40"/>
    </row>
    <row r="543">
      <c r="A543" s="37"/>
      <c r="B543" s="37"/>
      <c r="C543" s="37"/>
      <c r="D543" s="37"/>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7"/>
      <c r="AK543" s="37"/>
      <c r="AL543" s="37"/>
      <c r="AM543" s="37"/>
      <c r="AN543" s="37"/>
      <c r="AO543" s="39"/>
      <c r="AP543" s="40"/>
    </row>
    <row r="544">
      <c r="A544" s="37"/>
      <c r="B544" s="37"/>
      <c r="C544" s="37"/>
      <c r="D544" s="37"/>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7"/>
      <c r="AK544" s="37"/>
      <c r="AL544" s="37"/>
      <c r="AM544" s="37"/>
      <c r="AN544" s="37"/>
      <c r="AO544" s="39"/>
      <c r="AP544" s="40"/>
    </row>
    <row r="545">
      <c r="A545" s="37"/>
      <c r="B545" s="37"/>
      <c r="C545" s="37"/>
      <c r="D545" s="37"/>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7"/>
      <c r="AK545" s="37"/>
      <c r="AL545" s="37"/>
      <c r="AM545" s="37"/>
      <c r="AN545" s="37"/>
      <c r="AO545" s="39"/>
      <c r="AP545" s="40"/>
    </row>
    <row r="546">
      <c r="A546" s="37"/>
      <c r="B546" s="37"/>
      <c r="C546" s="37"/>
      <c r="D546" s="37"/>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7"/>
      <c r="AK546" s="37"/>
      <c r="AL546" s="37"/>
      <c r="AM546" s="37"/>
      <c r="AN546" s="37"/>
      <c r="AO546" s="39"/>
      <c r="AP546" s="40"/>
    </row>
    <row r="547">
      <c r="A547" s="37"/>
      <c r="B547" s="37"/>
      <c r="C547" s="37"/>
      <c r="D547" s="37"/>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7"/>
      <c r="AK547" s="37"/>
      <c r="AL547" s="37"/>
      <c r="AM547" s="37"/>
      <c r="AN547" s="37"/>
      <c r="AO547" s="39"/>
      <c r="AP547" s="40"/>
    </row>
    <row r="548">
      <c r="A548" s="37"/>
      <c r="B548" s="37"/>
      <c r="C548" s="37"/>
      <c r="D548" s="37"/>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7"/>
      <c r="AK548" s="37"/>
      <c r="AL548" s="37"/>
      <c r="AM548" s="37"/>
      <c r="AN548" s="37"/>
      <c r="AO548" s="39"/>
      <c r="AP548" s="40"/>
    </row>
    <row r="549">
      <c r="A549" s="37"/>
      <c r="B549" s="37"/>
      <c r="C549" s="37"/>
      <c r="D549" s="37"/>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7"/>
      <c r="AK549" s="37"/>
      <c r="AL549" s="37"/>
      <c r="AM549" s="37"/>
      <c r="AN549" s="37"/>
      <c r="AO549" s="39"/>
      <c r="AP549" s="40"/>
    </row>
    <row r="550">
      <c r="A550" s="37"/>
      <c r="B550" s="37"/>
      <c r="C550" s="37"/>
      <c r="D550" s="37"/>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7"/>
      <c r="AK550" s="37"/>
      <c r="AL550" s="37"/>
      <c r="AM550" s="37"/>
      <c r="AN550" s="37"/>
      <c r="AO550" s="39"/>
      <c r="AP550" s="40"/>
    </row>
    <row r="551">
      <c r="A551" s="37"/>
      <c r="B551" s="37"/>
      <c r="C551" s="37"/>
      <c r="D551" s="37"/>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7"/>
      <c r="AK551" s="37"/>
      <c r="AL551" s="37"/>
      <c r="AM551" s="37"/>
      <c r="AN551" s="37"/>
      <c r="AO551" s="39"/>
      <c r="AP551" s="40"/>
    </row>
    <row r="552">
      <c r="A552" s="37"/>
      <c r="B552" s="37"/>
      <c r="C552" s="37"/>
      <c r="D552" s="37"/>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7"/>
      <c r="AK552" s="37"/>
      <c r="AL552" s="37"/>
      <c r="AM552" s="37"/>
      <c r="AN552" s="37"/>
      <c r="AO552" s="39"/>
      <c r="AP552" s="40"/>
    </row>
    <row r="553">
      <c r="A553" s="37"/>
      <c r="B553" s="37"/>
      <c r="C553" s="37"/>
      <c r="D553" s="37"/>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7"/>
      <c r="AK553" s="37"/>
      <c r="AL553" s="37"/>
      <c r="AM553" s="37"/>
      <c r="AN553" s="37"/>
      <c r="AO553" s="39"/>
      <c r="AP553" s="40"/>
    </row>
    <row r="554">
      <c r="A554" s="37"/>
      <c r="B554" s="37"/>
      <c r="C554" s="37"/>
      <c r="D554" s="37"/>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7"/>
      <c r="AK554" s="37"/>
      <c r="AL554" s="37"/>
      <c r="AM554" s="37"/>
      <c r="AN554" s="37"/>
      <c r="AO554" s="39"/>
      <c r="AP554" s="40"/>
    </row>
    <row r="555">
      <c r="A555" s="37"/>
      <c r="B555" s="37"/>
      <c r="C555" s="37"/>
      <c r="D555" s="37"/>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7"/>
      <c r="AK555" s="37"/>
      <c r="AL555" s="37"/>
      <c r="AM555" s="37"/>
      <c r="AN555" s="37"/>
      <c r="AO555" s="39"/>
      <c r="AP555" s="40"/>
    </row>
    <row r="556">
      <c r="A556" s="37"/>
      <c r="B556" s="37"/>
      <c r="C556" s="37"/>
      <c r="D556" s="37"/>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7"/>
      <c r="AK556" s="37"/>
      <c r="AL556" s="37"/>
      <c r="AM556" s="37"/>
      <c r="AN556" s="37"/>
      <c r="AO556" s="39"/>
      <c r="AP556" s="40"/>
    </row>
    <row r="557">
      <c r="A557" s="37"/>
      <c r="B557" s="37"/>
      <c r="C557" s="37"/>
      <c r="D557" s="37"/>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7"/>
      <c r="AK557" s="37"/>
      <c r="AL557" s="37"/>
      <c r="AM557" s="37"/>
      <c r="AN557" s="37"/>
      <c r="AO557" s="39"/>
      <c r="AP557" s="40"/>
    </row>
    <row r="558">
      <c r="A558" s="37"/>
      <c r="B558" s="37"/>
      <c r="C558" s="37"/>
      <c r="D558" s="37"/>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7"/>
      <c r="AK558" s="37"/>
      <c r="AL558" s="37"/>
      <c r="AM558" s="37"/>
      <c r="AN558" s="37"/>
      <c r="AO558" s="39"/>
      <c r="AP558" s="40"/>
    </row>
    <row r="559">
      <c r="A559" s="37"/>
      <c r="B559" s="37"/>
      <c r="C559" s="37"/>
      <c r="D559" s="37"/>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7"/>
      <c r="AK559" s="37"/>
      <c r="AL559" s="37"/>
      <c r="AM559" s="37"/>
      <c r="AN559" s="37"/>
      <c r="AO559" s="39"/>
      <c r="AP559" s="40"/>
    </row>
    <row r="560">
      <c r="A560" s="37"/>
      <c r="B560" s="37"/>
      <c r="C560" s="37"/>
      <c r="D560" s="37"/>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7"/>
      <c r="AK560" s="37"/>
      <c r="AL560" s="37"/>
      <c r="AM560" s="37"/>
      <c r="AN560" s="37"/>
      <c r="AO560" s="39"/>
      <c r="AP560" s="40"/>
    </row>
    <row r="561">
      <c r="A561" s="37"/>
      <c r="B561" s="37"/>
      <c r="C561" s="37"/>
      <c r="D561" s="37"/>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7"/>
      <c r="AK561" s="37"/>
      <c r="AL561" s="37"/>
      <c r="AM561" s="37"/>
      <c r="AN561" s="37"/>
      <c r="AO561" s="39"/>
      <c r="AP561" s="40"/>
    </row>
    <row r="562">
      <c r="A562" s="37"/>
      <c r="B562" s="37"/>
      <c r="C562" s="37"/>
      <c r="D562" s="37"/>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7"/>
      <c r="AK562" s="37"/>
      <c r="AL562" s="37"/>
      <c r="AM562" s="37"/>
      <c r="AN562" s="37"/>
      <c r="AO562" s="39"/>
      <c r="AP562" s="40"/>
    </row>
    <row r="563">
      <c r="A563" s="37"/>
      <c r="B563" s="37"/>
      <c r="C563" s="37"/>
      <c r="D563" s="37"/>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7"/>
      <c r="AK563" s="37"/>
      <c r="AL563" s="37"/>
      <c r="AM563" s="37"/>
      <c r="AN563" s="37"/>
      <c r="AO563" s="39"/>
      <c r="AP563" s="40"/>
    </row>
    <row r="564">
      <c r="A564" s="37"/>
      <c r="B564" s="37"/>
      <c r="C564" s="37"/>
      <c r="D564" s="37"/>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7"/>
      <c r="AK564" s="37"/>
      <c r="AL564" s="37"/>
      <c r="AM564" s="37"/>
      <c r="AN564" s="37"/>
      <c r="AO564" s="39"/>
      <c r="AP564" s="40"/>
    </row>
    <row r="565">
      <c r="A565" s="37"/>
      <c r="B565" s="37"/>
      <c r="C565" s="37"/>
      <c r="D565" s="37"/>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7"/>
      <c r="AK565" s="37"/>
      <c r="AL565" s="37"/>
      <c r="AM565" s="37"/>
      <c r="AN565" s="37"/>
      <c r="AO565" s="39"/>
      <c r="AP565" s="40"/>
    </row>
    <row r="566">
      <c r="A566" s="37"/>
      <c r="B566" s="37"/>
      <c r="C566" s="37"/>
      <c r="D566" s="37"/>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7"/>
      <c r="AK566" s="37"/>
      <c r="AL566" s="37"/>
      <c r="AM566" s="37"/>
      <c r="AN566" s="37"/>
      <c r="AO566" s="39"/>
      <c r="AP566" s="40"/>
    </row>
    <row r="567">
      <c r="A567" s="37"/>
      <c r="B567" s="37"/>
      <c r="C567" s="37"/>
      <c r="D567" s="37"/>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7"/>
      <c r="AK567" s="37"/>
      <c r="AL567" s="37"/>
      <c r="AM567" s="37"/>
      <c r="AN567" s="37"/>
      <c r="AO567" s="39"/>
      <c r="AP567" s="40"/>
    </row>
    <row r="568">
      <c r="A568" s="37"/>
      <c r="B568" s="37"/>
      <c r="C568" s="37"/>
      <c r="D568" s="37"/>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7"/>
      <c r="AK568" s="37"/>
      <c r="AL568" s="37"/>
      <c r="AM568" s="37"/>
      <c r="AN568" s="37"/>
      <c r="AO568" s="39"/>
      <c r="AP568" s="40"/>
    </row>
    <row r="569">
      <c r="A569" s="37"/>
      <c r="B569" s="37"/>
      <c r="C569" s="37"/>
      <c r="D569" s="37"/>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7"/>
      <c r="AK569" s="37"/>
      <c r="AL569" s="37"/>
      <c r="AM569" s="37"/>
      <c r="AN569" s="37"/>
      <c r="AO569" s="39"/>
      <c r="AP569" s="40"/>
    </row>
    <row r="570">
      <c r="A570" s="37"/>
      <c r="B570" s="37"/>
      <c r="C570" s="37"/>
      <c r="D570" s="37"/>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7"/>
      <c r="AK570" s="37"/>
      <c r="AL570" s="37"/>
      <c r="AM570" s="37"/>
      <c r="AN570" s="37"/>
      <c r="AO570" s="39"/>
      <c r="AP570" s="40"/>
    </row>
    <row r="571">
      <c r="A571" s="37"/>
      <c r="B571" s="37"/>
      <c r="C571" s="37"/>
      <c r="D571" s="37"/>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7"/>
      <c r="AK571" s="37"/>
      <c r="AL571" s="37"/>
      <c r="AM571" s="37"/>
      <c r="AN571" s="37"/>
      <c r="AO571" s="39"/>
      <c r="AP571" s="40"/>
    </row>
    <row r="572">
      <c r="A572" s="37"/>
      <c r="B572" s="37"/>
      <c r="C572" s="37"/>
      <c r="D572" s="37"/>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7"/>
      <c r="AK572" s="37"/>
      <c r="AL572" s="37"/>
      <c r="AM572" s="37"/>
      <c r="AN572" s="37"/>
      <c r="AO572" s="39"/>
      <c r="AP572" s="40"/>
    </row>
    <row r="573">
      <c r="A573" s="37"/>
      <c r="B573" s="37"/>
      <c r="C573" s="37"/>
      <c r="D573" s="37"/>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7"/>
      <c r="AK573" s="37"/>
      <c r="AL573" s="37"/>
      <c r="AM573" s="37"/>
      <c r="AN573" s="37"/>
      <c r="AO573" s="39"/>
      <c r="AP573" s="40"/>
    </row>
    <row r="574">
      <c r="A574" s="37"/>
      <c r="B574" s="37"/>
      <c r="C574" s="37"/>
      <c r="D574" s="37"/>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7"/>
      <c r="AK574" s="37"/>
      <c r="AL574" s="37"/>
      <c r="AM574" s="37"/>
      <c r="AN574" s="37"/>
      <c r="AO574" s="39"/>
      <c r="AP574" s="40"/>
    </row>
    <row r="575">
      <c r="A575" s="37"/>
      <c r="B575" s="37"/>
      <c r="C575" s="37"/>
      <c r="D575" s="37"/>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7"/>
      <c r="AK575" s="37"/>
      <c r="AL575" s="37"/>
      <c r="AM575" s="37"/>
      <c r="AN575" s="37"/>
      <c r="AO575" s="39"/>
      <c r="AP575" s="40"/>
    </row>
    <row r="576">
      <c r="A576" s="37"/>
      <c r="B576" s="37"/>
      <c r="C576" s="37"/>
      <c r="D576" s="37"/>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7"/>
      <c r="AK576" s="37"/>
      <c r="AL576" s="37"/>
      <c r="AM576" s="37"/>
      <c r="AN576" s="37"/>
      <c r="AO576" s="39"/>
      <c r="AP576" s="40"/>
    </row>
    <row r="577">
      <c r="A577" s="37"/>
      <c r="B577" s="37"/>
      <c r="C577" s="37"/>
      <c r="D577" s="37"/>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7"/>
      <c r="AK577" s="37"/>
      <c r="AL577" s="37"/>
      <c r="AM577" s="37"/>
      <c r="AN577" s="37"/>
      <c r="AO577" s="39"/>
      <c r="AP577" s="40"/>
    </row>
    <row r="578">
      <c r="A578" s="37"/>
      <c r="B578" s="37"/>
      <c r="C578" s="37"/>
      <c r="D578" s="37"/>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7"/>
      <c r="AK578" s="37"/>
      <c r="AL578" s="37"/>
      <c r="AM578" s="37"/>
      <c r="AN578" s="37"/>
      <c r="AO578" s="39"/>
      <c r="AP578" s="40"/>
    </row>
    <row r="579">
      <c r="A579" s="37"/>
      <c r="B579" s="37"/>
      <c r="C579" s="37"/>
      <c r="D579" s="37"/>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7"/>
      <c r="AK579" s="37"/>
      <c r="AL579" s="37"/>
      <c r="AM579" s="37"/>
      <c r="AN579" s="37"/>
      <c r="AO579" s="39"/>
      <c r="AP579" s="40"/>
    </row>
    <row r="580">
      <c r="A580" s="37"/>
      <c r="B580" s="37"/>
      <c r="C580" s="37"/>
      <c r="D580" s="37"/>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7"/>
      <c r="AK580" s="37"/>
      <c r="AL580" s="37"/>
      <c r="AM580" s="37"/>
      <c r="AN580" s="37"/>
      <c r="AO580" s="39"/>
      <c r="AP580" s="40"/>
    </row>
    <row r="581">
      <c r="A581" s="37"/>
      <c r="B581" s="37"/>
      <c r="C581" s="37"/>
      <c r="D581" s="37"/>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7"/>
      <c r="AK581" s="37"/>
      <c r="AL581" s="37"/>
      <c r="AM581" s="37"/>
      <c r="AN581" s="37"/>
      <c r="AO581" s="39"/>
      <c r="AP581" s="40"/>
    </row>
    <row r="582">
      <c r="A582" s="37"/>
      <c r="B582" s="37"/>
      <c r="C582" s="37"/>
      <c r="D582" s="37"/>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7"/>
      <c r="AK582" s="37"/>
      <c r="AL582" s="37"/>
      <c r="AM582" s="37"/>
      <c r="AN582" s="37"/>
      <c r="AO582" s="39"/>
      <c r="AP582" s="40"/>
    </row>
    <row r="583">
      <c r="A583" s="37"/>
      <c r="B583" s="37"/>
      <c r="C583" s="37"/>
      <c r="D583" s="37"/>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7"/>
      <c r="AK583" s="37"/>
      <c r="AL583" s="37"/>
      <c r="AM583" s="37"/>
      <c r="AN583" s="37"/>
      <c r="AO583" s="39"/>
      <c r="AP583" s="40"/>
    </row>
    <row r="584">
      <c r="A584" s="37"/>
      <c r="B584" s="37"/>
      <c r="C584" s="37"/>
      <c r="D584" s="37"/>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7"/>
      <c r="AK584" s="37"/>
      <c r="AL584" s="37"/>
      <c r="AM584" s="37"/>
      <c r="AN584" s="37"/>
      <c r="AO584" s="39"/>
      <c r="AP584" s="40"/>
    </row>
    <row r="585">
      <c r="A585" s="37"/>
      <c r="B585" s="37"/>
      <c r="C585" s="37"/>
      <c r="D585" s="37"/>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7"/>
      <c r="AK585" s="37"/>
      <c r="AL585" s="37"/>
      <c r="AM585" s="37"/>
      <c r="AN585" s="37"/>
      <c r="AO585" s="39"/>
      <c r="AP585" s="40"/>
    </row>
    <row r="586">
      <c r="A586" s="37"/>
      <c r="B586" s="37"/>
      <c r="C586" s="37"/>
      <c r="D586" s="37"/>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7"/>
      <c r="AK586" s="37"/>
      <c r="AL586" s="37"/>
      <c r="AM586" s="37"/>
      <c r="AN586" s="37"/>
      <c r="AO586" s="39"/>
      <c r="AP586" s="40"/>
    </row>
    <row r="587">
      <c r="A587" s="37"/>
      <c r="B587" s="37"/>
      <c r="C587" s="37"/>
      <c r="D587" s="37"/>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7"/>
      <c r="AK587" s="37"/>
      <c r="AL587" s="37"/>
      <c r="AM587" s="37"/>
      <c r="AN587" s="37"/>
      <c r="AO587" s="39"/>
      <c r="AP587" s="40"/>
    </row>
    <row r="588">
      <c r="A588" s="37"/>
      <c r="B588" s="37"/>
      <c r="C588" s="37"/>
      <c r="D588" s="37"/>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7"/>
      <c r="AK588" s="37"/>
      <c r="AL588" s="37"/>
      <c r="AM588" s="37"/>
      <c r="AN588" s="37"/>
      <c r="AO588" s="39"/>
      <c r="AP588" s="40"/>
    </row>
    <row r="589">
      <c r="A589" s="37"/>
      <c r="B589" s="37"/>
      <c r="C589" s="37"/>
      <c r="D589" s="37"/>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7"/>
      <c r="AK589" s="37"/>
      <c r="AL589" s="37"/>
      <c r="AM589" s="37"/>
      <c r="AN589" s="37"/>
      <c r="AO589" s="39"/>
      <c r="AP589" s="40"/>
    </row>
    <row r="590">
      <c r="A590" s="37"/>
      <c r="B590" s="37"/>
      <c r="C590" s="37"/>
      <c r="D590" s="37"/>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7"/>
      <c r="AK590" s="37"/>
      <c r="AL590" s="37"/>
      <c r="AM590" s="37"/>
      <c r="AN590" s="37"/>
      <c r="AO590" s="39"/>
      <c r="AP590" s="40"/>
    </row>
    <row r="591">
      <c r="A591" s="37"/>
      <c r="B591" s="37"/>
      <c r="C591" s="37"/>
      <c r="D591" s="37"/>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7"/>
      <c r="AK591" s="37"/>
      <c r="AL591" s="37"/>
      <c r="AM591" s="37"/>
      <c r="AN591" s="37"/>
      <c r="AO591" s="39"/>
      <c r="AP591" s="40"/>
    </row>
    <row r="592">
      <c r="A592" s="37"/>
      <c r="B592" s="37"/>
      <c r="C592" s="37"/>
      <c r="D592" s="37"/>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7"/>
      <c r="AK592" s="37"/>
      <c r="AL592" s="37"/>
      <c r="AM592" s="37"/>
      <c r="AN592" s="37"/>
      <c r="AO592" s="39"/>
      <c r="AP592" s="40"/>
    </row>
    <row r="593">
      <c r="A593" s="37"/>
      <c r="B593" s="37"/>
      <c r="C593" s="37"/>
      <c r="D593" s="37"/>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7"/>
      <c r="AK593" s="37"/>
      <c r="AL593" s="37"/>
      <c r="AM593" s="37"/>
      <c r="AN593" s="37"/>
      <c r="AO593" s="39"/>
      <c r="AP593" s="40"/>
    </row>
    <row r="594">
      <c r="A594" s="37"/>
      <c r="B594" s="37"/>
      <c r="C594" s="37"/>
      <c r="D594" s="37"/>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7"/>
      <c r="AK594" s="37"/>
      <c r="AL594" s="37"/>
      <c r="AM594" s="37"/>
      <c r="AN594" s="37"/>
      <c r="AO594" s="39"/>
      <c r="AP594" s="40"/>
    </row>
    <row r="595">
      <c r="A595" s="37"/>
      <c r="B595" s="37"/>
      <c r="C595" s="37"/>
      <c r="D595" s="37"/>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7"/>
      <c r="AK595" s="37"/>
      <c r="AL595" s="37"/>
      <c r="AM595" s="37"/>
      <c r="AN595" s="37"/>
      <c r="AO595" s="39"/>
      <c r="AP595" s="40"/>
    </row>
    <row r="596">
      <c r="A596" s="37"/>
      <c r="B596" s="37"/>
      <c r="C596" s="37"/>
      <c r="D596" s="37"/>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7"/>
      <c r="AK596" s="37"/>
      <c r="AL596" s="37"/>
      <c r="AM596" s="37"/>
      <c r="AN596" s="37"/>
      <c r="AO596" s="39"/>
      <c r="AP596" s="40"/>
    </row>
    <row r="597">
      <c r="A597" s="37"/>
      <c r="B597" s="37"/>
      <c r="C597" s="37"/>
      <c r="D597" s="37"/>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7"/>
      <c r="AK597" s="37"/>
      <c r="AL597" s="37"/>
      <c r="AM597" s="37"/>
      <c r="AN597" s="37"/>
      <c r="AO597" s="39"/>
      <c r="AP597" s="40"/>
    </row>
    <row r="598">
      <c r="A598" s="37"/>
      <c r="B598" s="37"/>
      <c r="C598" s="37"/>
      <c r="D598" s="37"/>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7"/>
      <c r="AK598" s="37"/>
      <c r="AL598" s="37"/>
      <c r="AM598" s="37"/>
      <c r="AN598" s="37"/>
      <c r="AO598" s="39"/>
      <c r="AP598" s="40"/>
    </row>
    <row r="599">
      <c r="A599" s="37"/>
      <c r="B599" s="37"/>
      <c r="C599" s="37"/>
      <c r="D599" s="37"/>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7"/>
      <c r="AK599" s="37"/>
      <c r="AL599" s="37"/>
      <c r="AM599" s="37"/>
      <c r="AN599" s="37"/>
      <c r="AO599" s="39"/>
      <c r="AP599" s="40"/>
    </row>
    <row r="600">
      <c r="A600" s="37"/>
      <c r="B600" s="37"/>
      <c r="C600" s="37"/>
      <c r="D600" s="37"/>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7"/>
      <c r="AK600" s="37"/>
      <c r="AL600" s="37"/>
      <c r="AM600" s="37"/>
      <c r="AN600" s="37"/>
      <c r="AO600" s="39"/>
      <c r="AP600" s="40"/>
    </row>
    <row r="601">
      <c r="A601" s="37"/>
      <c r="B601" s="37"/>
      <c r="C601" s="37"/>
      <c r="D601" s="37"/>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7"/>
      <c r="AK601" s="37"/>
      <c r="AL601" s="37"/>
      <c r="AM601" s="37"/>
      <c r="AN601" s="37"/>
      <c r="AO601" s="39"/>
      <c r="AP601" s="40"/>
    </row>
    <row r="602">
      <c r="A602" s="37"/>
      <c r="B602" s="37"/>
      <c r="C602" s="37"/>
      <c r="D602" s="37"/>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7"/>
      <c r="AK602" s="37"/>
      <c r="AL602" s="37"/>
      <c r="AM602" s="37"/>
      <c r="AN602" s="37"/>
      <c r="AO602" s="39"/>
      <c r="AP602" s="40"/>
    </row>
    <row r="603">
      <c r="A603" s="37"/>
      <c r="B603" s="37"/>
      <c r="C603" s="37"/>
      <c r="D603" s="37"/>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7"/>
      <c r="AK603" s="37"/>
      <c r="AL603" s="37"/>
      <c r="AM603" s="37"/>
      <c r="AN603" s="37"/>
      <c r="AO603" s="39"/>
      <c r="AP603" s="40"/>
    </row>
    <row r="604">
      <c r="A604" s="37"/>
      <c r="B604" s="37"/>
      <c r="C604" s="37"/>
      <c r="D604" s="37"/>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7"/>
      <c r="AK604" s="37"/>
      <c r="AL604" s="37"/>
      <c r="AM604" s="37"/>
      <c r="AN604" s="37"/>
      <c r="AO604" s="39"/>
      <c r="AP604" s="40"/>
    </row>
    <row r="605">
      <c r="A605" s="37"/>
      <c r="B605" s="37"/>
      <c r="C605" s="37"/>
      <c r="D605" s="37"/>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7"/>
      <c r="AK605" s="37"/>
      <c r="AL605" s="37"/>
      <c r="AM605" s="37"/>
      <c r="AN605" s="37"/>
      <c r="AO605" s="39"/>
      <c r="AP605" s="40"/>
    </row>
    <row r="606">
      <c r="A606" s="37"/>
      <c r="B606" s="37"/>
      <c r="C606" s="37"/>
      <c r="D606" s="37"/>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7"/>
      <c r="AK606" s="37"/>
      <c r="AL606" s="37"/>
      <c r="AM606" s="37"/>
      <c r="AN606" s="37"/>
      <c r="AO606" s="39"/>
      <c r="AP606" s="40"/>
    </row>
    <row r="607">
      <c r="A607" s="37"/>
      <c r="B607" s="37"/>
      <c r="C607" s="37"/>
      <c r="D607" s="37"/>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7"/>
      <c r="AK607" s="37"/>
      <c r="AL607" s="37"/>
      <c r="AM607" s="37"/>
      <c r="AN607" s="37"/>
      <c r="AO607" s="39"/>
      <c r="AP607" s="40"/>
    </row>
    <row r="608">
      <c r="A608" s="37"/>
      <c r="B608" s="37"/>
      <c r="C608" s="37"/>
      <c r="D608" s="37"/>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7"/>
      <c r="AK608" s="37"/>
      <c r="AL608" s="37"/>
      <c r="AM608" s="37"/>
      <c r="AN608" s="37"/>
      <c r="AO608" s="39"/>
      <c r="AP608" s="40"/>
    </row>
    <row r="609">
      <c r="A609" s="37"/>
      <c r="B609" s="37"/>
      <c r="C609" s="37"/>
      <c r="D609" s="37"/>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7"/>
      <c r="AK609" s="37"/>
      <c r="AL609" s="37"/>
      <c r="AM609" s="37"/>
      <c r="AN609" s="37"/>
      <c r="AO609" s="39"/>
      <c r="AP609" s="40"/>
    </row>
    <row r="610">
      <c r="A610" s="37"/>
      <c r="B610" s="37"/>
      <c r="C610" s="37"/>
      <c r="D610" s="37"/>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7"/>
      <c r="AK610" s="37"/>
      <c r="AL610" s="37"/>
      <c r="AM610" s="37"/>
      <c r="AN610" s="37"/>
      <c r="AO610" s="39"/>
      <c r="AP610" s="40"/>
    </row>
    <row r="611">
      <c r="A611" s="37"/>
      <c r="B611" s="37"/>
      <c r="C611" s="37"/>
      <c r="D611" s="37"/>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7"/>
      <c r="AK611" s="37"/>
      <c r="AL611" s="37"/>
      <c r="AM611" s="37"/>
      <c r="AN611" s="37"/>
      <c r="AO611" s="39"/>
      <c r="AP611" s="40"/>
    </row>
    <row r="612">
      <c r="A612" s="37"/>
      <c r="B612" s="37"/>
      <c r="C612" s="37"/>
      <c r="D612" s="37"/>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7"/>
      <c r="AK612" s="37"/>
      <c r="AL612" s="37"/>
      <c r="AM612" s="37"/>
      <c r="AN612" s="37"/>
      <c r="AO612" s="39"/>
      <c r="AP612" s="40"/>
    </row>
    <row r="613">
      <c r="A613" s="37"/>
      <c r="B613" s="37"/>
      <c r="C613" s="37"/>
      <c r="D613" s="37"/>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7"/>
      <c r="AK613" s="37"/>
      <c r="AL613" s="37"/>
      <c r="AM613" s="37"/>
      <c r="AN613" s="37"/>
      <c r="AO613" s="39"/>
      <c r="AP613" s="40"/>
    </row>
    <row r="614">
      <c r="A614" s="37"/>
      <c r="B614" s="37"/>
      <c r="C614" s="37"/>
      <c r="D614" s="37"/>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7"/>
      <c r="AK614" s="37"/>
      <c r="AL614" s="37"/>
      <c r="AM614" s="37"/>
      <c r="AN614" s="37"/>
      <c r="AO614" s="39"/>
      <c r="AP614" s="40"/>
    </row>
    <row r="615">
      <c r="A615" s="37"/>
      <c r="B615" s="37"/>
      <c r="C615" s="37"/>
      <c r="D615" s="37"/>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7"/>
      <c r="AK615" s="37"/>
      <c r="AL615" s="37"/>
      <c r="AM615" s="37"/>
      <c r="AN615" s="37"/>
      <c r="AO615" s="39"/>
      <c r="AP615" s="40"/>
    </row>
    <row r="616">
      <c r="A616" s="37"/>
      <c r="B616" s="37"/>
      <c r="C616" s="37"/>
      <c r="D616" s="37"/>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7"/>
      <c r="AK616" s="37"/>
      <c r="AL616" s="37"/>
      <c r="AM616" s="37"/>
      <c r="AN616" s="37"/>
      <c r="AO616" s="39"/>
      <c r="AP616" s="40"/>
    </row>
    <row r="617">
      <c r="A617" s="37"/>
      <c r="B617" s="37"/>
      <c r="C617" s="37"/>
      <c r="D617" s="37"/>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7"/>
      <c r="AK617" s="37"/>
      <c r="AL617" s="37"/>
      <c r="AM617" s="37"/>
      <c r="AN617" s="37"/>
      <c r="AO617" s="39"/>
      <c r="AP617" s="40"/>
    </row>
    <row r="618">
      <c r="A618" s="37"/>
      <c r="B618" s="37"/>
      <c r="C618" s="37"/>
      <c r="D618" s="37"/>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7"/>
      <c r="AK618" s="37"/>
      <c r="AL618" s="37"/>
      <c r="AM618" s="37"/>
      <c r="AN618" s="37"/>
      <c r="AO618" s="39"/>
      <c r="AP618" s="40"/>
    </row>
    <row r="619">
      <c r="A619" s="37"/>
      <c r="B619" s="37"/>
      <c r="C619" s="37"/>
      <c r="D619" s="37"/>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7"/>
      <c r="AK619" s="37"/>
      <c r="AL619" s="37"/>
      <c r="AM619" s="37"/>
      <c r="AN619" s="37"/>
      <c r="AO619" s="39"/>
      <c r="AP619" s="40"/>
    </row>
    <row r="620">
      <c r="A620" s="37"/>
      <c r="B620" s="37"/>
      <c r="C620" s="37"/>
      <c r="D620" s="37"/>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7"/>
      <c r="AK620" s="37"/>
      <c r="AL620" s="37"/>
      <c r="AM620" s="37"/>
      <c r="AN620" s="37"/>
      <c r="AO620" s="39"/>
      <c r="AP620" s="40"/>
    </row>
    <row r="621">
      <c r="A621" s="37"/>
      <c r="B621" s="37"/>
      <c r="C621" s="37"/>
      <c r="D621" s="37"/>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7"/>
      <c r="AK621" s="37"/>
      <c r="AL621" s="37"/>
      <c r="AM621" s="37"/>
      <c r="AN621" s="37"/>
      <c r="AO621" s="39"/>
      <c r="AP621" s="40"/>
    </row>
    <row r="622">
      <c r="A622" s="37"/>
      <c r="B622" s="37"/>
      <c r="C622" s="37"/>
      <c r="D622" s="37"/>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7"/>
      <c r="AK622" s="37"/>
      <c r="AL622" s="37"/>
      <c r="AM622" s="37"/>
      <c r="AN622" s="37"/>
      <c r="AO622" s="39"/>
      <c r="AP622" s="40"/>
    </row>
    <row r="623">
      <c r="A623" s="37"/>
      <c r="B623" s="37"/>
      <c r="C623" s="37"/>
      <c r="D623" s="37"/>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7"/>
      <c r="AK623" s="37"/>
      <c r="AL623" s="37"/>
      <c r="AM623" s="37"/>
      <c r="AN623" s="37"/>
      <c r="AO623" s="39"/>
      <c r="AP623" s="40"/>
    </row>
    <row r="624">
      <c r="A624" s="37"/>
      <c r="B624" s="37"/>
      <c r="C624" s="37"/>
      <c r="D624" s="37"/>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7"/>
      <c r="AK624" s="37"/>
      <c r="AL624" s="37"/>
      <c r="AM624" s="37"/>
      <c r="AN624" s="37"/>
      <c r="AO624" s="39"/>
      <c r="AP624" s="40"/>
    </row>
    <row r="625">
      <c r="A625" s="37"/>
      <c r="B625" s="37"/>
      <c r="C625" s="37"/>
      <c r="D625" s="37"/>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7"/>
      <c r="AK625" s="37"/>
      <c r="AL625" s="37"/>
      <c r="AM625" s="37"/>
      <c r="AN625" s="37"/>
      <c r="AO625" s="39"/>
      <c r="AP625" s="40"/>
    </row>
    <row r="626">
      <c r="A626" s="37"/>
      <c r="B626" s="37"/>
      <c r="C626" s="37"/>
      <c r="D626" s="37"/>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7"/>
      <c r="AK626" s="37"/>
      <c r="AL626" s="37"/>
      <c r="AM626" s="37"/>
      <c r="AN626" s="37"/>
      <c r="AO626" s="39"/>
      <c r="AP626" s="40"/>
    </row>
    <row r="627">
      <c r="A627" s="37"/>
      <c r="B627" s="37"/>
      <c r="C627" s="37"/>
      <c r="D627" s="37"/>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7"/>
      <c r="AK627" s="37"/>
      <c r="AL627" s="37"/>
      <c r="AM627" s="37"/>
      <c r="AN627" s="37"/>
      <c r="AO627" s="39"/>
      <c r="AP627" s="40"/>
    </row>
    <row r="628">
      <c r="A628" s="37"/>
      <c r="B628" s="37"/>
      <c r="C628" s="37"/>
      <c r="D628" s="37"/>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7"/>
      <c r="AK628" s="37"/>
      <c r="AL628" s="37"/>
      <c r="AM628" s="37"/>
      <c r="AN628" s="37"/>
      <c r="AO628" s="39"/>
      <c r="AP628" s="40"/>
    </row>
    <row r="629">
      <c r="A629" s="37"/>
      <c r="B629" s="37"/>
      <c r="C629" s="37"/>
      <c r="D629" s="37"/>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7"/>
      <c r="AK629" s="37"/>
      <c r="AL629" s="37"/>
      <c r="AM629" s="37"/>
      <c r="AN629" s="37"/>
      <c r="AO629" s="39"/>
      <c r="AP629" s="40"/>
    </row>
    <row r="630">
      <c r="A630" s="37"/>
      <c r="B630" s="37"/>
      <c r="C630" s="37"/>
      <c r="D630" s="37"/>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7"/>
      <c r="AK630" s="37"/>
      <c r="AL630" s="37"/>
      <c r="AM630" s="37"/>
      <c r="AN630" s="37"/>
      <c r="AO630" s="39"/>
      <c r="AP630" s="40"/>
    </row>
    <row r="631">
      <c r="A631" s="37"/>
      <c r="B631" s="37"/>
      <c r="C631" s="37"/>
      <c r="D631" s="37"/>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7"/>
      <c r="AK631" s="37"/>
      <c r="AL631" s="37"/>
      <c r="AM631" s="37"/>
      <c r="AN631" s="37"/>
      <c r="AO631" s="39"/>
      <c r="AP631" s="40"/>
    </row>
    <row r="632">
      <c r="A632" s="37"/>
      <c r="B632" s="37"/>
      <c r="C632" s="37"/>
      <c r="D632" s="37"/>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7"/>
      <c r="AK632" s="37"/>
      <c r="AL632" s="37"/>
      <c r="AM632" s="37"/>
      <c r="AN632" s="37"/>
      <c r="AO632" s="39"/>
      <c r="AP632" s="40"/>
    </row>
    <row r="633">
      <c r="A633" s="37"/>
      <c r="B633" s="37"/>
      <c r="C633" s="37"/>
      <c r="D633" s="37"/>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7"/>
      <c r="AK633" s="37"/>
      <c r="AL633" s="37"/>
      <c r="AM633" s="37"/>
      <c r="AN633" s="37"/>
      <c r="AO633" s="39"/>
      <c r="AP633" s="40"/>
    </row>
    <row r="634">
      <c r="A634" s="37"/>
      <c r="B634" s="37"/>
      <c r="C634" s="37"/>
      <c r="D634" s="37"/>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7"/>
      <c r="AK634" s="37"/>
      <c r="AL634" s="37"/>
      <c r="AM634" s="37"/>
      <c r="AN634" s="37"/>
      <c r="AO634" s="39"/>
      <c r="AP634" s="40"/>
    </row>
    <row r="635">
      <c r="A635" s="37"/>
      <c r="B635" s="37"/>
      <c r="C635" s="37"/>
      <c r="D635" s="37"/>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7"/>
      <c r="AK635" s="37"/>
      <c r="AL635" s="37"/>
      <c r="AM635" s="37"/>
      <c r="AN635" s="37"/>
      <c r="AO635" s="39"/>
      <c r="AP635" s="40"/>
    </row>
    <row r="636">
      <c r="A636" s="37"/>
      <c r="B636" s="37"/>
      <c r="C636" s="37"/>
      <c r="D636" s="37"/>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7"/>
      <c r="AK636" s="37"/>
      <c r="AL636" s="37"/>
      <c r="AM636" s="37"/>
      <c r="AN636" s="37"/>
      <c r="AO636" s="39"/>
      <c r="AP636" s="40"/>
    </row>
    <row r="637">
      <c r="A637" s="37"/>
      <c r="B637" s="37"/>
      <c r="C637" s="37"/>
      <c r="D637" s="37"/>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7"/>
      <c r="AK637" s="37"/>
      <c r="AL637" s="37"/>
      <c r="AM637" s="37"/>
      <c r="AN637" s="37"/>
      <c r="AO637" s="39"/>
      <c r="AP637" s="40"/>
    </row>
    <row r="638">
      <c r="A638" s="37"/>
      <c r="B638" s="37"/>
      <c r="C638" s="37"/>
      <c r="D638" s="37"/>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7"/>
      <c r="AK638" s="37"/>
      <c r="AL638" s="37"/>
      <c r="AM638" s="37"/>
      <c r="AN638" s="37"/>
      <c r="AO638" s="39"/>
      <c r="AP638" s="40"/>
    </row>
    <row r="639">
      <c r="A639" s="37"/>
      <c r="B639" s="37"/>
      <c r="C639" s="37"/>
      <c r="D639" s="37"/>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7"/>
      <c r="AK639" s="37"/>
      <c r="AL639" s="37"/>
      <c r="AM639" s="37"/>
      <c r="AN639" s="37"/>
      <c r="AO639" s="39"/>
      <c r="AP639" s="40"/>
    </row>
    <row r="640">
      <c r="A640" s="37"/>
      <c r="B640" s="37"/>
      <c r="C640" s="37"/>
      <c r="D640" s="37"/>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7"/>
      <c r="AK640" s="37"/>
      <c r="AL640" s="37"/>
      <c r="AM640" s="37"/>
      <c r="AN640" s="37"/>
      <c r="AO640" s="39"/>
      <c r="AP640" s="40"/>
    </row>
    <row r="641">
      <c r="A641" s="37"/>
      <c r="B641" s="37"/>
      <c r="C641" s="37"/>
      <c r="D641" s="37"/>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7"/>
      <c r="AK641" s="37"/>
      <c r="AL641" s="37"/>
      <c r="AM641" s="37"/>
      <c r="AN641" s="37"/>
      <c r="AO641" s="39"/>
      <c r="AP641" s="40"/>
    </row>
    <row r="642">
      <c r="A642" s="37"/>
      <c r="B642" s="37"/>
      <c r="C642" s="37"/>
      <c r="D642" s="37"/>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7"/>
      <c r="AK642" s="37"/>
      <c r="AL642" s="37"/>
      <c r="AM642" s="37"/>
      <c r="AN642" s="37"/>
      <c r="AO642" s="39"/>
      <c r="AP642" s="40"/>
    </row>
    <row r="643">
      <c r="A643" s="37"/>
      <c r="B643" s="37"/>
      <c r="C643" s="37"/>
      <c r="D643" s="37"/>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7"/>
      <c r="AK643" s="37"/>
      <c r="AL643" s="37"/>
      <c r="AM643" s="37"/>
      <c r="AN643" s="37"/>
      <c r="AO643" s="39"/>
      <c r="AP643" s="40"/>
    </row>
    <row r="644">
      <c r="A644" s="37"/>
      <c r="B644" s="37"/>
      <c r="C644" s="37"/>
      <c r="D644" s="37"/>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7"/>
      <c r="AK644" s="37"/>
      <c r="AL644" s="37"/>
      <c r="AM644" s="37"/>
      <c r="AN644" s="37"/>
      <c r="AO644" s="39"/>
      <c r="AP644" s="40"/>
    </row>
    <row r="645">
      <c r="A645" s="37"/>
      <c r="B645" s="37"/>
      <c r="C645" s="37"/>
      <c r="D645" s="37"/>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7"/>
      <c r="AK645" s="37"/>
      <c r="AL645" s="37"/>
      <c r="AM645" s="37"/>
      <c r="AN645" s="37"/>
      <c r="AO645" s="39"/>
      <c r="AP645" s="40"/>
    </row>
    <row r="646">
      <c r="A646" s="37"/>
      <c r="B646" s="37"/>
      <c r="C646" s="37"/>
      <c r="D646" s="37"/>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7"/>
      <c r="AK646" s="37"/>
      <c r="AL646" s="37"/>
      <c r="AM646" s="37"/>
      <c r="AN646" s="37"/>
      <c r="AO646" s="39"/>
      <c r="AP646" s="40"/>
    </row>
    <row r="647">
      <c r="A647" s="37"/>
      <c r="B647" s="37"/>
      <c r="C647" s="37"/>
      <c r="D647" s="37"/>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7"/>
      <c r="AK647" s="37"/>
      <c r="AL647" s="37"/>
      <c r="AM647" s="37"/>
      <c r="AN647" s="37"/>
      <c r="AO647" s="39"/>
      <c r="AP647" s="40"/>
    </row>
    <row r="648">
      <c r="A648" s="37"/>
      <c r="B648" s="37"/>
      <c r="C648" s="37"/>
      <c r="D648" s="37"/>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7"/>
      <c r="AK648" s="37"/>
      <c r="AL648" s="37"/>
      <c r="AM648" s="37"/>
      <c r="AN648" s="37"/>
      <c r="AO648" s="39"/>
      <c r="AP648" s="40"/>
    </row>
    <row r="649">
      <c r="A649" s="37"/>
      <c r="B649" s="37"/>
      <c r="C649" s="37"/>
      <c r="D649" s="37"/>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7"/>
      <c r="AK649" s="37"/>
      <c r="AL649" s="37"/>
      <c r="AM649" s="37"/>
      <c r="AN649" s="37"/>
      <c r="AO649" s="39"/>
      <c r="AP649" s="40"/>
    </row>
    <row r="650">
      <c r="A650" s="37"/>
      <c r="B650" s="37"/>
      <c r="C650" s="37"/>
      <c r="D650" s="37"/>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7"/>
      <c r="AK650" s="37"/>
      <c r="AL650" s="37"/>
      <c r="AM650" s="37"/>
      <c r="AN650" s="37"/>
      <c r="AO650" s="39"/>
      <c r="AP650" s="40"/>
    </row>
    <row r="651">
      <c r="A651" s="37"/>
      <c r="B651" s="37"/>
      <c r="C651" s="37"/>
      <c r="D651" s="37"/>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7"/>
      <c r="AK651" s="37"/>
      <c r="AL651" s="37"/>
      <c r="AM651" s="37"/>
      <c r="AN651" s="37"/>
      <c r="AO651" s="39"/>
      <c r="AP651" s="40"/>
    </row>
    <row r="652">
      <c r="A652" s="37"/>
      <c r="B652" s="37"/>
      <c r="C652" s="37"/>
      <c r="D652" s="37"/>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7"/>
      <c r="AK652" s="37"/>
      <c r="AL652" s="37"/>
      <c r="AM652" s="37"/>
      <c r="AN652" s="37"/>
      <c r="AO652" s="39"/>
      <c r="AP652" s="40"/>
    </row>
    <row r="653">
      <c r="A653" s="37"/>
      <c r="B653" s="37"/>
      <c r="C653" s="37"/>
      <c r="D653" s="37"/>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7"/>
      <c r="AK653" s="37"/>
      <c r="AL653" s="37"/>
      <c r="AM653" s="37"/>
      <c r="AN653" s="37"/>
      <c r="AO653" s="39"/>
      <c r="AP653" s="40"/>
    </row>
    <row r="654">
      <c r="A654" s="37"/>
      <c r="B654" s="37"/>
      <c r="C654" s="37"/>
      <c r="D654" s="37"/>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7"/>
      <c r="AK654" s="37"/>
      <c r="AL654" s="37"/>
      <c r="AM654" s="37"/>
      <c r="AN654" s="37"/>
      <c r="AO654" s="39"/>
      <c r="AP654" s="40"/>
    </row>
    <row r="655">
      <c r="A655" s="37"/>
      <c r="B655" s="37"/>
      <c r="C655" s="37"/>
      <c r="D655" s="37"/>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7"/>
      <c r="AK655" s="37"/>
      <c r="AL655" s="37"/>
      <c r="AM655" s="37"/>
      <c r="AN655" s="37"/>
      <c r="AO655" s="39"/>
      <c r="AP655" s="40"/>
    </row>
    <row r="656">
      <c r="A656" s="37"/>
      <c r="B656" s="37"/>
      <c r="C656" s="37"/>
      <c r="D656" s="37"/>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7"/>
      <c r="AK656" s="37"/>
      <c r="AL656" s="37"/>
      <c r="AM656" s="37"/>
      <c r="AN656" s="37"/>
      <c r="AO656" s="39"/>
      <c r="AP656" s="40"/>
    </row>
    <row r="657">
      <c r="A657" s="37"/>
      <c r="B657" s="37"/>
      <c r="C657" s="37"/>
      <c r="D657" s="37"/>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7"/>
      <c r="AK657" s="37"/>
      <c r="AL657" s="37"/>
      <c r="AM657" s="37"/>
      <c r="AN657" s="37"/>
      <c r="AO657" s="39"/>
      <c r="AP657" s="40"/>
    </row>
    <row r="658">
      <c r="A658" s="37"/>
      <c r="B658" s="37"/>
      <c r="C658" s="37"/>
      <c r="D658" s="37"/>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7"/>
      <c r="AK658" s="37"/>
      <c r="AL658" s="37"/>
      <c r="AM658" s="37"/>
      <c r="AN658" s="37"/>
      <c r="AO658" s="39"/>
      <c r="AP658" s="40"/>
    </row>
    <row r="659">
      <c r="A659" s="37"/>
      <c r="B659" s="37"/>
      <c r="C659" s="37"/>
      <c r="D659" s="37"/>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7"/>
      <c r="AK659" s="37"/>
      <c r="AL659" s="37"/>
      <c r="AM659" s="37"/>
      <c r="AN659" s="37"/>
      <c r="AO659" s="39"/>
      <c r="AP659" s="40"/>
    </row>
    <row r="660">
      <c r="A660" s="37"/>
      <c r="B660" s="37"/>
      <c r="C660" s="37"/>
      <c r="D660" s="37"/>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7"/>
      <c r="AK660" s="37"/>
      <c r="AL660" s="37"/>
      <c r="AM660" s="37"/>
      <c r="AN660" s="37"/>
      <c r="AO660" s="39"/>
      <c r="AP660" s="40"/>
    </row>
    <row r="661">
      <c r="A661" s="37"/>
      <c r="B661" s="37"/>
      <c r="C661" s="37"/>
      <c r="D661" s="37"/>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7"/>
      <c r="AK661" s="37"/>
      <c r="AL661" s="37"/>
      <c r="AM661" s="37"/>
      <c r="AN661" s="37"/>
      <c r="AO661" s="39"/>
      <c r="AP661" s="40"/>
    </row>
    <row r="662">
      <c r="A662" s="37"/>
      <c r="B662" s="37"/>
      <c r="C662" s="37"/>
      <c r="D662" s="37"/>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7"/>
      <c r="AK662" s="37"/>
      <c r="AL662" s="37"/>
      <c r="AM662" s="37"/>
      <c r="AN662" s="37"/>
      <c r="AO662" s="39"/>
      <c r="AP662" s="40"/>
    </row>
    <row r="663">
      <c r="A663" s="37"/>
      <c r="B663" s="37"/>
      <c r="C663" s="37"/>
      <c r="D663" s="37"/>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7"/>
      <c r="AK663" s="37"/>
      <c r="AL663" s="37"/>
      <c r="AM663" s="37"/>
      <c r="AN663" s="37"/>
      <c r="AO663" s="39"/>
      <c r="AP663" s="40"/>
    </row>
    <row r="664">
      <c r="A664" s="37"/>
      <c r="B664" s="37"/>
      <c r="C664" s="37"/>
      <c r="D664" s="37"/>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7"/>
      <c r="AK664" s="37"/>
      <c r="AL664" s="37"/>
      <c r="AM664" s="37"/>
      <c r="AN664" s="37"/>
      <c r="AO664" s="39"/>
      <c r="AP664" s="40"/>
    </row>
    <row r="665">
      <c r="A665" s="37"/>
      <c r="B665" s="37"/>
      <c r="C665" s="37"/>
      <c r="D665" s="37"/>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7"/>
      <c r="AK665" s="37"/>
      <c r="AL665" s="37"/>
      <c r="AM665" s="37"/>
      <c r="AN665" s="37"/>
      <c r="AO665" s="39"/>
      <c r="AP665" s="40"/>
    </row>
    <row r="666">
      <c r="A666" s="37"/>
      <c r="B666" s="37"/>
      <c r="C666" s="37"/>
      <c r="D666" s="37"/>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7"/>
      <c r="AK666" s="37"/>
      <c r="AL666" s="37"/>
      <c r="AM666" s="37"/>
      <c r="AN666" s="37"/>
      <c r="AO666" s="39"/>
      <c r="AP666" s="40"/>
    </row>
    <row r="667">
      <c r="A667" s="37"/>
      <c r="B667" s="37"/>
      <c r="C667" s="37"/>
      <c r="D667" s="37"/>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7"/>
      <c r="AK667" s="37"/>
      <c r="AL667" s="37"/>
      <c r="AM667" s="37"/>
      <c r="AN667" s="37"/>
      <c r="AO667" s="39"/>
      <c r="AP667" s="40"/>
    </row>
    <row r="668">
      <c r="A668" s="37"/>
      <c r="B668" s="37"/>
      <c r="C668" s="37"/>
      <c r="D668" s="37"/>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7"/>
      <c r="AK668" s="37"/>
      <c r="AL668" s="37"/>
      <c r="AM668" s="37"/>
      <c r="AN668" s="37"/>
      <c r="AO668" s="39"/>
      <c r="AP668" s="40"/>
    </row>
    <row r="669">
      <c r="A669" s="37"/>
      <c r="B669" s="37"/>
      <c r="C669" s="37"/>
      <c r="D669" s="37"/>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7"/>
      <c r="AK669" s="37"/>
      <c r="AL669" s="37"/>
      <c r="AM669" s="37"/>
      <c r="AN669" s="37"/>
      <c r="AO669" s="39"/>
      <c r="AP669" s="40"/>
    </row>
    <row r="670">
      <c r="A670" s="37"/>
      <c r="B670" s="37"/>
      <c r="C670" s="37"/>
      <c r="D670" s="37"/>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7"/>
      <c r="AK670" s="37"/>
      <c r="AL670" s="37"/>
      <c r="AM670" s="37"/>
      <c r="AN670" s="37"/>
      <c r="AO670" s="39"/>
      <c r="AP670" s="40"/>
    </row>
    <row r="671">
      <c r="A671" s="37"/>
      <c r="B671" s="37"/>
      <c r="C671" s="37"/>
      <c r="D671" s="37"/>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7"/>
      <c r="AK671" s="37"/>
      <c r="AL671" s="37"/>
      <c r="AM671" s="37"/>
      <c r="AN671" s="37"/>
      <c r="AO671" s="39"/>
      <c r="AP671" s="40"/>
    </row>
    <row r="672">
      <c r="A672" s="37"/>
      <c r="B672" s="37"/>
      <c r="C672" s="37"/>
      <c r="D672" s="37"/>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7"/>
      <c r="AK672" s="37"/>
      <c r="AL672" s="37"/>
      <c r="AM672" s="37"/>
      <c r="AN672" s="37"/>
      <c r="AO672" s="39"/>
      <c r="AP672" s="40"/>
    </row>
    <row r="673">
      <c r="A673" s="37"/>
      <c r="B673" s="37"/>
      <c r="C673" s="37"/>
      <c r="D673" s="37"/>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7"/>
      <c r="AK673" s="37"/>
      <c r="AL673" s="37"/>
      <c r="AM673" s="37"/>
      <c r="AN673" s="37"/>
      <c r="AO673" s="39"/>
      <c r="AP673" s="40"/>
    </row>
    <row r="674">
      <c r="A674" s="37"/>
      <c r="B674" s="37"/>
      <c r="C674" s="37"/>
      <c r="D674" s="37"/>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7"/>
      <c r="AK674" s="37"/>
      <c r="AL674" s="37"/>
      <c r="AM674" s="37"/>
      <c r="AN674" s="37"/>
      <c r="AO674" s="39"/>
      <c r="AP674" s="40"/>
    </row>
    <row r="675">
      <c r="A675" s="37"/>
      <c r="B675" s="37"/>
      <c r="C675" s="37"/>
      <c r="D675" s="37"/>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7"/>
      <c r="AK675" s="37"/>
      <c r="AL675" s="37"/>
      <c r="AM675" s="37"/>
      <c r="AN675" s="37"/>
      <c r="AO675" s="39"/>
      <c r="AP675" s="40"/>
    </row>
    <row r="676">
      <c r="A676" s="37"/>
      <c r="B676" s="37"/>
      <c r="C676" s="37"/>
      <c r="D676" s="37"/>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7"/>
      <c r="AK676" s="37"/>
      <c r="AL676" s="37"/>
      <c r="AM676" s="37"/>
      <c r="AN676" s="37"/>
      <c r="AO676" s="39"/>
      <c r="AP676" s="40"/>
    </row>
    <row r="677">
      <c r="A677" s="37"/>
      <c r="B677" s="37"/>
      <c r="C677" s="37"/>
      <c r="D677" s="37"/>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7"/>
      <c r="AK677" s="37"/>
      <c r="AL677" s="37"/>
      <c r="AM677" s="37"/>
      <c r="AN677" s="37"/>
      <c r="AO677" s="39"/>
      <c r="AP677" s="40"/>
    </row>
    <row r="678">
      <c r="A678" s="37"/>
      <c r="B678" s="37"/>
      <c r="C678" s="37"/>
      <c r="D678" s="37"/>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7"/>
      <c r="AK678" s="37"/>
      <c r="AL678" s="37"/>
      <c r="AM678" s="37"/>
      <c r="AN678" s="37"/>
      <c r="AO678" s="39"/>
      <c r="AP678" s="40"/>
    </row>
    <row r="679">
      <c r="A679" s="37"/>
      <c r="B679" s="37"/>
      <c r="C679" s="37"/>
      <c r="D679" s="37"/>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7"/>
      <c r="AK679" s="37"/>
      <c r="AL679" s="37"/>
      <c r="AM679" s="37"/>
      <c r="AN679" s="37"/>
      <c r="AO679" s="39"/>
      <c r="AP679" s="40"/>
    </row>
    <row r="680">
      <c r="A680" s="37"/>
      <c r="B680" s="37"/>
      <c r="C680" s="37"/>
      <c r="D680" s="37"/>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7"/>
      <c r="AK680" s="37"/>
      <c r="AL680" s="37"/>
      <c r="AM680" s="37"/>
      <c r="AN680" s="37"/>
      <c r="AO680" s="39"/>
      <c r="AP680" s="40"/>
    </row>
    <row r="681">
      <c r="A681" s="37"/>
      <c r="B681" s="37"/>
      <c r="C681" s="37"/>
      <c r="D681" s="37"/>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7"/>
      <c r="AK681" s="37"/>
      <c r="AL681" s="37"/>
      <c r="AM681" s="37"/>
      <c r="AN681" s="37"/>
      <c r="AO681" s="39"/>
      <c r="AP681" s="40"/>
    </row>
    <row r="682">
      <c r="A682" s="37"/>
      <c r="B682" s="37"/>
      <c r="C682" s="37"/>
      <c r="D682" s="37"/>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7"/>
      <c r="AK682" s="37"/>
      <c r="AL682" s="37"/>
      <c r="AM682" s="37"/>
      <c r="AN682" s="37"/>
      <c r="AO682" s="39"/>
      <c r="AP682" s="40"/>
    </row>
    <row r="683">
      <c r="A683" s="37"/>
      <c r="B683" s="37"/>
      <c r="C683" s="37"/>
      <c r="D683" s="37"/>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7"/>
      <c r="AK683" s="37"/>
      <c r="AL683" s="37"/>
      <c r="AM683" s="37"/>
      <c r="AN683" s="37"/>
      <c r="AO683" s="39"/>
      <c r="AP683" s="40"/>
    </row>
    <row r="684">
      <c r="A684" s="37"/>
      <c r="B684" s="37"/>
      <c r="C684" s="37"/>
      <c r="D684" s="37"/>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7"/>
      <c r="AK684" s="37"/>
      <c r="AL684" s="37"/>
      <c r="AM684" s="37"/>
      <c r="AN684" s="37"/>
      <c r="AO684" s="39"/>
      <c r="AP684" s="40"/>
    </row>
    <row r="685">
      <c r="A685" s="37"/>
      <c r="B685" s="37"/>
      <c r="C685" s="37"/>
      <c r="D685" s="37"/>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7"/>
      <c r="AK685" s="37"/>
      <c r="AL685" s="37"/>
      <c r="AM685" s="37"/>
      <c r="AN685" s="37"/>
      <c r="AO685" s="39"/>
      <c r="AP685" s="40"/>
    </row>
    <row r="686">
      <c r="A686" s="37"/>
      <c r="B686" s="37"/>
      <c r="C686" s="37"/>
      <c r="D686" s="37"/>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7"/>
      <c r="AK686" s="37"/>
      <c r="AL686" s="37"/>
      <c r="AM686" s="37"/>
      <c r="AN686" s="37"/>
      <c r="AO686" s="39"/>
      <c r="AP686" s="40"/>
    </row>
    <row r="687">
      <c r="A687" s="37"/>
      <c r="B687" s="37"/>
      <c r="C687" s="37"/>
      <c r="D687" s="37"/>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7"/>
      <c r="AK687" s="37"/>
      <c r="AL687" s="37"/>
      <c r="AM687" s="37"/>
      <c r="AN687" s="37"/>
      <c r="AO687" s="39"/>
      <c r="AP687" s="40"/>
    </row>
    <row r="688">
      <c r="A688" s="37"/>
      <c r="B688" s="37"/>
      <c r="C688" s="37"/>
      <c r="D688" s="37"/>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7"/>
      <c r="AK688" s="37"/>
      <c r="AL688" s="37"/>
      <c r="AM688" s="37"/>
      <c r="AN688" s="37"/>
      <c r="AO688" s="39"/>
      <c r="AP688" s="40"/>
    </row>
    <row r="689">
      <c r="A689" s="37"/>
      <c r="B689" s="37"/>
      <c r="C689" s="37"/>
      <c r="D689" s="37"/>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7"/>
      <c r="AK689" s="37"/>
      <c r="AL689" s="37"/>
      <c r="AM689" s="37"/>
      <c r="AN689" s="37"/>
      <c r="AO689" s="39"/>
      <c r="AP689" s="40"/>
    </row>
    <row r="690">
      <c r="A690" s="37"/>
      <c r="B690" s="37"/>
      <c r="C690" s="37"/>
      <c r="D690" s="37"/>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7"/>
      <c r="AK690" s="37"/>
      <c r="AL690" s="37"/>
      <c r="AM690" s="37"/>
      <c r="AN690" s="37"/>
      <c r="AO690" s="39"/>
      <c r="AP690" s="40"/>
    </row>
    <row r="691">
      <c r="A691" s="37"/>
      <c r="B691" s="37"/>
      <c r="C691" s="37"/>
      <c r="D691" s="37"/>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7"/>
      <c r="AK691" s="37"/>
      <c r="AL691" s="37"/>
      <c r="AM691" s="37"/>
      <c r="AN691" s="37"/>
      <c r="AO691" s="39"/>
      <c r="AP691" s="40"/>
    </row>
    <row r="692">
      <c r="A692" s="37"/>
      <c r="B692" s="37"/>
      <c r="C692" s="37"/>
      <c r="D692" s="37"/>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7"/>
      <c r="AK692" s="37"/>
      <c r="AL692" s="37"/>
      <c r="AM692" s="37"/>
      <c r="AN692" s="37"/>
      <c r="AO692" s="39"/>
      <c r="AP692" s="40"/>
    </row>
    <row r="693">
      <c r="A693" s="37"/>
      <c r="B693" s="37"/>
      <c r="C693" s="37"/>
      <c r="D693" s="37"/>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7"/>
      <c r="AK693" s="37"/>
      <c r="AL693" s="37"/>
      <c r="AM693" s="37"/>
      <c r="AN693" s="37"/>
      <c r="AO693" s="39"/>
      <c r="AP693" s="40"/>
    </row>
    <row r="694">
      <c r="A694" s="37"/>
      <c r="B694" s="37"/>
      <c r="C694" s="37"/>
      <c r="D694" s="37"/>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7"/>
      <c r="AK694" s="37"/>
      <c r="AL694" s="37"/>
      <c r="AM694" s="37"/>
      <c r="AN694" s="37"/>
      <c r="AO694" s="39"/>
      <c r="AP694" s="40"/>
    </row>
    <row r="695">
      <c r="A695" s="37"/>
      <c r="B695" s="37"/>
      <c r="C695" s="37"/>
      <c r="D695" s="37"/>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7"/>
      <c r="AK695" s="37"/>
      <c r="AL695" s="37"/>
      <c r="AM695" s="37"/>
      <c r="AN695" s="37"/>
      <c r="AO695" s="39"/>
      <c r="AP695" s="40"/>
    </row>
    <row r="696">
      <c r="A696" s="37"/>
      <c r="B696" s="37"/>
      <c r="C696" s="37"/>
      <c r="D696" s="37"/>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7"/>
      <c r="AK696" s="37"/>
      <c r="AL696" s="37"/>
      <c r="AM696" s="37"/>
      <c r="AN696" s="37"/>
      <c r="AO696" s="39"/>
      <c r="AP696" s="40"/>
    </row>
    <row r="697">
      <c r="A697" s="37"/>
      <c r="B697" s="37"/>
      <c r="C697" s="37"/>
      <c r="D697" s="37"/>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7"/>
      <c r="AK697" s="37"/>
      <c r="AL697" s="37"/>
      <c r="AM697" s="37"/>
      <c r="AN697" s="37"/>
      <c r="AO697" s="39"/>
      <c r="AP697" s="40"/>
    </row>
    <row r="698">
      <c r="A698" s="37"/>
      <c r="B698" s="37"/>
      <c r="C698" s="37"/>
      <c r="D698" s="37"/>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7"/>
      <c r="AK698" s="37"/>
      <c r="AL698" s="37"/>
      <c r="AM698" s="37"/>
      <c r="AN698" s="37"/>
      <c r="AO698" s="39"/>
      <c r="AP698" s="40"/>
    </row>
    <row r="699">
      <c r="A699" s="37"/>
      <c r="B699" s="37"/>
      <c r="C699" s="37"/>
      <c r="D699" s="37"/>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7"/>
      <c r="AK699" s="37"/>
      <c r="AL699" s="37"/>
      <c r="AM699" s="37"/>
      <c r="AN699" s="37"/>
      <c r="AO699" s="39"/>
      <c r="AP699" s="40"/>
    </row>
    <row r="700">
      <c r="A700" s="37"/>
      <c r="B700" s="37"/>
      <c r="C700" s="37"/>
      <c r="D700" s="37"/>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7"/>
      <c r="AK700" s="37"/>
      <c r="AL700" s="37"/>
      <c r="AM700" s="37"/>
      <c r="AN700" s="37"/>
      <c r="AO700" s="39"/>
      <c r="AP700" s="40"/>
    </row>
    <row r="701">
      <c r="A701" s="37"/>
      <c r="B701" s="37"/>
      <c r="C701" s="37"/>
      <c r="D701" s="37"/>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7"/>
      <c r="AK701" s="37"/>
      <c r="AL701" s="37"/>
      <c r="AM701" s="37"/>
      <c r="AN701" s="37"/>
      <c r="AO701" s="39"/>
      <c r="AP701" s="40"/>
    </row>
    <row r="702">
      <c r="A702" s="37"/>
      <c r="B702" s="37"/>
      <c r="C702" s="37"/>
      <c r="D702" s="37"/>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7"/>
      <c r="AK702" s="37"/>
      <c r="AL702" s="37"/>
      <c r="AM702" s="37"/>
      <c r="AN702" s="37"/>
      <c r="AO702" s="39"/>
      <c r="AP702" s="40"/>
    </row>
    <row r="703">
      <c r="A703" s="37"/>
      <c r="B703" s="37"/>
      <c r="C703" s="37"/>
      <c r="D703" s="37"/>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7"/>
      <c r="AK703" s="37"/>
      <c r="AL703" s="37"/>
      <c r="AM703" s="37"/>
      <c r="AN703" s="37"/>
      <c r="AO703" s="39"/>
      <c r="AP703" s="40"/>
    </row>
    <row r="704">
      <c r="A704" s="37"/>
      <c r="B704" s="37"/>
      <c r="C704" s="37"/>
      <c r="D704" s="37"/>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7"/>
      <c r="AK704" s="37"/>
      <c r="AL704" s="37"/>
      <c r="AM704" s="37"/>
      <c r="AN704" s="37"/>
      <c r="AO704" s="39"/>
      <c r="AP704" s="40"/>
    </row>
    <row r="705">
      <c r="A705" s="37"/>
      <c r="B705" s="37"/>
      <c r="C705" s="37"/>
      <c r="D705" s="37"/>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7"/>
      <c r="AK705" s="37"/>
      <c r="AL705" s="37"/>
      <c r="AM705" s="37"/>
      <c r="AN705" s="37"/>
      <c r="AO705" s="39"/>
      <c r="AP705" s="40"/>
    </row>
    <row r="706">
      <c r="A706" s="37"/>
      <c r="B706" s="37"/>
      <c r="C706" s="37"/>
      <c r="D706" s="37"/>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7"/>
      <c r="AK706" s="37"/>
      <c r="AL706" s="37"/>
      <c r="AM706" s="37"/>
      <c r="AN706" s="37"/>
      <c r="AO706" s="39"/>
      <c r="AP706" s="40"/>
    </row>
    <row r="707">
      <c r="A707" s="37"/>
      <c r="B707" s="37"/>
      <c r="C707" s="37"/>
      <c r="D707" s="37"/>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7"/>
      <c r="AK707" s="37"/>
      <c r="AL707" s="37"/>
      <c r="AM707" s="37"/>
      <c r="AN707" s="37"/>
      <c r="AO707" s="39"/>
      <c r="AP707" s="40"/>
    </row>
    <row r="708">
      <c r="A708" s="37"/>
      <c r="B708" s="37"/>
      <c r="C708" s="37"/>
      <c r="D708" s="37"/>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7"/>
      <c r="AK708" s="37"/>
      <c r="AL708" s="37"/>
      <c r="AM708" s="37"/>
      <c r="AN708" s="37"/>
      <c r="AO708" s="39"/>
      <c r="AP708" s="40"/>
    </row>
    <row r="709">
      <c r="A709" s="37"/>
      <c r="B709" s="37"/>
      <c r="C709" s="37"/>
      <c r="D709" s="37"/>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7"/>
      <c r="AK709" s="37"/>
      <c r="AL709" s="37"/>
      <c r="AM709" s="37"/>
      <c r="AN709" s="37"/>
      <c r="AO709" s="39"/>
      <c r="AP709" s="40"/>
    </row>
    <row r="710">
      <c r="A710" s="37"/>
      <c r="B710" s="37"/>
      <c r="C710" s="37"/>
      <c r="D710" s="37"/>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7"/>
      <c r="AK710" s="37"/>
      <c r="AL710" s="37"/>
      <c r="AM710" s="37"/>
      <c r="AN710" s="37"/>
      <c r="AO710" s="39"/>
      <c r="AP710" s="40"/>
    </row>
    <row r="711">
      <c r="A711" s="37"/>
      <c r="B711" s="37"/>
      <c r="C711" s="37"/>
      <c r="D711" s="37"/>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7"/>
      <c r="AK711" s="37"/>
      <c r="AL711" s="37"/>
      <c r="AM711" s="37"/>
      <c r="AN711" s="37"/>
      <c r="AO711" s="39"/>
      <c r="AP711" s="40"/>
    </row>
    <row r="712">
      <c r="A712" s="37"/>
      <c r="B712" s="37"/>
      <c r="C712" s="37"/>
      <c r="D712" s="37"/>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7"/>
      <c r="AK712" s="37"/>
      <c r="AL712" s="37"/>
      <c r="AM712" s="37"/>
      <c r="AN712" s="37"/>
      <c r="AO712" s="39"/>
      <c r="AP712" s="40"/>
    </row>
    <row r="713">
      <c r="A713" s="37"/>
      <c r="B713" s="37"/>
      <c r="C713" s="37"/>
      <c r="D713" s="37"/>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7"/>
      <c r="AK713" s="37"/>
      <c r="AL713" s="37"/>
      <c r="AM713" s="37"/>
      <c r="AN713" s="37"/>
      <c r="AO713" s="39"/>
      <c r="AP713" s="40"/>
    </row>
    <row r="714">
      <c r="A714" s="37"/>
      <c r="B714" s="37"/>
      <c r="C714" s="37"/>
      <c r="D714" s="37"/>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7"/>
      <c r="AK714" s="37"/>
      <c r="AL714" s="37"/>
      <c r="AM714" s="37"/>
      <c r="AN714" s="37"/>
      <c r="AO714" s="39"/>
      <c r="AP714" s="40"/>
    </row>
    <row r="715">
      <c r="A715" s="37"/>
      <c r="B715" s="37"/>
      <c r="C715" s="37"/>
      <c r="D715" s="37"/>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7"/>
      <c r="AK715" s="37"/>
      <c r="AL715" s="37"/>
      <c r="AM715" s="37"/>
      <c r="AN715" s="37"/>
      <c r="AO715" s="39"/>
      <c r="AP715" s="40"/>
    </row>
    <row r="716">
      <c r="A716" s="37"/>
      <c r="B716" s="37"/>
      <c r="C716" s="37"/>
      <c r="D716" s="37"/>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7"/>
      <c r="AK716" s="37"/>
      <c r="AL716" s="37"/>
      <c r="AM716" s="37"/>
      <c r="AN716" s="37"/>
      <c r="AO716" s="39"/>
      <c r="AP716" s="40"/>
    </row>
    <row r="717">
      <c r="A717" s="37"/>
      <c r="B717" s="37"/>
      <c r="C717" s="37"/>
      <c r="D717" s="37"/>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7"/>
      <c r="AK717" s="37"/>
      <c r="AL717" s="37"/>
      <c r="AM717" s="37"/>
      <c r="AN717" s="37"/>
      <c r="AO717" s="39"/>
      <c r="AP717" s="40"/>
    </row>
    <row r="718">
      <c r="A718" s="37"/>
      <c r="B718" s="37"/>
      <c r="C718" s="37"/>
      <c r="D718" s="37"/>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7"/>
      <c r="AK718" s="37"/>
      <c r="AL718" s="37"/>
      <c r="AM718" s="37"/>
      <c r="AN718" s="37"/>
      <c r="AO718" s="39"/>
      <c r="AP718" s="40"/>
    </row>
    <row r="719">
      <c r="A719" s="37"/>
      <c r="B719" s="37"/>
      <c r="C719" s="37"/>
      <c r="D719" s="37"/>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7"/>
      <c r="AK719" s="37"/>
      <c r="AL719" s="37"/>
      <c r="AM719" s="37"/>
      <c r="AN719" s="37"/>
      <c r="AO719" s="39"/>
      <c r="AP719" s="40"/>
    </row>
    <row r="720">
      <c r="A720" s="37"/>
      <c r="B720" s="37"/>
      <c r="C720" s="37"/>
      <c r="D720" s="37"/>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7"/>
      <c r="AK720" s="37"/>
      <c r="AL720" s="37"/>
      <c r="AM720" s="37"/>
      <c r="AN720" s="37"/>
      <c r="AO720" s="39"/>
      <c r="AP720" s="40"/>
    </row>
    <row r="721">
      <c r="A721" s="37"/>
      <c r="B721" s="37"/>
      <c r="C721" s="37"/>
      <c r="D721" s="37"/>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7"/>
      <c r="AK721" s="37"/>
      <c r="AL721" s="37"/>
      <c r="AM721" s="37"/>
      <c r="AN721" s="37"/>
      <c r="AO721" s="39"/>
      <c r="AP721" s="40"/>
    </row>
    <row r="722">
      <c r="A722" s="37"/>
      <c r="B722" s="37"/>
      <c r="C722" s="37"/>
      <c r="D722" s="37"/>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7"/>
      <c r="AK722" s="37"/>
      <c r="AL722" s="37"/>
      <c r="AM722" s="37"/>
      <c r="AN722" s="37"/>
      <c r="AO722" s="39"/>
      <c r="AP722" s="40"/>
    </row>
    <row r="723">
      <c r="A723" s="37"/>
      <c r="B723" s="37"/>
      <c r="C723" s="37"/>
      <c r="D723" s="37"/>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7"/>
      <c r="AK723" s="37"/>
      <c r="AL723" s="37"/>
      <c r="AM723" s="37"/>
      <c r="AN723" s="37"/>
      <c r="AO723" s="39"/>
      <c r="AP723" s="40"/>
    </row>
    <row r="724">
      <c r="A724" s="37"/>
      <c r="B724" s="37"/>
      <c r="C724" s="37"/>
      <c r="D724" s="37"/>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7"/>
      <c r="AK724" s="37"/>
      <c r="AL724" s="37"/>
      <c r="AM724" s="37"/>
      <c r="AN724" s="37"/>
      <c r="AO724" s="39"/>
      <c r="AP724" s="40"/>
    </row>
    <row r="725">
      <c r="A725" s="37"/>
      <c r="B725" s="37"/>
      <c r="C725" s="37"/>
      <c r="D725" s="37"/>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7"/>
      <c r="AK725" s="37"/>
      <c r="AL725" s="37"/>
      <c r="AM725" s="37"/>
      <c r="AN725" s="37"/>
      <c r="AO725" s="39"/>
      <c r="AP725" s="40"/>
    </row>
    <row r="726">
      <c r="A726" s="37"/>
      <c r="B726" s="37"/>
      <c r="C726" s="37"/>
      <c r="D726" s="37"/>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7"/>
      <c r="AK726" s="37"/>
      <c r="AL726" s="37"/>
      <c r="AM726" s="37"/>
      <c r="AN726" s="37"/>
      <c r="AO726" s="39"/>
      <c r="AP726" s="40"/>
    </row>
    <row r="727">
      <c r="A727" s="37"/>
      <c r="B727" s="37"/>
      <c r="C727" s="37"/>
      <c r="D727" s="37"/>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7"/>
      <c r="AK727" s="37"/>
      <c r="AL727" s="37"/>
      <c r="AM727" s="37"/>
      <c r="AN727" s="37"/>
      <c r="AO727" s="39"/>
      <c r="AP727" s="40"/>
    </row>
    <row r="728">
      <c r="A728" s="37"/>
      <c r="B728" s="37"/>
      <c r="C728" s="37"/>
      <c r="D728" s="37"/>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7"/>
      <c r="AK728" s="37"/>
      <c r="AL728" s="37"/>
      <c r="AM728" s="37"/>
      <c r="AN728" s="37"/>
      <c r="AO728" s="39"/>
      <c r="AP728" s="40"/>
    </row>
    <row r="729">
      <c r="A729" s="37"/>
      <c r="B729" s="37"/>
      <c r="C729" s="37"/>
      <c r="D729" s="37"/>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7"/>
      <c r="AK729" s="37"/>
      <c r="AL729" s="37"/>
      <c r="AM729" s="37"/>
      <c r="AN729" s="37"/>
      <c r="AO729" s="39"/>
      <c r="AP729" s="40"/>
    </row>
    <row r="730">
      <c r="A730" s="37"/>
      <c r="B730" s="37"/>
      <c r="C730" s="37"/>
      <c r="D730" s="37"/>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7"/>
      <c r="AK730" s="37"/>
      <c r="AL730" s="37"/>
      <c r="AM730" s="37"/>
      <c r="AN730" s="37"/>
      <c r="AO730" s="39"/>
      <c r="AP730" s="40"/>
    </row>
    <row r="731">
      <c r="A731" s="37"/>
      <c r="B731" s="37"/>
      <c r="C731" s="37"/>
      <c r="D731" s="37"/>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7"/>
      <c r="AK731" s="37"/>
      <c r="AL731" s="37"/>
      <c r="AM731" s="37"/>
      <c r="AN731" s="37"/>
      <c r="AO731" s="39"/>
      <c r="AP731" s="40"/>
    </row>
    <row r="732">
      <c r="A732" s="37"/>
      <c r="B732" s="37"/>
      <c r="C732" s="37"/>
      <c r="D732" s="37"/>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7"/>
      <c r="AK732" s="37"/>
      <c r="AL732" s="37"/>
      <c r="AM732" s="37"/>
      <c r="AN732" s="37"/>
      <c r="AO732" s="39"/>
      <c r="AP732" s="40"/>
    </row>
    <row r="733">
      <c r="A733" s="37"/>
      <c r="B733" s="37"/>
      <c r="C733" s="37"/>
      <c r="D733" s="37"/>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7"/>
      <c r="AK733" s="37"/>
      <c r="AL733" s="37"/>
      <c r="AM733" s="37"/>
      <c r="AN733" s="37"/>
      <c r="AO733" s="39"/>
      <c r="AP733" s="40"/>
    </row>
    <row r="734">
      <c r="A734" s="37"/>
      <c r="B734" s="37"/>
      <c r="C734" s="37"/>
      <c r="D734" s="37"/>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7"/>
      <c r="AK734" s="37"/>
      <c r="AL734" s="37"/>
      <c r="AM734" s="37"/>
      <c r="AN734" s="37"/>
      <c r="AO734" s="39"/>
      <c r="AP734" s="40"/>
    </row>
    <row r="735">
      <c r="A735" s="37"/>
      <c r="B735" s="37"/>
      <c r="C735" s="37"/>
      <c r="D735" s="37"/>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7"/>
      <c r="AK735" s="37"/>
      <c r="AL735" s="37"/>
      <c r="AM735" s="37"/>
      <c r="AN735" s="37"/>
      <c r="AO735" s="39"/>
      <c r="AP735" s="40"/>
    </row>
    <row r="736">
      <c r="A736" s="37"/>
      <c r="B736" s="37"/>
      <c r="C736" s="37"/>
      <c r="D736" s="37"/>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7"/>
      <c r="AK736" s="37"/>
      <c r="AL736" s="37"/>
      <c r="AM736" s="37"/>
      <c r="AN736" s="37"/>
      <c r="AO736" s="39"/>
      <c r="AP736" s="40"/>
    </row>
    <row r="737">
      <c r="A737" s="37"/>
      <c r="B737" s="37"/>
      <c r="C737" s="37"/>
      <c r="D737" s="37"/>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7"/>
      <c r="AK737" s="37"/>
      <c r="AL737" s="37"/>
      <c r="AM737" s="37"/>
      <c r="AN737" s="37"/>
      <c r="AO737" s="39"/>
      <c r="AP737" s="40"/>
    </row>
    <row r="738">
      <c r="A738" s="37"/>
      <c r="B738" s="37"/>
      <c r="C738" s="37"/>
      <c r="D738" s="37"/>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7"/>
      <c r="AK738" s="37"/>
      <c r="AL738" s="37"/>
      <c r="AM738" s="37"/>
      <c r="AN738" s="37"/>
      <c r="AO738" s="39"/>
      <c r="AP738" s="40"/>
    </row>
    <row r="739">
      <c r="A739" s="37"/>
      <c r="B739" s="37"/>
      <c r="C739" s="37"/>
      <c r="D739" s="37"/>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7"/>
      <c r="AK739" s="37"/>
      <c r="AL739" s="37"/>
      <c r="AM739" s="37"/>
      <c r="AN739" s="37"/>
      <c r="AO739" s="39"/>
      <c r="AP739" s="40"/>
    </row>
    <row r="740">
      <c r="A740" s="37"/>
      <c r="B740" s="37"/>
      <c r="C740" s="37"/>
      <c r="D740" s="37"/>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7"/>
      <c r="AK740" s="37"/>
      <c r="AL740" s="37"/>
      <c r="AM740" s="37"/>
      <c r="AN740" s="37"/>
      <c r="AO740" s="39"/>
      <c r="AP740" s="40"/>
    </row>
    <row r="741">
      <c r="A741" s="37"/>
      <c r="B741" s="37"/>
      <c r="C741" s="37"/>
      <c r="D741" s="37"/>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7"/>
      <c r="AK741" s="37"/>
      <c r="AL741" s="37"/>
      <c r="AM741" s="37"/>
      <c r="AN741" s="37"/>
      <c r="AO741" s="39"/>
      <c r="AP741" s="40"/>
    </row>
    <row r="742">
      <c r="A742" s="37"/>
      <c r="B742" s="37"/>
      <c r="C742" s="37"/>
      <c r="D742" s="37"/>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7"/>
      <c r="AK742" s="37"/>
      <c r="AL742" s="37"/>
      <c r="AM742" s="37"/>
      <c r="AN742" s="37"/>
      <c r="AO742" s="39"/>
      <c r="AP742" s="40"/>
    </row>
    <row r="743">
      <c r="A743" s="37"/>
      <c r="B743" s="37"/>
      <c r="C743" s="37"/>
      <c r="D743" s="37"/>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7"/>
      <c r="AK743" s="37"/>
      <c r="AL743" s="37"/>
      <c r="AM743" s="37"/>
      <c r="AN743" s="37"/>
      <c r="AO743" s="39"/>
      <c r="AP743" s="40"/>
    </row>
    <row r="744">
      <c r="A744" s="37"/>
      <c r="B744" s="37"/>
      <c r="C744" s="37"/>
      <c r="D744" s="37"/>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7"/>
      <c r="AK744" s="37"/>
      <c r="AL744" s="37"/>
      <c r="AM744" s="37"/>
      <c r="AN744" s="37"/>
      <c r="AO744" s="39"/>
      <c r="AP744" s="40"/>
    </row>
    <row r="745">
      <c r="A745" s="37"/>
      <c r="B745" s="37"/>
      <c r="C745" s="37"/>
      <c r="D745" s="37"/>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7"/>
      <c r="AK745" s="37"/>
      <c r="AL745" s="37"/>
      <c r="AM745" s="37"/>
      <c r="AN745" s="37"/>
      <c r="AO745" s="39"/>
      <c r="AP745" s="40"/>
    </row>
    <row r="746">
      <c r="A746" s="37"/>
      <c r="B746" s="37"/>
      <c r="C746" s="37"/>
      <c r="D746" s="37"/>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7"/>
      <c r="AK746" s="37"/>
      <c r="AL746" s="37"/>
      <c r="AM746" s="37"/>
      <c r="AN746" s="37"/>
      <c r="AO746" s="39"/>
      <c r="AP746" s="40"/>
    </row>
    <row r="747">
      <c r="A747" s="37"/>
      <c r="B747" s="37"/>
      <c r="C747" s="37"/>
      <c r="D747" s="37"/>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7"/>
      <c r="AK747" s="37"/>
      <c r="AL747" s="37"/>
      <c r="AM747" s="37"/>
      <c r="AN747" s="37"/>
      <c r="AO747" s="39"/>
      <c r="AP747" s="40"/>
    </row>
    <row r="748">
      <c r="A748" s="37"/>
      <c r="B748" s="37"/>
      <c r="C748" s="37"/>
      <c r="D748" s="37"/>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7"/>
      <c r="AK748" s="37"/>
      <c r="AL748" s="37"/>
      <c r="AM748" s="37"/>
      <c r="AN748" s="37"/>
      <c r="AO748" s="39"/>
      <c r="AP748" s="40"/>
    </row>
    <row r="749">
      <c r="A749" s="37"/>
      <c r="B749" s="37"/>
      <c r="C749" s="37"/>
      <c r="D749" s="37"/>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7"/>
      <c r="AK749" s="37"/>
      <c r="AL749" s="37"/>
      <c r="AM749" s="37"/>
      <c r="AN749" s="37"/>
      <c r="AO749" s="39"/>
      <c r="AP749" s="40"/>
    </row>
    <row r="750">
      <c r="A750" s="37"/>
      <c r="B750" s="37"/>
      <c r="C750" s="37"/>
      <c r="D750" s="37"/>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7"/>
      <c r="AK750" s="37"/>
      <c r="AL750" s="37"/>
      <c r="AM750" s="37"/>
      <c r="AN750" s="37"/>
      <c r="AO750" s="39"/>
      <c r="AP750" s="40"/>
    </row>
    <row r="751">
      <c r="A751" s="37"/>
      <c r="B751" s="37"/>
      <c r="C751" s="37"/>
      <c r="D751" s="37"/>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7"/>
      <c r="AK751" s="37"/>
      <c r="AL751" s="37"/>
      <c r="AM751" s="37"/>
      <c r="AN751" s="37"/>
      <c r="AO751" s="39"/>
      <c r="AP751" s="40"/>
    </row>
    <row r="752">
      <c r="A752" s="37"/>
      <c r="B752" s="37"/>
      <c r="C752" s="37"/>
      <c r="D752" s="37"/>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7"/>
      <c r="AK752" s="37"/>
      <c r="AL752" s="37"/>
      <c r="AM752" s="37"/>
      <c r="AN752" s="37"/>
      <c r="AO752" s="39"/>
      <c r="AP752" s="40"/>
    </row>
    <row r="753">
      <c r="A753" s="37"/>
      <c r="B753" s="37"/>
      <c r="C753" s="37"/>
      <c r="D753" s="37"/>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7"/>
      <c r="AK753" s="37"/>
      <c r="AL753" s="37"/>
      <c r="AM753" s="37"/>
      <c r="AN753" s="37"/>
      <c r="AO753" s="39"/>
      <c r="AP753" s="40"/>
    </row>
    <row r="754">
      <c r="A754" s="37"/>
      <c r="B754" s="37"/>
      <c r="C754" s="37"/>
      <c r="D754" s="37"/>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7"/>
      <c r="AK754" s="37"/>
      <c r="AL754" s="37"/>
      <c r="AM754" s="37"/>
      <c r="AN754" s="37"/>
      <c r="AO754" s="39"/>
      <c r="AP754" s="40"/>
    </row>
    <row r="755">
      <c r="A755" s="37"/>
      <c r="B755" s="37"/>
      <c r="C755" s="37"/>
      <c r="D755" s="37"/>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7"/>
      <c r="AK755" s="37"/>
      <c r="AL755" s="37"/>
      <c r="AM755" s="37"/>
      <c r="AN755" s="37"/>
      <c r="AO755" s="39"/>
      <c r="AP755" s="40"/>
    </row>
    <row r="756">
      <c r="A756" s="37"/>
      <c r="B756" s="37"/>
      <c r="C756" s="37"/>
      <c r="D756" s="37"/>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7"/>
      <c r="AK756" s="37"/>
      <c r="AL756" s="37"/>
      <c r="AM756" s="37"/>
      <c r="AN756" s="37"/>
      <c r="AO756" s="39"/>
      <c r="AP756" s="40"/>
    </row>
    <row r="757">
      <c r="A757" s="37"/>
      <c r="B757" s="37"/>
      <c r="C757" s="37"/>
      <c r="D757" s="37"/>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7"/>
      <c r="AK757" s="37"/>
      <c r="AL757" s="37"/>
      <c r="AM757" s="37"/>
      <c r="AN757" s="37"/>
      <c r="AO757" s="39"/>
      <c r="AP757" s="40"/>
    </row>
    <row r="758">
      <c r="A758" s="37"/>
      <c r="B758" s="37"/>
      <c r="C758" s="37"/>
      <c r="D758" s="37"/>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7"/>
      <c r="AK758" s="37"/>
      <c r="AL758" s="37"/>
      <c r="AM758" s="37"/>
      <c r="AN758" s="37"/>
      <c r="AO758" s="39"/>
      <c r="AP758" s="40"/>
    </row>
    <row r="759">
      <c r="A759" s="37"/>
      <c r="B759" s="37"/>
      <c r="C759" s="37"/>
      <c r="D759" s="37"/>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7"/>
      <c r="AK759" s="37"/>
      <c r="AL759" s="37"/>
      <c r="AM759" s="37"/>
      <c r="AN759" s="37"/>
      <c r="AO759" s="39"/>
      <c r="AP759" s="40"/>
    </row>
    <row r="760">
      <c r="A760" s="37"/>
      <c r="B760" s="37"/>
      <c r="C760" s="37"/>
      <c r="D760" s="37"/>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7"/>
      <c r="AK760" s="37"/>
      <c r="AL760" s="37"/>
      <c r="AM760" s="37"/>
      <c r="AN760" s="37"/>
      <c r="AO760" s="39"/>
      <c r="AP760" s="40"/>
    </row>
    <row r="761">
      <c r="A761" s="37"/>
      <c r="B761" s="37"/>
      <c r="C761" s="37"/>
      <c r="D761" s="37"/>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7"/>
      <c r="AK761" s="37"/>
      <c r="AL761" s="37"/>
      <c r="AM761" s="37"/>
      <c r="AN761" s="37"/>
      <c r="AO761" s="39"/>
      <c r="AP761" s="40"/>
    </row>
    <row r="762">
      <c r="A762" s="37"/>
      <c r="B762" s="37"/>
      <c r="C762" s="37"/>
      <c r="D762" s="37"/>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7"/>
      <c r="AK762" s="37"/>
      <c r="AL762" s="37"/>
      <c r="AM762" s="37"/>
      <c r="AN762" s="37"/>
      <c r="AO762" s="39"/>
      <c r="AP762" s="40"/>
    </row>
    <row r="763">
      <c r="A763" s="37"/>
      <c r="B763" s="37"/>
      <c r="C763" s="37"/>
      <c r="D763" s="37"/>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7"/>
      <c r="AK763" s="37"/>
      <c r="AL763" s="37"/>
      <c r="AM763" s="37"/>
      <c r="AN763" s="37"/>
      <c r="AO763" s="39"/>
      <c r="AP763" s="40"/>
    </row>
    <row r="764">
      <c r="A764" s="37"/>
      <c r="B764" s="37"/>
      <c r="C764" s="37"/>
      <c r="D764" s="37"/>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7"/>
      <c r="AK764" s="37"/>
      <c r="AL764" s="37"/>
      <c r="AM764" s="37"/>
      <c r="AN764" s="37"/>
      <c r="AO764" s="39"/>
      <c r="AP764" s="40"/>
    </row>
    <row r="765">
      <c r="A765" s="37"/>
      <c r="B765" s="37"/>
      <c r="C765" s="37"/>
      <c r="D765" s="37"/>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7"/>
      <c r="AK765" s="37"/>
      <c r="AL765" s="37"/>
      <c r="AM765" s="37"/>
      <c r="AN765" s="37"/>
      <c r="AO765" s="39"/>
      <c r="AP765" s="40"/>
    </row>
    <row r="766">
      <c r="A766" s="37"/>
      <c r="B766" s="37"/>
      <c r="C766" s="37"/>
      <c r="D766" s="37"/>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7"/>
      <c r="AK766" s="37"/>
      <c r="AL766" s="37"/>
      <c r="AM766" s="37"/>
      <c r="AN766" s="37"/>
      <c r="AO766" s="39"/>
      <c r="AP766" s="40"/>
    </row>
    <row r="767">
      <c r="A767" s="37"/>
      <c r="B767" s="37"/>
      <c r="C767" s="37"/>
      <c r="D767" s="37"/>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7"/>
      <c r="AK767" s="37"/>
      <c r="AL767" s="37"/>
      <c r="AM767" s="37"/>
      <c r="AN767" s="37"/>
      <c r="AO767" s="39"/>
      <c r="AP767" s="40"/>
    </row>
    <row r="768">
      <c r="A768" s="37"/>
      <c r="B768" s="37"/>
      <c r="C768" s="37"/>
      <c r="D768" s="37"/>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7"/>
      <c r="AK768" s="37"/>
      <c r="AL768" s="37"/>
      <c r="AM768" s="37"/>
      <c r="AN768" s="37"/>
      <c r="AO768" s="39"/>
      <c r="AP768" s="40"/>
    </row>
    <row r="769">
      <c r="A769" s="37"/>
      <c r="B769" s="37"/>
      <c r="C769" s="37"/>
      <c r="D769" s="37"/>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7"/>
      <c r="AK769" s="37"/>
      <c r="AL769" s="37"/>
      <c r="AM769" s="37"/>
      <c r="AN769" s="37"/>
      <c r="AO769" s="39"/>
      <c r="AP769" s="40"/>
    </row>
    <row r="770">
      <c r="A770" s="37"/>
      <c r="B770" s="37"/>
      <c r="C770" s="37"/>
      <c r="D770" s="37"/>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7"/>
      <c r="AK770" s="37"/>
      <c r="AL770" s="37"/>
      <c r="AM770" s="37"/>
      <c r="AN770" s="37"/>
      <c r="AO770" s="39"/>
      <c r="AP770" s="40"/>
    </row>
    <row r="771">
      <c r="A771" s="37"/>
      <c r="B771" s="37"/>
      <c r="C771" s="37"/>
      <c r="D771" s="37"/>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7"/>
      <c r="AK771" s="37"/>
      <c r="AL771" s="37"/>
      <c r="AM771" s="37"/>
      <c r="AN771" s="37"/>
      <c r="AO771" s="39"/>
      <c r="AP771" s="40"/>
    </row>
    <row r="772">
      <c r="A772" s="37"/>
      <c r="B772" s="37"/>
      <c r="C772" s="37"/>
      <c r="D772" s="37"/>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7"/>
      <c r="AK772" s="37"/>
      <c r="AL772" s="37"/>
      <c r="AM772" s="37"/>
      <c r="AN772" s="37"/>
      <c r="AO772" s="39"/>
      <c r="AP772" s="40"/>
    </row>
    <row r="773">
      <c r="A773" s="37"/>
      <c r="B773" s="37"/>
      <c r="C773" s="37"/>
      <c r="D773" s="37"/>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7"/>
      <c r="AK773" s="37"/>
      <c r="AL773" s="37"/>
      <c r="AM773" s="37"/>
      <c r="AN773" s="37"/>
      <c r="AO773" s="39"/>
      <c r="AP773" s="40"/>
    </row>
    <row r="774">
      <c r="A774" s="37"/>
      <c r="B774" s="37"/>
      <c r="C774" s="37"/>
      <c r="D774" s="37"/>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7"/>
      <c r="AK774" s="37"/>
      <c r="AL774" s="37"/>
      <c r="AM774" s="37"/>
      <c r="AN774" s="37"/>
      <c r="AO774" s="39"/>
      <c r="AP774" s="40"/>
    </row>
    <row r="775">
      <c r="A775" s="37"/>
      <c r="B775" s="37"/>
      <c r="C775" s="37"/>
      <c r="D775" s="37"/>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7"/>
      <c r="AK775" s="37"/>
      <c r="AL775" s="37"/>
      <c r="AM775" s="37"/>
      <c r="AN775" s="37"/>
      <c r="AO775" s="39"/>
      <c r="AP775" s="40"/>
    </row>
    <row r="776">
      <c r="A776" s="37"/>
      <c r="B776" s="37"/>
      <c r="C776" s="37"/>
      <c r="D776" s="37"/>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7"/>
      <c r="AK776" s="37"/>
      <c r="AL776" s="37"/>
      <c r="AM776" s="37"/>
      <c r="AN776" s="37"/>
      <c r="AO776" s="39"/>
      <c r="AP776" s="40"/>
    </row>
    <row r="777">
      <c r="A777" s="37"/>
      <c r="B777" s="37"/>
      <c r="C777" s="37"/>
      <c r="D777" s="37"/>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7"/>
      <c r="AK777" s="37"/>
      <c r="AL777" s="37"/>
      <c r="AM777" s="37"/>
      <c r="AN777" s="37"/>
      <c r="AO777" s="39"/>
      <c r="AP777" s="40"/>
    </row>
    <row r="778">
      <c r="A778" s="37"/>
      <c r="B778" s="37"/>
      <c r="C778" s="37"/>
      <c r="D778" s="37"/>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7"/>
      <c r="AK778" s="37"/>
      <c r="AL778" s="37"/>
      <c r="AM778" s="37"/>
      <c r="AN778" s="37"/>
      <c r="AO778" s="39"/>
      <c r="AP778" s="40"/>
    </row>
    <row r="779">
      <c r="A779" s="37"/>
      <c r="B779" s="37"/>
      <c r="C779" s="37"/>
      <c r="D779" s="37"/>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7"/>
      <c r="AK779" s="37"/>
      <c r="AL779" s="37"/>
      <c r="AM779" s="37"/>
      <c r="AN779" s="37"/>
      <c r="AO779" s="39"/>
      <c r="AP779" s="40"/>
    </row>
    <row r="780">
      <c r="A780" s="37"/>
      <c r="B780" s="37"/>
      <c r="C780" s="37"/>
      <c r="D780" s="37"/>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7"/>
      <c r="AK780" s="37"/>
      <c r="AL780" s="37"/>
      <c r="AM780" s="37"/>
      <c r="AN780" s="37"/>
      <c r="AO780" s="39"/>
      <c r="AP780" s="40"/>
    </row>
    <row r="781">
      <c r="A781" s="37"/>
      <c r="B781" s="37"/>
      <c r="C781" s="37"/>
      <c r="D781" s="37"/>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7"/>
      <c r="AK781" s="37"/>
      <c r="AL781" s="37"/>
      <c r="AM781" s="37"/>
      <c r="AN781" s="37"/>
      <c r="AO781" s="39"/>
      <c r="AP781" s="40"/>
    </row>
    <row r="782">
      <c r="A782" s="37"/>
      <c r="B782" s="37"/>
      <c r="C782" s="37"/>
      <c r="D782" s="37"/>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7"/>
      <c r="AK782" s="37"/>
      <c r="AL782" s="37"/>
      <c r="AM782" s="37"/>
      <c r="AN782" s="37"/>
      <c r="AO782" s="39"/>
      <c r="AP782" s="40"/>
    </row>
    <row r="783">
      <c r="A783" s="37"/>
      <c r="B783" s="37"/>
      <c r="C783" s="37"/>
      <c r="D783" s="37"/>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7"/>
      <c r="AK783" s="37"/>
      <c r="AL783" s="37"/>
      <c r="AM783" s="37"/>
      <c r="AN783" s="37"/>
      <c r="AO783" s="39"/>
      <c r="AP783" s="40"/>
    </row>
    <row r="784">
      <c r="A784" s="37"/>
      <c r="B784" s="37"/>
      <c r="C784" s="37"/>
      <c r="D784" s="37"/>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7"/>
      <c r="AK784" s="37"/>
      <c r="AL784" s="37"/>
      <c r="AM784" s="37"/>
      <c r="AN784" s="37"/>
      <c r="AO784" s="39"/>
      <c r="AP784" s="40"/>
    </row>
    <row r="785">
      <c r="A785" s="37"/>
      <c r="B785" s="37"/>
      <c r="C785" s="37"/>
      <c r="D785" s="37"/>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7"/>
      <c r="AK785" s="37"/>
      <c r="AL785" s="37"/>
      <c r="AM785" s="37"/>
      <c r="AN785" s="37"/>
      <c r="AO785" s="39"/>
      <c r="AP785" s="40"/>
    </row>
    <row r="786">
      <c r="A786" s="37"/>
      <c r="B786" s="37"/>
      <c r="C786" s="37"/>
      <c r="D786" s="37"/>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7"/>
      <c r="AK786" s="37"/>
      <c r="AL786" s="37"/>
      <c r="AM786" s="37"/>
      <c r="AN786" s="37"/>
      <c r="AO786" s="39"/>
      <c r="AP786" s="40"/>
    </row>
    <row r="787">
      <c r="A787" s="37"/>
      <c r="B787" s="37"/>
      <c r="C787" s="37"/>
      <c r="D787" s="37"/>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7"/>
      <c r="AK787" s="37"/>
      <c r="AL787" s="37"/>
      <c r="AM787" s="37"/>
      <c r="AN787" s="37"/>
      <c r="AO787" s="39"/>
      <c r="AP787" s="40"/>
    </row>
    <row r="788">
      <c r="A788" s="37"/>
      <c r="B788" s="37"/>
      <c r="C788" s="37"/>
      <c r="D788" s="37"/>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7"/>
      <c r="AK788" s="37"/>
      <c r="AL788" s="37"/>
      <c r="AM788" s="37"/>
      <c r="AN788" s="37"/>
      <c r="AO788" s="39"/>
      <c r="AP788" s="40"/>
    </row>
    <row r="789">
      <c r="A789" s="37"/>
      <c r="B789" s="37"/>
      <c r="C789" s="37"/>
      <c r="D789" s="37"/>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7"/>
      <c r="AK789" s="37"/>
      <c r="AL789" s="37"/>
      <c r="AM789" s="37"/>
      <c r="AN789" s="37"/>
      <c r="AO789" s="39"/>
      <c r="AP789" s="40"/>
    </row>
    <row r="790">
      <c r="A790" s="37"/>
      <c r="B790" s="37"/>
      <c r="C790" s="37"/>
      <c r="D790" s="37"/>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7"/>
      <c r="AK790" s="37"/>
      <c r="AL790" s="37"/>
      <c r="AM790" s="37"/>
      <c r="AN790" s="37"/>
      <c r="AO790" s="39"/>
      <c r="AP790" s="40"/>
    </row>
    <row r="791">
      <c r="A791" s="37"/>
      <c r="B791" s="37"/>
      <c r="C791" s="37"/>
      <c r="D791" s="37"/>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7"/>
      <c r="AK791" s="37"/>
      <c r="AL791" s="37"/>
      <c r="AM791" s="37"/>
      <c r="AN791" s="37"/>
      <c r="AO791" s="39"/>
      <c r="AP791" s="40"/>
    </row>
    <row r="792">
      <c r="A792" s="37"/>
      <c r="B792" s="37"/>
      <c r="C792" s="37"/>
      <c r="D792" s="37"/>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7"/>
      <c r="AK792" s="37"/>
      <c r="AL792" s="37"/>
      <c r="AM792" s="37"/>
      <c r="AN792" s="37"/>
      <c r="AO792" s="39"/>
      <c r="AP792" s="40"/>
    </row>
    <row r="793">
      <c r="A793" s="37"/>
      <c r="B793" s="37"/>
      <c r="C793" s="37"/>
      <c r="D793" s="37"/>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7"/>
      <c r="AK793" s="37"/>
      <c r="AL793" s="37"/>
      <c r="AM793" s="37"/>
      <c r="AN793" s="37"/>
      <c r="AO793" s="39"/>
      <c r="AP793" s="40"/>
    </row>
    <row r="794">
      <c r="A794" s="37"/>
      <c r="B794" s="37"/>
      <c r="C794" s="37"/>
      <c r="D794" s="37"/>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7"/>
      <c r="AK794" s="37"/>
      <c r="AL794" s="37"/>
      <c r="AM794" s="37"/>
      <c r="AN794" s="37"/>
      <c r="AO794" s="39"/>
      <c r="AP794" s="40"/>
    </row>
    <row r="795">
      <c r="A795" s="37"/>
      <c r="B795" s="37"/>
      <c r="C795" s="37"/>
      <c r="D795" s="37"/>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7"/>
      <c r="AK795" s="37"/>
      <c r="AL795" s="37"/>
      <c r="AM795" s="37"/>
      <c r="AN795" s="37"/>
      <c r="AO795" s="39"/>
      <c r="AP795" s="40"/>
    </row>
    <row r="796">
      <c r="A796" s="37"/>
      <c r="B796" s="37"/>
      <c r="C796" s="37"/>
      <c r="D796" s="37"/>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7"/>
      <c r="AK796" s="37"/>
      <c r="AL796" s="37"/>
      <c r="AM796" s="37"/>
      <c r="AN796" s="37"/>
      <c r="AO796" s="39"/>
      <c r="AP796" s="40"/>
    </row>
    <row r="797">
      <c r="A797" s="37"/>
      <c r="B797" s="37"/>
      <c r="C797" s="37"/>
      <c r="D797" s="37"/>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7"/>
      <c r="AK797" s="37"/>
      <c r="AL797" s="37"/>
      <c r="AM797" s="37"/>
      <c r="AN797" s="37"/>
      <c r="AO797" s="39"/>
      <c r="AP797" s="40"/>
    </row>
    <row r="798">
      <c r="A798" s="37"/>
      <c r="B798" s="37"/>
      <c r="C798" s="37"/>
      <c r="D798" s="37"/>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7"/>
      <c r="AK798" s="37"/>
      <c r="AL798" s="37"/>
      <c r="AM798" s="37"/>
      <c r="AN798" s="37"/>
      <c r="AO798" s="39"/>
      <c r="AP798" s="40"/>
    </row>
    <row r="799">
      <c r="A799" s="37"/>
      <c r="B799" s="37"/>
      <c r="C799" s="37"/>
      <c r="D799" s="37"/>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7"/>
      <c r="AK799" s="37"/>
      <c r="AL799" s="37"/>
      <c r="AM799" s="37"/>
      <c r="AN799" s="37"/>
      <c r="AO799" s="39"/>
      <c r="AP799" s="40"/>
    </row>
    <row r="800">
      <c r="A800" s="37"/>
      <c r="B800" s="37"/>
      <c r="C800" s="37"/>
      <c r="D800" s="37"/>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7"/>
      <c r="AK800" s="37"/>
      <c r="AL800" s="37"/>
      <c r="AM800" s="37"/>
      <c r="AN800" s="37"/>
      <c r="AO800" s="39"/>
      <c r="AP800" s="40"/>
    </row>
    <row r="801">
      <c r="A801" s="37"/>
      <c r="B801" s="37"/>
      <c r="C801" s="37"/>
      <c r="D801" s="37"/>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7"/>
      <c r="AK801" s="37"/>
      <c r="AL801" s="37"/>
      <c r="AM801" s="37"/>
      <c r="AN801" s="37"/>
      <c r="AO801" s="39"/>
      <c r="AP801" s="40"/>
    </row>
    <row r="802">
      <c r="A802" s="37"/>
      <c r="B802" s="37"/>
      <c r="C802" s="37"/>
      <c r="D802" s="37"/>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7"/>
      <c r="AK802" s="37"/>
      <c r="AL802" s="37"/>
      <c r="AM802" s="37"/>
      <c r="AN802" s="37"/>
      <c r="AO802" s="39"/>
      <c r="AP802" s="40"/>
    </row>
    <row r="803">
      <c r="A803" s="37"/>
      <c r="B803" s="37"/>
      <c r="C803" s="37"/>
      <c r="D803" s="37"/>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7"/>
      <c r="AK803" s="37"/>
      <c r="AL803" s="37"/>
      <c r="AM803" s="37"/>
      <c r="AN803" s="37"/>
      <c r="AO803" s="39"/>
      <c r="AP803" s="40"/>
    </row>
    <row r="804">
      <c r="A804" s="37"/>
      <c r="B804" s="37"/>
      <c r="C804" s="37"/>
      <c r="D804" s="37"/>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7"/>
      <c r="AK804" s="37"/>
      <c r="AL804" s="37"/>
      <c r="AM804" s="37"/>
      <c r="AN804" s="37"/>
      <c r="AO804" s="39"/>
      <c r="AP804" s="40"/>
    </row>
    <row r="805">
      <c r="A805" s="37"/>
      <c r="B805" s="37"/>
      <c r="C805" s="37"/>
      <c r="D805" s="37"/>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7"/>
      <c r="AK805" s="37"/>
      <c r="AL805" s="37"/>
      <c r="AM805" s="37"/>
      <c r="AN805" s="37"/>
      <c r="AO805" s="39"/>
      <c r="AP805" s="40"/>
    </row>
    <row r="806">
      <c r="A806" s="37"/>
      <c r="B806" s="37"/>
      <c r="C806" s="37"/>
      <c r="D806" s="37"/>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7"/>
      <c r="AK806" s="37"/>
      <c r="AL806" s="37"/>
      <c r="AM806" s="37"/>
      <c r="AN806" s="37"/>
      <c r="AO806" s="39"/>
      <c r="AP806" s="40"/>
    </row>
    <row r="807">
      <c r="A807" s="37"/>
      <c r="B807" s="37"/>
      <c r="C807" s="37"/>
      <c r="D807" s="37"/>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7"/>
      <c r="AK807" s="37"/>
      <c r="AL807" s="37"/>
      <c r="AM807" s="37"/>
      <c r="AN807" s="37"/>
      <c r="AO807" s="39"/>
      <c r="AP807" s="40"/>
    </row>
    <row r="808">
      <c r="A808" s="37"/>
      <c r="B808" s="37"/>
      <c r="C808" s="37"/>
      <c r="D808" s="37"/>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7"/>
      <c r="AK808" s="37"/>
      <c r="AL808" s="37"/>
      <c r="AM808" s="37"/>
      <c r="AN808" s="37"/>
      <c r="AO808" s="39"/>
      <c r="AP808" s="40"/>
    </row>
    <row r="809">
      <c r="A809" s="37"/>
      <c r="B809" s="37"/>
      <c r="C809" s="37"/>
      <c r="D809" s="37"/>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7"/>
      <c r="AK809" s="37"/>
      <c r="AL809" s="37"/>
      <c r="AM809" s="37"/>
      <c r="AN809" s="37"/>
      <c r="AO809" s="39"/>
      <c r="AP809" s="40"/>
    </row>
    <row r="810">
      <c r="A810" s="37"/>
      <c r="B810" s="37"/>
      <c r="C810" s="37"/>
      <c r="D810" s="37"/>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7"/>
      <c r="AK810" s="37"/>
      <c r="AL810" s="37"/>
      <c r="AM810" s="37"/>
      <c r="AN810" s="37"/>
      <c r="AO810" s="39"/>
      <c r="AP810" s="40"/>
    </row>
    <row r="811">
      <c r="A811" s="37"/>
      <c r="B811" s="37"/>
      <c r="C811" s="37"/>
      <c r="D811" s="37"/>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7"/>
      <c r="AK811" s="37"/>
      <c r="AL811" s="37"/>
      <c r="AM811" s="37"/>
      <c r="AN811" s="37"/>
      <c r="AO811" s="39"/>
      <c r="AP811" s="40"/>
    </row>
    <row r="812">
      <c r="A812" s="37"/>
      <c r="B812" s="37"/>
      <c r="C812" s="37"/>
      <c r="D812" s="37"/>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7"/>
      <c r="AK812" s="37"/>
      <c r="AL812" s="37"/>
      <c r="AM812" s="37"/>
      <c r="AN812" s="37"/>
      <c r="AO812" s="39"/>
      <c r="AP812" s="40"/>
    </row>
    <row r="813">
      <c r="A813" s="37"/>
      <c r="B813" s="37"/>
      <c r="C813" s="37"/>
      <c r="D813" s="37"/>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7"/>
      <c r="AK813" s="37"/>
      <c r="AL813" s="37"/>
      <c r="AM813" s="37"/>
      <c r="AN813" s="37"/>
      <c r="AO813" s="39"/>
      <c r="AP813" s="40"/>
    </row>
    <row r="814">
      <c r="A814" s="37"/>
      <c r="B814" s="37"/>
      <c r="C814" s="37"/>
      <c r="D814" s="37"/>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7"/>
      <c r="AK814" s="37"/>
      <c r="AL814" s="37"/>
      <c r="AM814" s="37"/>
      <c r="AN814" s="37"/>
      <c r="AO814" s="39"/>
      <c r="AP814" s="40"/>
    </row>
    <row r="815">
      <c r="A815" s="37"/>
      <c r="B815" s="37"/>
      <c r="C815" s="37"/>
      <c r="D815" s="37"/>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7"/>
      <c r="AK815" s="37"/>
      <c r="AL815" s="37"/>
      <c r="AM815" s="37"/>
      <c r="AN815" s="37"/>
      <c r="AO815" s="39"/>
      <c r="AP815" s="40"/>
    </row>
    <row r="816">
      <c r="A816" s="37"/>
      <c r="B816" s="37"/>
      <c r="C816" s="37"/>
      <c r="D816" s="37"/>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7"/>
      <c r="AK816" s="37"/>
      <c r="AL816" s="37"/>
      <c r="AM816" s="37"/>
      <c r="AN816" s="37"/>
      <c r="AO816" s="39"/>
      <c r="AP816" s="40"/>
    </row>
    <row r="817">
      <c r="A817" s="37"/>
      <c r="B817" s="37"/>
      <c r="C817" s="37"/>
      <c r="D817" s="37"/>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7"/>
      <c r="AK817" s="37"/>
      <c r="AL817" s="37"/>
      <c r="AM817" s="37"/>
      <c r="AN817" s="37"/>
      <c r="AO817" s="39"/>
      <c r="AP817" s="40"/>
    </row>
    <row r="818">
      <c r="A818" s="37"/>
      <c r="B818" s="37"/>
      <c r="C818" s="37"/>
      <c r="D818" s="37"/>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7"/>
      <c r="AK818" s="37"/>
      <c r="AL818" s="37"/>
      <c r="AM818" s="37"/>
      <c r="AN818" s="37"/>
      <c r="AO818" s="39"/>
      <c r="AP818" s="40"/>
    </row>
    <row r="819">
      <c r="A819" s="37"/>
      <c r="B819" s="37"/>
      <c r="C819" s="37"/>
      <c r="D819" s="37"/>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7"/>
      <c r="AK819" s="37"/>
      <c r="AL819" s="37"/>
      <c r="AM819" s="37"/>
      <c r="AN819" s="37"/>
      <c r="AO819" s="39"/>
      <c r="AP819" s="40"/>
    </row>
    <row r="820">
      <c r="A820" s="37"/>
      <c r="B820" s="37"/>
      <c r="C820" s="37"/>
      <c r="D820" s="37"/>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7"/>
      <c r="AK820" s="37"/>
      <c r="AL820" s="37"/>
      <c r="AM820" s="37"/>
      <c r="AN820" s="37"/>
      <c r="AO820" s="39"/>
      <c r="AP820" s="40"/>
    </row>
    <row r="821">
      <c r="A821" s="37"/>
      <c r="B821" s="37"/>
      <c r="C821" s="37"/>
      <c r="D821" s="37"/>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7"/>
      <c r="AK821" s="37"/>
      <c r="AL821" s="37"/>
      <c r="AM821" s="37"/>
      <c r="AN821" s="37"/>
      <c r="AO821" s="39"/>
      <c r="AP821" s="40"/>
    </row>
    <row r="822">
      <c r="A822" s="37"/>
      <c r="B822" s="37"/>
      <c r="C822" s="37"/>
      <c r="D822" s="37"/>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7"/>
      <c r="AK822" s="37"/>
      <c r="AL822" s="37"/>
      <c r="AM822" s="37"/>
      <c r="AN822" s="37"/>
      <c r="AO822" s="39"/>
      <c r="AP822" s="40"/>
    </row>
    <row r="823">
      <c r="A823" s="37"/>
      <c r="B823" s="37"/>
      <c r="C823" s="37"/>
      <c r="D823" s="37"/>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7"/>
      <c r="AK823" s="37"/>
      <c r="AL823" s="37"/>
      <c r="AM823" s="37"/>
      <c r="AN823" s="37"/>
      <c r="AO823" s="39"/>
      <c r="AP823" s="40"/>
    </row>
    <row r="824">
      <c r="A824" s="37"/>
      <c r="B824" s="37"/>
      <c r="C824" s="37"/>
      <c r="D824" s="37"/>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7"/>
      <c r="AK824" s="37"/>
      <c r="AL824" s="37"/>
      <c r="AM824" s="37"/>
      <c r="AN824" s="37"/>
      <c r="AO824" s="39"/>
      <c r="AP824" s="40"/>
    </row>
    <row r="825">
      <c r="A825" s="37"/>
      <c r="B825" s="37"/>
      <c r="C825" s="37"/>
      <c r="D825" s="37"/>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7"/>
      <c r="AK825" s="37"/>
      <c r="AL825" s="37"/>
      <c r="AM825" s="37"/>
      <c r="AN825" s="37"/>
      <c r="AO825" s="39"/>
      <c r="AP825" s="40"/>
    </row>
    <row r="826">
      <c r="A826" s="37"/>
      <c r="B826" s="37"/>
      <c r="C826" s="37"/>
      <c r="D826" s="37"/>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7"/>
      <c r="AK826" s="37"/>
      <c r="AL826" s="37"/>
      <c r="AM826" s="37"/>
      <c r="AN826" s="37"/>
      <c r="AO826" s="39"/>
      <c r="AP826" s="40"/>
    </row>
    <row r="827">
      <c r="A827" s="37"/>
      <c r="B827" s="37"/>
      <c r="C827" s="37"/>
      <c r="D827" s="37"/>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7"/>
      <c r="AK827" s="37"/>
      <c r="AL827" s="37"/>
      <c r="AM827" s="37"/>
      <c r="AN827" s="37"/>
      <c r="AO827" s="39"/>
      <c r="AP827" s="40"/>
    </row>
    <row r="828">
      <c r="A828" s="37"/>
      <c r="B828" s="37"/>
      <c r="C828" s="37"/>
      <c r="D828" s="37"/>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7"/>
      <c r="AK828" s="37"/>
      <c r="AL828" s="37"/>
      <c r="AM828" s="37"/>
      <c r="AN828" s="37"/>
      <c r="AO828" s="39"/>
      <c r="AP828" s="40"/>
    </row>
    <row r="829">
      <c r="A829" s="37"/>
      <c r="B829" s="37"/>
      <c r="C829" s="37"/>
      <c r="D829" s="37"/>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7"/>
      <c r="AK829" s="37"/>
      <c r="AL829" s="37"/>
      <c r="AM829" s="37"/>
      <c r="AN829" s="37"/>
      <c r="AO829" s="39"/>
      <c r="AP829" s="40"/>
    </row>
    <row r="830">
      <c r="A830" s="37"/>
      <c r="B830" s="37"/>
      <c r="C830" s="37"/>
      <c r="D830" s="37"/>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7"/>
      <c r="AK830" s="37"/>
      <c r="AL830" s="37"/>
      <c r="AM830" s="37"/>
      <c r="AN830" s="37"/>
      <c r="AO830" s="39"/>
      <c r="AP830" s="40"/>
    </row>
    <row r="831">
      <c r="A831" s="37"/>
      <c r="B831" s="37"/>
      <c r="C831" s="37"/>
      <c r="D831" s="37"/>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7"/>
      <c r="AK831" s="37"/>
      <c r="AL831" s="37"/>
      <c r="AM831" s="37"/>
      <c r="AN831" s="37"/>
      <c r="AO831" s="39"/>
      <c r="AP831" s="40"/>
    </row>
    <row r="832">
      <c r="A832" s="37"/>
      <c r="B832" s="37"/>
      <c r="C832" s="37"/>
      <c r="D832" s="37"/>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7"/>
      <c r="AK832" s="37"/>
      <c r="AL832" s="37"/>
      <c r="AM832" s="37"/>
      <c r="AN832" s="37"/>
      <c r="AO832" s="39"/>
      <c r="AP832" s="40"/>
    </row>
    <row r="833">
      <c r="A833" s="37"/>
      <c r="B833" s="37"/>
      <c r="C833" s="37"/>
      <c r="D833" s="37"/>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7"/>
      <c r="AK833" s="37"/>
      <c r="AL833" s="37"/>
      <c r="AM833" s="37"/>
      <c r="AN833" s="37"/>
      <c r="AO833" s="39"/>
      <c r="AP833" s="40"/>
    </row>
    <row r="834">
      <c r="A834" s="37"/>
      <c r="B834" s="37"/>
      <c r="C834" s="37"/>
      <c r="D834" s="37"/>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7"/>
      <c r="AK834" s="37"/>
      <c r="AL834" s="37"/>
      <c r="AM834" s="37"/>
      <c r="AN834" s="37"/>
      <c r="AO834" s="39"/>
      <c r="AP834" s="40"/>
    </row>
    <row r="835">
      <c r="A835" s="37"/>
      <c r="B835" s="37"/>
      <c r="C835" s="37"/>
      <c r="D835" s="37"/>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7"/>
      <c r="AK835" s="37"/>
      <c r="AL835" s="37"/>
      <c r="AM835" s="37"/>
      <c r="AN835" s="37"/>
      <c r="AO835" s="39"/>
      <c r="AP835" s="40"/>
    </row>
    <row r="836">
      <c r="A836" s="37"/>
      <c r="B836" s="37"/>
      <c r="C836" s="37"/>
      <c r="D836" s="37"/>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7"/>
      <c r="AK836" s="37"/>
      <c r="AL836" s="37"/>
      <c r="AM836" s="37"/>
      <c r="AN836" s="37"/>
      <c r="AO836" s="39"/>
      <c r="AP836" s="40"/>
    </row>
    <row r="837">
      <c r="A837" s="37"/>
      <c r="B837" s="37"/>
      <c r="C837" s="37"/>
      <c r="D837" s="37"/>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7"/>
      <c r="AK837" s="37"/>
      <c r="AL837" s="37"/>
      <c r="AM837" s="37"/>
      <c r="AN837" s="37"/>
      <c r="AO837" s="39"/>
      <c r="AP837" s="40"/>
    </row>
    <row r="838">
      <c r="A838" s="37"/>
      <c r="B838" s="37"/>
      <c r="C838" s="37"/>
      <c r="D838" s="37"/>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7"/>
      <c r="AK838" s="37"/>
      <c r="AL838" s="37"/>
      <c r="AM838" s="37"/>
      <c r="AN838" s="37"/>
      <c r="AO838" s="39"/>
      <c r="AP838" s="40"/>
    </row>
    <row r="839">
      <c r="A839" s="37"/>
      <c r="B839" s="37"/>
      <c r="C839" s="37"/>
      <c r="D839" s="37"/>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7"/>
      <c r="AK839" s="37"/>
      <c r="AL839" s="37"/>
      <c r="AM839" s="37"/>
      <c r="AN839" s="37"/>
      <c r="AO839" s="39"/>
      <c r="AP839" s="40"/>
    </row>
    <row r="840">
      <c r="A840" s="37"/>
      <c r="B840" s="37"/>
      <c r="C840" s="37"/>
      <c r="D840" s="37"/>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7"/>
      <c r="AK840" s="37"/>
      <c r="AL840" s="37"/>
      <c r="AM840" s="37"/>
      <c r="AN840" s="37"/>
      <c r="AO840" s="39"/>
      <c r="AP840" s="40"/>
    </row>
    <row r="841">
      <c r="A841" s="37"/>
      <c r="B841" s="37"/>
      <c r="C841" s="37"/>
      <c r="D841" s="37"/>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7"/>
      <c r="AK841" s="37"/>
      <c r="AL841" s="37"/>
      <c r="AM841" s="37"/>
      <c r="AN841" s="37"/>
      <c r="AO841" s="39"/>
      <c r="AP841" s="40"/>
    </row>
    <row r="842">
      <c r="A842" s="37"/>
      <c r="B842" s="37"/>
      <c r="C842" s="37"/>
      <c r="D842" s="37"/>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7"/>
      <c r="AK842" s="37"/>
      <c r="AL842" s="37"/>
      <c r="AM842" s="37"/>
      <c r="AN842" s="37"/>
      <c r="AO842" s="39"/>
      <c r="AP842" s="40"/>
    </row>
    <row r="843">
      <c r="A843" s="37"/>
      <c r="B843" s="37"/>
      <c r="C843" s="37"/>
      <c r="D843" s="37"/>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7"/>
      <c r="AK843" s="37"/>
      <c r="AL843" s="37"/>
      <c r="AM843" s="37"/>
      <c r="AN843" s="37"/>
      <c r="AO843" s="39"/>
      <c r="AP843" s="40"/>
    </row>
    <row r="844">
      <c r="A844" s="37"/>
      <c r="B844" s="37"/>
      <c r="C844" s="37"/>
      <c r="D844" s="37"/>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7"/>
      <c r="AK844" s="37"/>
      <c r="AL844" s="37"/>
      <c r="AM844" s="37"/>
      <c r="AN844" s="37"/>
      <c r="AO844" s="39"/>
      <c r="AP844" s="40"/>
    </row>
    <row r="845">
      <c r="A845" s="37"/>
      <c r="B845" s="37"/>
      <c r="C845" s="37"/>
      <c r="D845" s="37"/>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7"/>
      <c r="AK845" s="37"/>
      <c r="AL845" s="37"/>
      <c r="AM845" s="37"/>
      <c r="AN845" s="37"/>
      <c r="AO845" s="39"/>
      <c r="AP845" s="40"/>
    </row>
    <row r="846">
      <c r="A846" s="37"/>
      <c r="B846" s="37"/>
      <c r="C846" s="37"/>
      <c r="D846" s="37"/>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7"/>
      <c r="AK846" s="37"/>
      <c r="AL846" s="37"/>
      <c r="AM846" s="37"/>
      <c r="AN846" s="37"/>
      <c r="AO846" s="39"/>
      <c r="AP846" s="40"/>
    </row>
    <row r="847">
      <c r="A847" s="37"/>
      <c r="B847" s="37"/>
      <c r="C847" s="37"/>
      <c r="D847" s="37"/>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7"/>
      <c r="AK847" s="37"/>
      <c r="AL847" s="37"/>
      <c r="AM847" s="37"/>
      <c r="AN847" s="37"/>
      <c r="AO847" s="39"/>
      <c r="AP847" s="40"/>
    </row>
    <row r="848">
      <c r="A848" s="37"/>
      <c r="B848" s="37"/>
      <c r="C848" s="37"/>
      <c r="D848" s="37"/>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7"/>
      <c r="AK848" s="37"/>
      <c r="AL848" s="37"/>
      <c r="AM848" s="37"/>
      <c r="AN848" s="37"/>
      <c r="AO848" s="39"/>
      <c r="AP848" s="40"/>
    </row>
    <row r="849">
      <c r="A849" s="37"/>
      <c r="B849" s="37"/>
      <c r="C849" s="37"/>
      <c r="D849" s="37"/>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7"/>
      <c r="AK849" s="37"/>
      <c r="AL849" s="37"/>
      <c r="AM849" s="37"/>
      <c r="AN849" s="37"/>
      <c r="AO849" s="39"/>
      <c r="AP849" s="40"/>
    </row>
    <row r="850">
      <c r="A850" s="37"/>
      <c r="B850" s="37"/>
      <c r="C850" s="37"/>
      <c r="D850" s="37"/>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7"/>
      <c r="AK850" s="37"/>
      <c r="AL850" s="37"/>
      <c r="AM850" s="37"/>
      <c r="AN850" s="37"/>
      <c r="AO850" s="39"/>
      <c r="AP850" s="40"/>
    </row>
    <row r="851">
      <c r="A851" s="37"/>
      <c r="B851" s="37"/>
      <c r="C851" s="37"/>
      <c r="D851" s="37"/>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7"/>
      <c r="AK851" s="37"/>
      <c r="AL851" s="37"/>
      <c r="AM851" s="37"/>
      <c r="AN851" s="37"/>
      <c r="AO851" s="39"/>
      <c r="AP851" s="40"/>
    </row>
    <row r="852">
      <c r="A852" s="37"/>
      <c r="B852" s="37"/>
      <c r="C852" s="37"/>
      <c r="D852" s="37"/>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7"/>
      <c r="AK852" s="37"/>
      <c r="AL852" s="37"/>
      <c r="AM852" s="37"/>
      <c r="AN852" s="37"/>
      <c r="AO852" s="39"/>
      <c r="AP852" s="40"/>
    </row>
    <row r="853">
      <c r="A853" s="37"/>
      <c r="B853" s="37"/>
      <c r="C853" s="37"/>
      <c r="D853" s="37"/>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7"/>
      <c r="AK853" s="37"/>
      <c r="AL853" s="37"/>
      <c r="AM853" s="37"/>
      <c r="AN853" s="37"/>
      <c r="AO853" s="39"/>
      <c r="AP853" s="40"/>
    </row>
    <row r="854">
      <c r="A854" s="37"/>
      <c r="B854" s="37"/>
      <c r="C854" s="37"/>
      <c r="D854" s="37"/>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7"/>
      <c r="AK854" s="37"/>
      <c r="AL854" s="37"/>
      <c r="AM854" s="37"/>
      <c r="AN854" s="37"/>
      <c r="AO854" s="39"/>
      <c r="AP854" s="40"/>
    </row>
    <row r="855">
      <c r="A855" s="37"/>
      <c r="B855" s="37"/>
      <c r="C855" s="37"/>
      <c r="D855" s="37"/>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7"/>
      <c r="AK855" s="37"/>
      <c r="AL855" s="37"/>
      <c r="AM855" s="37"/>
      <c r="AN855" s="37"/>
      <c r="AO855" s="39"/>
      <c r="AP855" s="40"/>
    </row>
    <row r="856">
      <c r="A856" s="37"/>
      <c r="B856" s="37"/>
      <c r="C856" s="37"/>
      <c r="D856" s="37"/>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7"/>
      <c r="AK856" s="37"/>
      <c r="AL856" s="37"/>
      <c r="AM856" s="37"/>
      <c r="AN856" s="37"/>
      <c r="AO856" s="39"/>
      <c r="AP856" s="40"/>
    </row>
    <row r="857">
      <c r="A857" s="37"/>
      <c r="B857" s="37"/>
      <c r="C857" s="37"/>
      <c r="D857" s="37"/>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7"/>
      <c r="AK857" s="37"/>
      <c r="AL857" s="37"/>
      <c r="AM857" s="37"/>
      <c r="AN857" s="37"/>
      <c r="AO857" s="39"/>
      <c r="AP857" s="40"/>
    </row>
    <row r="858">
      <c r="A858" s="37"/>
      <c r="B858" s="37"/>
      <c r="C858" s="37"/>
      <c r="D858" s="37"/>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7"/>
      <c r="AK858" s="37"/>
      <c r="AL858" s="37"/>
      <c r="AM858" s="37"/>
      <c r="AN858" s="37"/>
      <c r="AO858" s="39"/>
      <c r="AP858" s="40"/>
    </row>
    <row r="859">
      <c r="A859" s="37"/>
      <c r="B859" s="37"/>
      <c r="C859" s="37"/>
      <c r="D859" s="37"/>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7"/>
      <c r="AK859" s="37"/>
      <c r="AL859" s="37"/>
      <c r="AM859" s="37"/>
      <c r="AN859" s="37"/>
      <c r="AO859" s="39"/>
      <c r="AP859" s="40"/>
    </row>
    <row r="860">
      <c r="A860" s="37"/>
      <c r="B860" s="37"/>
      <c r="C860" s="37"/>
      <c r="D860" s="37"/>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7"/>
      <c r="AK860" s="37"/>
      <c r="AL860" s="37"/>
      <c r="AM860" s="37"/>
      <c r="AN860" s="37"/>
      <c r="AO860" s="39"/>
      <c r="AP860" s="40"/>
    </row>
    <row r="861">
      <c r="A861" s="37"/>
      <c r="B861" s="37"/>
      <c r="C861" s="37"/>
      <c r="D861" s="37"/>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7"/>
      <c r="AK861" s="37"/>
      <c r="AL861" s="37"/>
      <c r="AM861" s="37"/>
      <c r="AN861" s="37"/>
      <c r="AO861" s="39"/>
      <c r="AP861" s="40"/>
    </row>
    <row r="862">
      <c r="A862" s="37"/>
      <c r="B862" s="37"/>
      <c r="C862" s="37"/>
      <c r="D862" s="37"/>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7"/>
      <c r="AK862" s="37"/>
      <c r="AL862" s="37"/>
      <c r="AM862" s="37"/>
      <c r="AN862" s="37"/>
      <c r="AO862" s="39"/>
      <c r="AP862" s="40"/>
    </row>
    <row r="863">
      <c r="A863" s="37"/>
      <c r="B863" s="37"/>
      <c r="C863" s="37"/>
      <c r="D863" s="37"/>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7"/>
      <c r="AK863" s="37"/>
      <c r="AL863" s="37"/>
      <c r="AM863" s="37"/>
      <c r="AN863" s="37"/>
      <c r="AO863" s="39"/>
      <c r="AP863" s="40"/>
    </row>
    <row r="864">
      <c r="A864" s="37"/>
      <c r="B864" s="37"/>
      <c r="C864" s="37"/>
      <c r="D864" s="37"/>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7"/>
      <c r="AK864" s="37"/>
      <c r="AL864" s="37"/>
      <c r="AM864" s="37"/>
      <c r="AN864" s="37"/>
      <c r="AO864" s="39"/>
      <c r="AP864" s="40"/>
    </row>
    <row r="865">
      <c r="A865" s="37"/>
      <c r="B865" s="37"/>
      <c r="C865" s="37"/>
      <c r="D865" s="37"/>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7"/>
      <c r="AK865" s="37"/>
      <c r="AL865" s="37"/>
      <c r="AM865" s="37"/>
      <c r="AN865" s="37"/>
      <c r="AO865" s="39"/>
      <c r="AP865" s="40"/>
    </row>
    <row r="866">
      <c r="A866" s="37"/>
      <c r="B866" s="37"/>
      <c r="C866" s="37"/>
      <c r="D866" s="37"/>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7"/>
      <c r="AK866" s="37"/>
      <c r="AL866" s="37"/>
      <c r="AM866" s="37"/>
      <c r="AN866" s="37"/>
      <c r="AO866" s="39"/>
      <c r="AP866" s="40"/>
    </row>
    <row r="867">
      <c r="A867" s="37"/>
      <c r="B867" s="37"/>
      <c r="C867" s="37"/>
      <c r="D867" s="37"/>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7"/>
      <c r="AK867" s="37"/>
      <c r="AL867" s="37"/>
      <c r="AM867" s="37"/>
      <c r="AN867" s="37"/>
      <c r="AO867" s="39"/>
      <c r="AP867" s="40"/>
    </row>
    <row r="868">
      <c r="A868" s="37"/>
      <c r="B868" s="37"/>
      <c r="C868" s="37"/>
      <c r="D868" s="37"/>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7"/>
      <c r="AK868" s="37"/>
      <c r="AL868" s="37"/>
      <c r="AM868" s="37"/>
      <c r="AN868" s="37"/>
      <c r="AO868" s="39"/>
      <c r="AP868" s="40"/>
    </row>
    <row r="869">
      <c r="A869" s="37"/>
      <c r="B869" s="37"/>
      <c r="C869" s="37"/>
      <c r="D869" s="37"/>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7"/>
      <c r="AK869" s="37"/>
      <c r="AL869" s="37"/>
      <c r="AM869" s="37"/>
      <c r="AN869" s="37"/>
      <c r="AO869" s="39"/>
      <c r="AP869" s="40"/>
    </row>
    <row r="870">
      <c r="A870" s="37"/>
      <c r="B870" s="37"/>
      <c r="C870" s="37"/>
      <c r="D870" s="37"/>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7"/>
      <c r="AK870" s="37"/>
      <c r="AL870" s="37"/>
      <c r="AM870" s="37"/>
      <c r="AN870" s="37"/>
      <c r="AO870" s="39"/>
      <c r="AP870" s="40"/>
    </row>
    <row r="871">
      <c r="A871" s="37"/>
      <c r="B871" s="37"/>
      <c r="C871" s="37"/>
      <c r="D871" s="37"/>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7"/>
      <c r="AK871" s="37"/>
      <c r="AL871" s="37"/>
      <c r="AM871" s="37"/>
      <c r="AN871" s="37"/>
      <c r="AO871" s="39"/>
      <c r="AP871" s="40"/>
    </row>
    <row r="872">
      <c r="A872" s="37"/>
      <c r="B872" s="37"/>
      <c r="C872" s="37"/>
      <c r="D872" s="37"/>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7"/>
      <c r="AK872" s="37"/>
      <c r="AL872" s="37"/>
      <c r="AM872" s="37"/>
      <c r="AN872" s="37"/>
      <c r="AO872" s="39"/>
      <c r="AP872" s="40"/>
    </row>
    <row r="873">
      <c r="A873" s="37"/>
      <c r="B873" s="37"/>
      <c r="C873" s="37"/>
      <c r="D873" s="37"/>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7"/>
      <c r="AK873" s="37"/>
      <c r="AL873" s="37"/>
      <c r="AM873" s="37"/>
      <c r="AN873" s="37"/>
      <c r="AO873" s="39"/>
      <c r="AP873" s="40"/>
    </row>
    <row r="874">
      <c r="A874" s="37"/>
      <c r="B874" s="37"/>
      <c r="C874" s="37"/>
      <c r="D874" s="37"/>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7"/>
      <c r="AK874" s="37"/>
      <c r="AL874" s="37"/>
      <c r="AM874" s="37"/>
      <c r="AN874" s="37"/>
      <c r="AO874" s="39"/>
      <c r="AP874" s="40"/>
    </row>
    <row r="875">
      <c r="A875" s="37"/>
      <c r="B875" s="37"/>
      <c r="C875" s="37"/>
      <c r="D875" s="37"/>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7"/>
      <c r="AK875" s="37"/>
      <c r="AL875" s="37"/>
      <c r="AM875" s="37"/>
      <c r="AN875" s="37"/>
      <c r="AO875" s="39"/>
      <c r="AP875" s="40"/>
    </row>
    <row r="876">
      <c r="A876" s="37"/>
      <c r="B876" s="37"/>
      <c r="C876" s="37"/>
      <c r="D876" s="37"/>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7"/>
      <c r="AK876" s="37"/>
      <c r="AL876" s="37"/>
      <c r="AM876" s="37"/>
      <c r="AN876" s="37"/>
      <c r="AO876" s="39"/>
      <c r="AP876" s="40"/>
    </row>
    <row r="877">
      <c r="A877" s="37"/>
      <c r="B877" s="37"/>
      <c r="C877" s="37"/>
      <c r="D877" s="37"/>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7"/>
      <c r="AK877" s="37"/>
      <c r="AL877" s="37"/>
      <c r="AM877" s="37"/>
      <c r="AN877" s="37"/>
      <c r="AO877" s="39"/>
      <c r="AP877" s="40"/>
    </row>
    <row r="878">
      <c r="A878" s="37"/>
      <c r="B878" s="37"/>
      <c r="C878" s="37"/>
      <c r="D878" s="37"/>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7"/>
      <c r="AK878" s="37"/>
      <c r="AL878" s="37"/>
      <c r="AM878" s="37"/>
      <c r="AN878" s="37"/>
      <c r="AO878" s="39"/>
      <c r="AP878" s="40"/>
    </row>
    <row r="879">
      <c r="A879" s="37"/>
      <c r="B879" s="37"/>
      <c r="C879" s="37"/>
      <c r="D879" s="37"/>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7"/>
      <c r="AK879" s="37"/>
      <c r="AL879" s="37"/>
      <c r="AM879" s="37"/>
      <c r="AN879" s="37"/>
      <c r="AO879" s="39"/>
      <c r="AP879" s="40"/>
    </row>
    <row r="880">
      <c r="A880" s="37"/>
      <c r="B880" s="37"/>
      <c r="C880" s="37"/>
      <c r="D880" s="37"/>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7"/>
      <c r="AK880" s="37"/>
      <c r="AL880" s="37"/>
      <c r="AM880" s="37"/>
      <c r="AN880" s="37"/>
      <c r="AO880" s="39"/>
      <c r="AP880" s="40"/>
    </row>
    <row r="881">
      <c r="A881" s="37"/>
      <c r="B881" s="37"/>
      <c r="C881" s="37"/>
      <c r="D881" s="37"/>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7"/>
      <c r="AK881" s="37"/>
      <c r="AL881" s="37"/>
      <c r="AM881" s="37"/>
      <c r="AN881" s="37"/>
      <c r="AO881" s="39"/>
      <c r="AP881" s="40"/>
    </row>
    <row r="882">
      <c r="A882" s="37"/>
      <c r="B882" s="37"/>
      <c r="C882" s="37"/>
      <c r="D882" s="37"/>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7"/>
      <c r="AK882" s="37"/>
      <c r="AL882" s="37"/>
      <c r="AM882" s="37"/>
      <c r="AN882" s="37"/>
      <c r="AO882" s="39"/>
      <c r="AP882" s="40"/>
    </row>
    <row r="883">
      <c r="A883" s="37"/>
      <c r="B883" s="37"/>
      <c r="C883" s="37"/>
      <c r="D883" s="37"/>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7"/>
      <c r="AK883" s="37"/>
      <c r="AL883" s="37"/>
      <c r="AM883" s="37"/>
      <c r="AN883" s="37"/>
      <c r="AO883" s="39"/>
      <c r="AP883" s="40"/>
    </row>
    <row r="884">
      <c r="A884" s="37"/>
      <c r="B884" s="37"/>
      <c r="C884" s="37"/>
      <c r="D884" s="37"/>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7"/>
      <c r="AK884" s="37"/>
      <c r="AL884" s="37"/>
      <c r="AM884" s="37"/>
      <c r="AN884" s="37"/>
      <c r="AO884" s="39"/>
      <c r="AP884" s="40"/>
    </row>
    <row r="885">
      <c r="A885" s="37"/>
      <c r="B885" s="37"/>
      <c r="C885" s="37"/>
      <c r="D885" s="37"/>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7"/>
      <c r="AK885" s="37"/>
      <c r="AL885" s="37"/>
      <c r="AM885" s="37"/>
      <c r="AN885" s="37"/>
      <c r="AO885" s="39"/>
      <c r="AP885" s="40"/>
    </row>
    <row r="886">
      <c r="A886" s="37"/>
      <c r="B886" s="37"/>
      <c r="C886" s="37"/>
      <c r="D886" s="37"/>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7"/>
      <c r="AK886" s="37"/>
      <c r="AL886" s="37"/>
      <c r="AM886" s="37"/>
      <c r="AN886" s="37"/>
      <c r="AO886" s="39"/>
      <c r="AP886" s="40"/>
    </row>
    <row r="887">
      <c r="A887" s="37"/>
      <c r="B887" s="37"/>
      <c r="C887" s="37"/>
      <c r="D887" s="37"/>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7"/>
      <c r="AK887" s="37"/>
      <c r="AL887" s="37"/>
      <c r="AM887" s="37"/>
      <c r="AN887" s="37"/>
      <c r="AO887" s="39"/>
      <c r="AP887" s="40"/>
    </row>
    <row r="888">
      <c r="A888" s="37"/>
      <c r="B888" s="37"/>
      <c r="C888" s="37"/>
      <c r="D888" s="37"/>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7"/>
      <c r="AK888" s="37"/>
      <c r="AL888" s="37"/>
      <c r="AM888" s="37"/>
      <c r="AN888" s="37"/>
      <c r="AO888" s="39"/>
      <c r="AP888" s="40"/>
    </row>
    <row r="889">
      <c r="A889" s="37"/>
      <c r="B889" s="37"/>
      <c r="C889" s="37"/>
      <c r="D889" s="37"/>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7"/>
      <c r="AK889" s="37"/>
      <c r="AL889" s="37"/>
      <c r="AM889" s="37"/>
      <c r="AN889" s="37"/>
      <c r="AO889" s="39"/>
      <c r="AP889" s="40"/>
    </row>
    <row r="890">
      <c r="A890" s="37"/>
      <c r="B890" s="37"/>
      <c r="C890" s="37"/>
      <c r="D890" s="37"/>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7"/>
      <c r="AK890" s="37"/>
      <c r="AL890" s="37"/>
      <c r="AM890" s="37"/>
      <c r="AN890" s="37"/>
      <c r="AO890" s="39"/>
      <c r="AP890" s="40"/>
    </row>
    <row r="891">
      <c r="A891" s="37"/>
      <c r="B891" s="37"/>
      <c r="C891" s="37"/>
      <c r="D891" s="37"/>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7"/>
      <c r="AK891" s="37"/>
      <c r="AL891" s="37"/>
      <c r="AM891" s="37"/>
      <c r="AN891" s="37"/>
      <c r="AO891" s="39"/>
      <c r="AP891" s="40"/>
    </row>
    <row r="892">
      <c r="A892" s="37"/>
      <c r="B892" s="37"/>
      <c r="C892" s="37"/>
      <c r="D892" s="37"/>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7"/>
      <c r="AK892" s="37"/>
      <c r="AL892" s="37"/>
      <c r="AM892" s="37"/>
      <c r="AN892" s="37"/>
      <c r="AO892" s="39"/>
      <c r="AP892" s="40"/>
    </row>
    <row r="893">
      <c r="A893" s="37"/>
      <c r="B893" s="37"/>
      <c r="C893" s="37"/>
      <c r="D893" s="37"/>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7"/>
      <c r="AK893" s="37"/>
      <c r="AL893" s="37"/>
      <c r="AM893" s="37"/>
      <c r="AN893" s="37"/>
      <c r="AO893" s="39"/>
      <c r="AP893" s="40"/>
    </row>
    <row r="894">
      <c r="A894" s="37"/>
      <c r="B894" s="37"/>
      <c r="C894" s="37"/>
      <c r="D894" s="37"/>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7"/>
      <c r="AK894" s="37"/>
      <c r="AL894" s="37"/>
      <c r="AM894" s="37"/>
      <c r="AN894" s="37"/>
      <c r="AO894" s="39"/>
      <c r="AP894" s="40"/>
    </row>
    <row r="895">
      <c r="A895" s="37"/>
      <c r="B895" s="37"/>
      <c r="C895" s="37"/>
      <c r="D895" s="37"/>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7"/>
      <c r="AK895" s="37"/>
      <c r="AL895" s="37"/>
      <c r="AM895" s="37"/>
      <c r="AN895" s="37"/>
      <c r="AO895" s="39"/>
      <c r="AP895" s="40"/>
    </row>
    <row r="896">
      <c r="A896" s="37"/>
      <c r="B896" s="37"/>
      <c r="C896" s="37"/>
      <c r="D896" s="37"/>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7"/>
      <c r="AK896" s="37"/>
      <c r="AL896" s="37"/>
      <c r="AM896" s="37"/>
      <c r="AN896" s="37"/>
      <c r="AO896" s="39"/>
      <c r="AP896" s="40"/>
    </row>
    <row r="897">
      <c r="A897" s="37"/>
      <c r="B897" s="37"/>
      <c r="C897" s="37"/>
      <c r="D897" s="37"/>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7"/>
      <c r="AK897" s="37"/>
      <c r="AL897" s="37"/>
      <c r="AM897" s="37"/>
      <c r="AN897" s="37"/>
      <c r="AO897" s="39"/>
      <c r="AP897" s="40"/>
    </row>
    <row r="898">
      <c r="A898" s="37"/>
      <c r="B898" s="37"/>
      <c r="C898" s="37"/>
      <c r="D898" s="37"/>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7"/>
      <c r="AK898" s="37"/>
      <c r="AL898" s="37"/>
      <c r="AM898" s="37"/>
      <c r="AN898" s="37"/>
      <c r="AO898" s="39"/>
      <c r="AP898" s="40"/>
    </row>
    <row r="899">
      <c r="A899" s="37"/>
      <c r="B899" s="37"/>
      <c r="C899" s="37"/>
      <c r="D899" s="37"/>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7"/>
      <c r="AK899" s="37"/>
      <c r="AL899" s="37"/>
      <c r="AM899" s="37"/>
      <c r="AN899" s="37"/>
      <c r="AO899" s="39"/>
      <c r="AP899" s="40"/>
    </row>
    <row r="900">
      <c r="A900" s="37"/>
      <c r="B900" s="37"/>
      <c r="C900" s="37"/>
      <c r="D900" s="37"/>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7"/>
      <c r="AK900" s="37"/>
      <c r="AL900" s="37"/>
      <c r="AM900" s="37"/>
      <c r="AN900" s="37"/>
      <c r="AO900" s="39"/>
      <c r="AP900" s="40"/>
    </row>
    <row r="901">
      <c r="A901" s="37"/>
      <c r="B901" s="37"/>
      <c r="C901" s="37"/>
      <c r="D901" s="37"/>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7"/>
      <c r="AK901" s="37"/>
      <c r="AL901" s="37"/>
      <c r="AM901" s="37"/>
      <c r="AN901" s="37"/>
      <c r="AO901" s="39"/>
      <c r="AP901" s="40"/>
    </row>
    <row r="902">
      <c r="A902" s="37"/>
      <c r="B902" s="37"/>
      <c r="C902" s="37"/>
      <c r="D902" s="37"/>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7"/>
      <c r="AK902" s="37"/>
      <c r="AL902" s="37"/>
      <c r="AM902" s="37"/>
      <c r="AN902" s="37"/>
      <c r="AO902" s="39"/>
      <c r="AP902" s="40"/>
    </row>
    <row r="903">
      <c r="A903" s="37"/>
      <c r="B903" s="37"/>
      <c r="C903" s="37"/>
      <c r="D903" s="37"/>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7"/>
      <c r="AK903" s="37"/>
      <c r="AL903" s="37"/>
      <c r="AM903" s="37"/>
      <c r="AN903" s="37"/>
      <c r="AO903" s="39"/>
      <c r="AP903" s="40"/>
    </row>
    <row r="904">
      <c r="A904" s="37"/>
      <c r="B904" s="37"/>
      <c r="C904" s="37"/>
      <c r="D904" s="37"/>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7"/>
      <c r="AK904" s="37"/>
      <c r="AL904" s="37"/>
      <c r="AM904" s="37"/>
      <c r="AN904" s="37"/>
      <c r="AO904" s="39"/>
      <c r="AP904" s="40"/>
    </row>
    <row r="905">
      <c r="A905" s="37"/>
      <c r="B905" s="37"/>
      <c r="C905" s="37"/>
      <c r="D905" s="37"/>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7"/>
      <c r="AK905" s="37"/>
      <c r="AL905" s="37"/>
      <c r="AM905" s="37"/>
      <c r="AN905" s="37"/>
      <c r="AO905" s="39"/>
      <c r="AP905" s="40"/>
    </row>
    <row r="906">
      <c r="A906" s="37"/>
      <c r="B906" s="37"/>
      <c r="C906" s="37"/>
      <c r="D906" s="37"/>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7"/>
      <c r="AK906" s="37"/>
      <c r="AL906" s="37"/>
      <c r="AM906" s="37"/>
      <c r="AN906" s="37"/>
      <c r="AO906" s="39"/>
      <c r="AP906" s="40"/>
    </row>
    <row r="907">
      <c r="A907" s="37"/>
      <c r="B907" s="37"/>
      <c r="C907" s="37"/>
      <c r="D907" s="37"/>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7"/>
      <c r="AK907" s="37"/>
      <c r="AL907" s="37"/>
      <c r="AM907" s="37"/>
      <c r="AN907" s="37"/>
      <c r="AO907" s="39"/>
      <c r="AP907" s="40"/>
    </row>
    <row r="908">
      <c r="A908" s="37"/>
      <c r="B908" s="37"/>
      <c r="C908" s="37"/>
      <c r="D908" s="37"/>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7"/>
      <c r="AK908" s="37"/>
      <c r="AL908" s="37"/>
      <c r="AM908" s="37"/>
      <c r="AN908" s="37"/>
      <c r="AO908" s="39"/>
      <c r="AP908" s="40"/>
    </row>
    <row r="909">
      <c r="A909" s="37"/>
      <c r="B909" s="37"/>
      <c r="C909" s="37"/>
      <c r="D909" s="37"/>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7"/>
      <c r="AK909" s="37"/>
      <c r="AL909" s="37"/>
      <c r="AM909" s="37"/>
      <c r="AN909" s="37"/>
      <c r="AO909" s="39"/>
      <c r="AP909" s="40"/>
    </row>
    <row r="910">
      <c r="A910" s="37"/>
      <c r="B910" s="37"/>
      <c r="C910" s="37"/>
      <c r="D910" s="37"/>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7"/>
      <c r="AK910" s="37"/>
      <c r="AL910" s="37"/>
      <c r="AM910" s="37"/>
      <c r="AN910" s="37"/>
      <c r="AO910" s="39"/>
      <c r="AP910" s="40"/>
    </row>
    <row r="911">
      <c r="A911" s="37"/>
      <c r="B911" s="37"/>
      <c r="C911" s="37"/>
      <c r="D911" s="37"/>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7"/>
      <c r="AK911" s="37"/>
      <c r="AL911" s="37"/>
      <c r="AM911" s="37"/>
      <c r="AN911" s="37"/>
      <c r="AO911" s="39"/>
      <c r="AP911" s="40"/>
    </row>
    <row r="912">
      <c r="A912" s="37"/>
      <c r="B912" s="37"/>
      <c r="C912" s="37"/>
      <c r="D912" s="37"/>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7"/>
      <c r="AK912" s="37"/>
      <c r="AL912" s="37"/>
      <c r="AM912" s="37"/>
      <c r="AN912" s="37"/>
      <c r="AO912" s="39"/>
      <c r="AP912" s="40"/>
    </row>
    <row r="913">
      <c r="A913" s="37"/>
      <c r="B913" s="37"/>
      <c r="C913" s="37"/>
      <c r="D913" s="37"/>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7"/>
      <c r="AK913" s="37"/>
      <c r="AL913" s="37"/>
      <c r="AM913" s="37"/>
      <c r="AN913" s="37"/>
      <c r="AO913" s="39"/>
      <c r="AP913" s="40"/>
    </row>
    <row r="914">
      <c r="A914" s="37"/>
      <c r="B914" s="37"/>
      <c r="C914" s="37"/>
      <c r="D914" s="37"/>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7"/>
      <c r="AK914" s="37"/>
      <c r="AL914" s="37"/>
      <c r="AM914" s="37"/>
      <c r="AN914" s="37"/>
      <c r="AO914" s="39"/>
      <c r="AP914" s="40"/>
    </row>
    <row r="915">
      <c r="A915" s="37"/>
      <c r="B915" s="37"/>
      <c r="C915" s="37"/>
      <c r="D915" s="37"/>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7"/>
      <c r="AK915" s="37"/>
      <c r="AL915" s="37"/>
      <c r="AM915" s="37"/>
      <c r="AN915" s="37"/>
      <c r="AO915" s="39"/>
      <c r="AP915" s="40"/>
    </row>
    <row r="916">
      <c r="A916" s="37"/>
      <c r="B916" s="37"/>
      <c r="C916" s="37"/>
      <c r="D916" s="37"/>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7"/>
      <c r="AK916" s="37"/>
      <c r="AL916" s="37"/>
      <c r="AM916" s="37"/>
      <c r="AN916" s="37"/>
      <c r="AO916" s="39"/>
      <c r="AP916" s="40"/>
    </row>
    <row r="917">
      <c r="A917" s="37"/>
      <c r="B917" s="37"/>
      <c r="C917" s="37"/>
      <c r="D917" s="37"/>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7"/>
      <c r="AK917" s="37"/>
      <c r="AL917" s="37"/>
      <c r="AM917" s="37"/>
      <c r="AN917" s="37"/>
      <c r="AO917" s="39"/>
      <c r="AP917" s="40"/>
    </row>
    <row r="918">
      <c r="A918" s="37"/>
      <c r="B918" s="37"/>
      <c r="C918" s="37"/>
      <c r="D918" s="37"/>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7"/>
      <c r="AK918" s="37"/>
      <c r="AL918" s="37"/>
      <c r="AM918" s="37"/>
      <c r="AN918" s="37"/>
      <c r="AO918" s="39"/>
      <c r="AP918" s="40"/>
    </row>
    <row r="919">
      <c r="A919" s="37"/>
      <c r="B919" s="37"/>
      <c r="C919" s="37"/>
      <c r="D919" s="37"/>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7"/>
      <c r="AK919" s="37"/>
      <c r="AL919" s="37"/>
      <c r="AM919" s="37"/>
      <c r="AN919" s="37"/>
      <c r="AO919" s="39"/>
      <c r="AP919" s="40"/>
    </row>
    <row r="920">
      <c r="A920" s="37"/>
      <c r="B920" s="37"/>
      <c r="C920" s="37"/>
      <c r="D920" s="37"/>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7"/>
      <c r="AK920" s="37"/>
      <c r="AL920" s="37"/>
      <c r="AM920" s="37"/>
      <c r="AN920" s="37"/>
      <c r="AO920" s="39"/>
      <c r="AP920" s="40"/>
    </row>
    <row r="921">
      <c r="A921" s="37"/>
      <c r="B921" s="37"/>
      <c r="C921" s="37"/>
      <c r="D921" s="37"/>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7"/>
      <c r="AK921" s="37"/>
      <c r="AL921" s="37"/>
      <c r="AM921" s="37"/>
      <c r="AN921" s="37"/>
      <c r="AO921" s="39"/>
      <c r="AP921" s="40"/>
    </row>
    <row r="922">
      <c r="A922" s="37"/>
      <c r="B922" s="37"/>
      <c r="C922" s="37"/>
      <c r="D922" s="37"/>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7"/>
      <c r="AK922" s="37"/>
      <c r="AL922" s="37"/>
      <c r="AM922" s="37"/>
      <c r="AN922" s="37"/>
      <c r="AO922" s="39"/>
      <c r="AP922" s="40"/>
    </row>
    <row r="923">
      <c r="A923" s="37"/>
      <c r="B923" s="37"/>
      <c r="C923" s="37"/>
      <c r="D923" s="37"/>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7"/>
      <c r="AK923" s="37"/>
      <c r="AL923" s="37"/>
      <c r="AM923" s="37"/>
      <c r="AN923" s="37"/>
      <c r="AO923" s="39"/>
      <c r="AP923" s="40"/>
    </row>
    <row r="924">
      <c r="A924" s="37"/>
      <c r="B924" s="37"/>
      <c r="C924" s="37"/>
      <c r="D924" s="37"/>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7"/>
      <c r="AK924" s="37"/>
      <c r="AL924" s="37"/>
      <c r="AM924" s="37"/>
      <c r="AN924" s="37"/>
      <c r="AO924" s="39"/>
      <c r="AP924" s="40"/>
    </row>
    <row r="925">
      <c r="A925" s="37"/>
      <c r="B925" s="37"/>
      <c r="C925" s="37"/>
      <c r="D925" s="37"/>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7"/>
      <c r="AK925" s="37"/>
      <c r="AL925" s="37"/>
      <c r="AM925" s="37"/>
      <c r="AN925" s="37"/>
      <c r="AO925" s="39"/>
      <c r="AP925" s="40"/>
    </row>
    <row r="926">
      <c r="A926" s="37"/>
      <c r="B926" s="37"/>
      <c r="C926" s="37"/>
      <c r="D926" s="37"/>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7"/>
      <c r="AK926" s="37"/>
      <c r="AL926" s="37"/>
      <c r="AM926" s="37"/>
      <c r="AN926" s="37"/>
      <c r="AO926" s="39"/>
      <c r="AP926" s="40"/>
    </row>
    <row r="927">
      <c r="A927" s="37"/>
      <c r="B927" s="37"/>
      <c r="C927" s="37"/>
      <c r="D927" s="37"/>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7"/>
      <c r="AK927" s="37"/>
      <c r="AL927" s="37"/>
      <c r="AM927" s="37"/>
      <c r="AN927" s="37"/>
      <c r="AO927" s="39"/>
      <c r="AP927" s="40"/>
    </row>
    <row r="928">
      <c r="A928" s="37"/>
      <c r="B928" s="37"/>
      <c r="C928" s="37"/>
      <c r="D928" s="37"/>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7"/>
      <c r="AK928" s="37"/>
      <c r="AL928" s="37"/>
      <c r="AM928" s="37"/>
      <c r="AN928" s="37"/>
      <c r="AO928" s="39"/>
      <c r="AP928" s="40"/>
    </row>
    <row r="929">
      <c r="A929" s="37"/>
      <c r="B929" s="37"/>
      <c r="C929" s="37"/>
      <c r="D929" s="37"/>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7"/>
      <c r="AK929" s="37"/>
      <c r="AL929" s="37"/>
      <c r="AM929" s="37"/>
      <c r="AN929" s="37"/>
      <c r="AO929" s="39"/>
      <c r="AP929" s="40"/>
    </row>
    <row r="930">
      <c r="A930" s="37"/>
      <c r="B930" s="37"/>
      <c r="C930" s="37"/>
      <c r="D930" s="37"/>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7"/>
      <c r="AK930" s="37"/>
      <c r="AL930" s="37"/>
      <c r="AM930" s="37"/>
      <c r="AN930" s="37"/>
      <c r="AO930" s="39"/>
      <c r="AP930" s="40"/>
    </row>
    <row r="931">
      <c r="A931" s="37"/>
      <c r="B931" s="37"/>
      <c r="C931" s="37"/>
      <c r="D931" s="37"/>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7"/>
      <c r="AK931" s="37"/>
      <c r="AL931" s="37"/>
      <c r="AM931" s="37"/>
      <c r="AN931" s="37"/>
      <c r="AO931" s="39"/>
      <c r="AP931" s="40"/>
    </row>
    <row r="932">
      <c r="A932" s="37"/>
      <c r="B932" s="37"/>
      <c r="C932" s="37"/>
      <c r="D932" s="37"/>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7"/>
      <c r="AK932" s="37"/>
      <c r="AL932" s="37"/>
      <c r="AM932" s="37"/>
      <c r="AN932" s="37"/>
      <c r="AO932" s="39"/>
      <c r="AP932" s="40"/>
    </row>
    <row r="933">
      <c r="A933" s="37"/>
      <c r="B933" s="37"/>
      <c r="C933" s="37"/>
      <c r="D933" s="37"/>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7"/>
      <c r="AK933" s="37"/>
      <c r="AL933" s="37"/>
      <c r="AM933" s="37"/>
      <c r="AN933" s="37"/>
      <c r="AO933" s="39"/>
      <c r="AP933" s="40"/>
    </row>
    <row r="934">
      <c r="A934" s="37"/>
      <c r="B934" s="37"/>
      <c r="C934" s="37"/>
      <c r="D934" s="37"/>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7"/>
      <c r="AK934" s="37"/>
      <c r="AL934" s="37"/>
      <c r="AM934" s="37"/>
      <c r="AN934" s="37"/>
      <c r="AO934" s="39"/>
      <c r="AP934" s="40"/>
    </row>
    <row r="935">
      <c r="A935" s="37"/>
      <c r="B935" s="37"/>
      <c r="C935" s="37"/>
      <c r="D935" s="37"/>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7"/>
      <c r="AK935" s="37"/>
      <c r="AL935" s="37"/>
      <c r="AM935" s="37"/>
      <c r="AN935" s="37"/>
      <c r="AO935" s="39"/>
      <c r="AP935" s="40"/>
    </row>
    <row r="936">
      <c r="A936" s="37"/>
      <c r="B936" s="37"/>
      <c r="C936" s="37"/>
      <c r="D936" s="37"/>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7"/>
      <c r="AK936" s="37"/>
      <c r="AL936" s="37"/>
      <c r="AM936" s="37"/>
      <c r="AN936" s="37"/>
      <c r="AO936" s="39"/>
      <c r="AP936" s="40"/>
    </row>
    <row r="937">
      <c r="A937" s="37"/>
      <c r="B937" s="37"/>
      <c r="C937" s="37"/>
      <c r="D937" s="37"/>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7"/>
      <c r="AK937" s="37"/>
      <c r="AL937" s="37"/>
      <c r="AM937" s="37"/>
      <c r="AN937" s="37"/>
      <c r="AO937" s="39"/>
      <c r="AP937" s="40"/>
    </row>
    <row r="938">
      <c r="A938" s="37"/>
      <c r="B938" s="37"/>
      <c r="C938" s="37"/>
      <c r="D938" s="37"/>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7"/>
      <c r="AK938" s="37"/>
      <c r="AL938" s="37"/>
      <c r="AM938" s="37"/>
      <c r="AN938" s="37"/>
      <c r="AO938" s="39"/>
      <c r="AP938" s="40"/>
    </row>
    <row r="939">
      <c r="A939" s="37"/>
      <c r="B939" s="37"/>
      <c r="C939" s="37"/>
      <c r="D939" s="37"/>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7"/>
      <c r="AK939" s="37"/>
      <c r="AL939" s="37"/>
      <c r="AM939" s="37"/>
      <c r="AN939" s="37"/>
      <c r="AO939" s="39"/>
      <c r="AP939" s="40"/>
    </row>
    <row r="940">
      <c r="A940" s="37"/>
      <c r="B940" s="37"/>
      <c r="C940" s="37"/>
      <c r="D940" s="37"/>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7"/>
      <c r="AK940" s="37"/>
      <c r="AL940" s="37"/>
      <c r="AM940" s="37"/>
      <c r="AN940" s="37"/>
      <c r="AO940" s="39"/>
      <c r="AP940" s="40"/>
    </row>
    <row r="941">
      <c r="A941" s="37"/>
      <c r="B941" s="37"/>
      <c r="C941" s="37"/>
      <c r="D941" s="37"/>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7"/>
      <c r="AK941" s="37"/>
      <c r="AL941" s="37"/>
      <c r="AM941" s="37"/>
      <c r="AN941" s="37"/>
      <c r="AO941" s="39"/>
      <c r="AP941" s="40"/>
    </row>
    <row r="942">
      <c r="A942" s="37"/>
      <c r="B942" s="37"/>
      <c r="C942" s="37"/>
      <c r="D942" s="37"/>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7"/>
      <c r="AK942" s="37"/>
      <c r="AL942" s="37"/>
      <c r="AM942" s="37"/>
      <c r="AN942" s="37"/>
      <c r="AO942" s="39"/>
      <c r="AP942" s="40"/>
    </row>
    <row r="943">
      <c r="A943" s="37"/>
      <c r="B943" s="37"/>
      <c r="C943" s="37"/>
      <c r="D943" s="37"/>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7"/>
      <c r="AK943" s="37"/>
      <c r="AL943" s="37"/>
      <c r="AM943" s="37"/>
      <c r="AN943" s="37"/>
      <c r="AO943" s="39"/>
      <c r="AP943" s="40"/>
    </row>
    <row r="944">
      <c r="A944" s="37"/>
      <c r="B944" s="37"/>
      <c r="C944" s="37"/>
      <c r="D944" s="37"/>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7"/>
      <c r="AK944" s="37"/>
      <c r="AL944" s="37"/>
      <c r="AM944" s="37"/>
      <c r="AN944" s="37"/>
      <c r="AO944" s="39"/>
      <c r="AP944" s="40"/>
    </row>
    <row r="945">
      <c r="A945" s="37"/>
      <c r="B945" s="37"/>
      <c r="C945" s="37"/>
      <c r="D945" s="37"/>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7"/>
      <c r="AK945" s="37"/>
      <c r="AL945" s="37"/>
      <c r="AM945" s="37"/>
      <c r="AN945" s="37"/>
      <c r="AO945" s="39"/>
      <c r="AP945" s="40"/>
    </row>
    <row r="946">
      <c r="A946" s="37"/>
      <c r="B946" s="37"/>
      <c r="C946" s="37"/>
      <c r="D946" s="37"/>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7"/>
      <c r="AK946" s="37"/>
      <c r="AL946" s="37"/>
      <c r="AM946" s="37"/>
      <c r="AN946" s="37"/>
      <c r="AO946" s="39"/>
      <c r="AP946" s="40"/>
    </row>
    <row r="947">
      <c r="A947" s="37"/>
      <c r="B947" s="37"/>
      <c r="C947" s="37"/>
      <c r="D947" s="37"/>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7"/>
      <c r="AK947" s="37"/>
      <c r="AL947" s="37"/>
      <c r="AM947" s="37"/>
      <c r="AN947" s="37"/>
      <c r="AO947" s="39"/>
      <c r="AP947" s="40"/>
    </row>
    <row r="948">
      <c r="A948" s="37"/>
      <c r="B948" s="37"/>
      <c r="C948" s="37"/>
      <c r="D948" s="37"/>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7"/>
      <c r="AK948" s="37"/>
      <c r="AL948" s="37"/>
      <c r="AM948" s="37"/>
      <c r="AN948" s="37"/>
      <c r="AO948" s="39"/>
      <c r="AP948" s="40"/>
    </row>
    <row r="949">
      <c r="A949" s="37"/>
      <c r="B949" s="37"/>
      <c r="C949" s="37"/>
      <c r="D949" s="37"/>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7"/>
      <c r="AK949" s="37"/>
      <c r="AL949" s="37"/>
      <c r="AM949" s="37"/>
      <c r="AN949" s="37"/>
      <c r="AO949" s="39"/>
      <c r="AP949" s="40"/>
    </row>
    <row r="950">
      <c r="A950" s="37"/>
      <c r="B950" s="37"/>
      <c r="C950" s="37"/>
      <c r="D950" s="37"/>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7"/>
      <c r="AK950" s="37"/>
      <c r="AL950" s="37"/>
      <c r="AM950" s="37"/>
      <c r="AN950" s="37"/>
      <c r="AO950" s="39"/>
      <c r="AP950" s="40"/>
    </row>
    <row r="951">
      <c r="A951" s="37"/>
      <c r="B951" s="37"/>
      <c r="C951" s="37"/>
      <c r="D951" s="37"/>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7"/>
      <c r="AK951" s="37"/>
      <c r="AL951" s="37"/>
      <c r="AM951" s="37"/>
      <c r="AN951" s="37"/>
      <c r="AO951" s="39"/>
      <c r="AP951" s="40"/>
    </row>
    <row r="952">
      <c r="A952" s="37"/>
      <c r="B952" s="37"/>
      <c r="C952" s="37"/>
      <c r="D952" s="37"/>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7"/>
      <c r="AK952" s="37"/>
      <c r="AL952" s="37"/>
      <c r="AM952" s="37"/>
      <c r="AN952" s="37"/>
      <c r="AO952" s="39"/>
      <c r="AP952" s="40"/>
    </row>
    <row r="953">
      <c r="A953" s="37"/>
      <c r="B953" s="37"/>
      <c r="C953" s="37"/>
      <c r="D953" s="37"/>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7"/>
      <c r="AK953" s="37"/>
      <c r="AL953" s="37"/>
      <c r="AM953" s="37"/>
      <c r="AN953" s="37"/>
      <c r="AO953" s="39"/>
      <c r="AP953" s="40"/>
    </row>
    <row r="954">
      <c r="A954" s="37"/>
      <c r="B954" s="37"/>
      <c r="C954" s="37"/>
      <c r="D954" s="37"/>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7"/>
      <c r="AK954" s="37"/>
      <c r="AL954" s="37"/>
      <c r="AM954" s="37"/>
      <c r="AN954" s="37"/>
      <c r="AO954" s="39"/>
      <c r="AP954" s="40"/>
    </row>
    <row r="955">
      <c r="A955" s="37"/>
      <c r="B955" s="37"/>
      <c r="C955" s="37"/>
      <c r="D955" s="37"/>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7"/>
      <c r="AK955" s="37"/>
      <c r="AL955" s="37"/>
      <c r="AM955" s="37"/>
      <c r="AN955" s="37"/>
      <c r="AO955" s="39"/>
      <c r="AP955" s="40"/>
    </row>
    <row r="956">
      <c r="A956" s="37"/>
      <c r="B956" s="37"/>
      <c r="C956" s="37"/>
      <c r="D956" s="37"/>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7"/>
      <c r="AK956" s="37"/>
      <c r="AL956" s="37"/>
      <c r="AM956" s="37"/>
      <c r="AN956" s="37"/>
      <c r="AO956" s="39"/>
      <c r="AP956" s="40"/>
    </row>
    <row r="957">
      <c r="A957" s="37"/>
      <c r="B957" s="37"/>
      <c r="C957" s="37"/>
      <c r="D957" s="37"/>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7"/>
      <c r="AK957" s="37"/>
      <c r="AL957" s="37"/>
      <c r="AM957" s="37"/>
      <c r="AN957" s="37"/>
      <c r="AO957" s="39"/>
      <c r="AP957" s="40"/>
    </row>
    <row r="958">
      <c r="A958" s="37"/>
      <c r="B958" s="37"/>
      <c r="C958" s="37"/>
      <c r="D958" s="37"/>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7"/>
      <c r="AK958" s="37"/>
      <c r="AL958" s="37"/>
      <c r="AM958" s="37"/>
      <c r="AN958" s="37"/>
      <c r="AO958" s="39"/>
      <c r="AP958" s="40"/>
    </row>
    <row r="959">
      <c r="A959" s="37"/>
      <c r="B959" s="37"/>
      <c r="C959" s="37"/>
      <c r="D959" s="37"/>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7"/>
      <c r="AK959" s="37"/>
      <c r="AL959" s="37"/>
      <c r="AM959" s="37"/>
      <c r="AN959" s="37"/>
      <c r="AO959" s="39"/>
      <c r="AP959" s="40"/>
    </row>
    <row r="960">
      <c r="A960" s="37"/>
      <c r="B960" s="37"/>
      <c r="C960" s="37"/>
      <c r="D960" s="37"/>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7"/>
      <c r="AK960" s="37"/>
      <c r="AL960" s="37"/>
      <c r="AM960" s="37"/>
      <c r="AN960" s="37"/>
      <c r="AO960" s="39"/>
      <c r="AP960" s="40"/>
    </row>
    <row r="961">
      <c r="A961" s="37"/>
      <c r="B961" s="37"/>
      <c r="C961" s="37"/>
      <c r="D961" s="37"/>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7"/>
      <c r="AK961" s="37"/>
      <c r="AL961" s="37"/>
      <c r="AM961" s="37"/>
      <c r="AN961" s="37"/>
      <c r="AO961" s="39"/>
      <c r="AP961" s="40"/>
    </row>
    <row r="962">
      <c r="A962" s="37"/>
      <c r="B962" s="37"/>
      <c r="C962" s="37"/>
      <c r="D962" s="37"/>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7"/>
      <c r="AK962" s="37"/>
      <c r="AL962" s="37"/>
      <c r="AM962" s="37"/>
      <c r="AN962" s="37"/>
      <c r="AO962" s="39"/>
      <c r="AP962" s="40"/>
    </row>
    <row r="963">
      <c r="A963" s="37"/>
      <c r="B963" s="37"/>
      <c r="C963" s="37"/>
      <c r="D963" s="37"/>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7"/>
      <c r="AK963" s="37"/>
      <c r="AL963" s="37"/>
      <c r="AM963" s="37"/>
      <c r="AN963" s="37"/>
      <c r="AO963" s="39"/>
      <c r="AP963" s="40"/>
    </row>
    <row r="964">
      <c r="A964" s="37"/>
      <c r="B964" s="37"/>
      <c r="C964" s="37"/>
      <c r="D964" s="37"/>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7"/>
      <c r="AK964" s="37"/>
      <c r="AL964" s="37"/>
      <c r="AM964" s="37"/>
      <c r="AN964" s="37"/>
      <c r="AO964" s="39"/>
      <c r="AP964" s="40"/>
    </row>
    <row r="965">
      <c r="A965" s="37"/>
      <c r="B965" s="37"/>
      <c r="C965" s="37"/>
      <c r="D965" s="37"/>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7"/>
      <c r="AK965" s="37"/>
      <c r="AL965" s="37"/>
      <c r="AM965" s="37"/>
      <c r="AN965" s="37"/>
      <c r="AO965" s="39"/>
      <c r="AP965" s="40"/>
    </row>
    <row r="966">
      <c r="A966" s="37"/>
      <c r="B966" s="37"/>
      <c r="C966" s="37"/>
      <c r="D966" s="37"/>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7"/>
      <c r="AK966" s="37"/>
      <c r="AL966" s="37"/>
      <c r="AM966" s="37"/>
      <c r="AN966" s="37"/>
      <c r="AO966" s="39"/>
      <c r="AP966" s="40"/>
    </row>
    <row r="967">
      <c r="A967" s="37"/>
      <c r="B967" s="37"/>
      <c r="C967" s="37"/>
      <c r="D967" s="37"/>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7"/>
      <c r="AK967" s="37"/>
      <c r="AL967" s="37"/>
      <c r="AM967" s="37"/>
      <c r="AN967" s="37"/>
      <c r="AO967" s="39"/>
      <c r="AP967" s="40"/>
    </row>
    <row r="968">
      <c r="A968" s="37"/>
      <c r="B968" s="37"/>
      <c r="C968" s="37"/>
      <c r="D968" s="37"/>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7"/>
      <c r="AK968" s="37"/>
      <c r="AL968" s="37"/>
      <c r="AM968" s="37"/>
      <c r="AN968" s="37"/>
      <c r="AO968" s="39"/>
      <c r="AP968" s="40"/>
    </row>
    <row r="969">
      <c r="A969" s="37"/>
      <c r="B969" s="37"/>
      <c r="C969" s="37"/>
      <c r="D969" s="37"/>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7"/>
      <c r="AK969" s="37"/>
      <c r="AL969" s="37"/>
      <c r="AM969" s="37"/>
      <c r="AN969" s="37"/>
      <c r="AO969" s="39"/>
      <c r="AP969" s="40"/>
    </row>
    <row r="970">
      <c r="A970" s="37"/>
      <c r="B970" s="37"/>
      <c r="C970" s="37"/>
      <c r="D970" s="37"/>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7"/>
      <c r="AK970" s="37"/>
      <c r="AL970" s="37"/>
      <c r="AM970" s="37"/>
      <c r="AN970" s="37"/>
      <c r="AO970" s="39"/>
      <c r="AP970" s="40"/>
    </row>
    <row r="971">
      <c r="A971" s="37"/>
      <c r="B971" s="37"/>
      <c r="C971" s="37"/>
      <c r="D971" s="37"/>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7"/>
      <c r="AK971" s="37"/>
      <c r="AL971" s="37"/>
      <c r="AM971" s="37"/>
      <c r="AN971" s="37"/>
      <c r="AO971" s="39"/>
      <c r="AP971" s="40"/>
    </row>
    <row r="972">
      <c r="A972" s="37"/>
      <c r="B972" s="37"/>
      <c r="C972" s="37"/>
      <c r="D972" s="37"/>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7"/>
      <c r="AK972" s="37"/>
      <c r="AL972" s="37"/>
      <c r="AM972" s="37"/>
      <c r="AN972" s="37"/>
      <c r="AO972" s="39"/>
      <c r="AP972" s="40"/>
    </row>
    <row r="973">
      <c r="A973" s="37"/>
      <c r="B973" s="37"/>
      <c r="C973" s="37"/>
      <c r="D973" s="37"/>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7"/>
      <c r="AK973" s="37"/>
      <c r="AL973" s="37"/>
      <c r="AM973" s="37"/>
      <c r="AN973" s="37"/>
      <c r="AO973" s="39"/>
      <c r="AP973" s="40"/>
    </row>
    <row r="974">
      <c r="A974" s="37"/>
      <c r="B974" s="37"/>
      <c r="C974" s="37"/>
      <c r="D974" s="37"/>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7"/>
      <c r="AK974" s="37"/>
      <c r="AL974" s="37"/>
      <c r="AM974" s="37"/>
      <c r="AN974" s="37"/>
      <c r="AO974" s="39"/>
      <c r="AP974" s="40"/>
    </row>
    <row r="975">
      <c r="A975" s="37"/>
      <c r="B975" s="37"/>
      <c r="C975" s="37"/>
      <c r="D975" s="37"/>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7"/>
      <c r="AK975" s="37"/>
      <c r="AL975" s="37"/>
      <c r="AM975" s="37"/>
      <c r="AN975" s="37"/>
      <c r="AO975" s="39"/>
      <c r="AP975" s="40"/>
    </row>
    <row r="976">
      <c r="A976" s="37"/>
      <c r="B976" s="37"/>
      <c r="C976" s="37"/>
      <c r="D976" s="37"/>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7"/>
      <c r="AK976" s="37"/>
      <c r="AL976" s="37"/>
      <c r="AM976" s="37"/>
      <c r="AN976" s="37"/>
      <c r="AO976" s="39"/>
      <c r="AP976" s="40"/>
    </row>
    <row r="977">
      <c r="A977" s="37"/>
      <c r="B977" s="37"/>
      <c r="C977" s="37"/>
      <c r="D977" s="37"/>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7"/>
      <c r="AK977" s="37"/>
      <c r="AL977" s="37"/>
      <c r="AM977" s="37"/>
      <c r="AN977" s="37"/>
      <c r="AO977" s="39"/>
      <c r="AP977" s="40"/>
    </row>
    <row r="978">
      <c r="A978" s="37"/>
      <c r="B978" s="37"/>
      <c r="C978" s="37"/>
      <c r="D978" s="37"/>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7"/>
      <c r="AK978" s="37"/>
      <c r="AL978" s="37"/>
      <c r="AM978" s="37"/>
      <c r="AN978" s="37"/>
      <c r="AO978" s="39"/>
      <c r="AP978" s="40"/>
    </row>
    <row r="979">
      <c r="A979" s="37"/>
      <c r="B979" s="37"/>
      <c r="C979" s="37"/>
      <c r="D979" s="37"/>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7"/>
      <c r="AK979" s="37"/>
      <c r="AL979" s="37"/>
      <c r="AM979" s="37"/>
      <c r="AN979" s="37"/>
      <c r="AO979" s="39"/>
      <c r="AP979" s="40"/>
    </row>
    <row r="980">
      <c r="A980" s="37"/>
      <c r="B980" s="37"/>
      <c r="C980" s="37"/>
      <c r="D980" s="37"/>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7"/>
      <c r="AK980" s="37"/>
      <c r="AL980" s="37"/>
      <c r="AM980" s="37"/>
      <c r="AN980" s="37"/>
      <c r="AO980" s="39"/>
      <c r="AP980" s="40"/>
    </row>
    <row r="981">
      <c r="A981" s="37"/>
      <c r="B981" s="37"/>
      <c r="C981" s="37"/>
      <c r="D981" s="37"/>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7"/>
      <c r="AK981" s="37"/>
      <c r="AL981" s="37"/>
      <c r="AM981" s="37"/>
      <c r="AN981" s="37"/>
      <c r="AO981" s="39"/>
      <c r="AP981" s="40"/>
    </row>
    <row r="982">
      <c r="A982" s="37"/>
      <c r="B982" s="37"/>
      <c r="C982" s="37"/>
      <c r="D982" s="37"/>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7"/>
      <c r="AK982" s="37"/>
      <c r="AL982" s="37"/>
      <c r="AM982" s="37"/>
      <c r="AN982" s="37"/>
      <c r="AO982" s="39"/>
      <c r="AP982" s="40"/>
    </row>
    <row r="983">
      <c r="A983" s="37"/>
      <c r="B983" s="37"/>
      <c r="C983" s="37"/>
      <c r="D983" s="37"/>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7"/>
      <c r="AK983" s="37"/>
      <c r="AL983" s="37"/>
      <c r="AM983" s="37"/>
      <c r="AN983" s="37"/>
      <c r="AO983" s="39"/>
      <c r="AP983" s="40"/>
    </row>
    <row r="984">
      <c r="A984" s="37"/>
      <c r="B984" s="37"/>
      <c r="C984" s="37"/>
      <c r="D984" s="37"/>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7"/>
      <c r="AK984" s="37"/>
      <c r="AL984" s="37"/>
      <c r="AM984" s="37"/>
      <c r="AN984" s="37"/>
      <c r="AO984" s="39"/>
      <c r="AP984" s="40"/>
    </row>
    <row r="985">
      <c r="A985" s="37"/>
      <c r="B985" s="37"/>
      <c r="C985" s="37"/>
      <c r="D985" s="37"/>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7"/>
      <c r="AK985" s="37"/>
      <c r="AL985" s="37"/>
      <c r="AM985" s="37"/>
      <c r="AN985" s="37"/>
      <c r="AO985" s="39"/>
      <c r="AP985" s="40"/>
    </row>
    <row r="986">
      <c r="A986" s="37"/>
      <c r="B986" s="37"/>
      <c r="C986" s="37"/>
      <c r="D986" s="37"/>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7"/>
      <c r="AK986" s="37"/>
      <c r="AL986" s="37"/>
      <c r="AM986" s="37"/>
      <c r="AN986" s="37"/>
      <c r="AO986" s="39"/>
      <c r="AP986" s="40"/>
    </row>
    <row r="987">
      <c r="A987" s="37"/>
      <c r="B987" s="37"/>
      <c r="C987" s="37"/>
      <c r="D987" s="37"/>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7"/>
      <c r="AK987" s="37"/>
      <c r="AL987" s="37"/>
      <c r="AM987" s="37"/>
      <c r="AN987" s="37"/>
      <c r="AO987" s="39"/>
      <c r="AP987" s="40"/>
    </row>
    <row r="988">
      <c r="A988" s="37"/>
      <c r="B988" s="37"/>
      <c r="C988" s="37"/>
      <c r="D988" s="37"/>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7"/>
      <c r="AK988" s="37"/>
      <c r="AL988" s="37"/>
      <c r="AM988" s="37"/>
      <c r="AN988" s="37"/>
      <c r="AO988" s="39"/>
      <c r="AP988" s="40"/>
    </row>
    <row r="989">
      <c r="A989" s="37"/>
      <c r="B989" s="37"/>
      <c r="C989" s="37"/>
      <c r="D989" s="37"/>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7"/>
      <c r="AK989" s="37"/>
      <c r="AL989" s="37"/>
      <c r="AM989" s="37"/>
      <c r="AN989" s="37"/>
      <c r="AO989" s="39"/>
      <c r="AP989" s="40"/>
    </row>
    <row r="990">
      <c r="A990" s="37"/>
      <c r="B990" s="37"/>
      <c r="C990" s="37"/>
      <c r="D990" s="37"/>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7"/>
      <c r="AK990" s="37"/>
      <c r="AL990" s="37"/>
      <c r="AM990" s="37"/>
      <c r="AN990" s="37"/>
      <c r="AO990" s="39"/>
      <c r="AP990" s="40"/>
    </row>
    <row r="991">
      <c r="A991" s="37"/>
      <c r="B991" s="37"/>
      <c r="C991" s="37"/>
      <c r="D991" s="37"/>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7"/>
      <c r="AK991" s="37"/>
      <c r="AL991" s="37"/>
      <c r="AM991" s="37"/>
      <c r="AN991" s="37"/>
      <c r="AO991" s="39"/>
      <c r="AP991" s="40"/>
    </row>
    <row r="992">
      <c r="A992" s="37"/>
      <c r="B992" s="37"/>
      <c r="C992" s="37"/>
      <c r="D992" s="37"/>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7"/>
      <c r="AK992" s="37"/>
      <c r="AL992" s="37"/>
      <c r="AM992" s="37"/>
      <c r="AN992" s="37"/>
      <c r="AO992" s="39"/>
      <c r="AP992" s="40"/>
    </row>
    <row r="993">
      <c r="A993" s="37"/>
      <c r="B993" s="37"/>
      <c r="C993" s="37"/>
      <c r="D993" s="37"/>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7"/>
      <c r="AK993" s="37"/>
      <c r="AL993" s="37"/>
      <c r="AM993" s="37"/>
      <c r="AN993" s="37"/>
      <c r="AO993" s="39"/>
      <c r="AP993" s="40"/>
    </row>
    <row r="994">
      <c r="A994" s="37"/>
      <c r="B994" s="37"/>
      <c r="C994" s="37"/>
      <c r="D994" s="37"/>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7"/>
      <c r="AK994" s="37"/>
      <c r="AL994" s="37"/>
      <c r="AM994" s="37"/>
      <c r="AN994" s="37"/>
      <c r="AO994" s="39"/>
      <c r="AP994" s="40"/>
    </row>
    <row r="995">
      <c r="A995" s="37"/>
      <c r="B995" s="37"/>
      <c r="C995" s="37"/>
      <c r="D995" s="37"/>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7"/>
      <c r="AK995" s="37"/>
      <c r="AL995" s="37"/>
      <c r="AM995" s="37"/>
      <c r="AN995" s="37"/>
      <c r="AO995" s="39"/>
      <c r="AP995" s="40"/>
    </row>
    <row r="996">
      <c r="A996" s="37"/>
      <c r="B996" s="37"/>
      <c r="C996" s="37"/>
      <c r="D996" s="37"/>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7"/>
      <c r="AK996" s="37"/>
      <c r="AL996" s="37"/>
      <c r="AM996" s="37"/>
      <c r="AN996" s="37"/>
      <c r="AO996" s="39"/>
      <c r="AP996" s="40"/>
    </row>
    <row r="997">
      <c r="A997" s="37"/>
      <c r="B997" s="37"/>
      <c r="C997" s="37"/>
      <c r="D997" s="37"/>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7"/>
      <c r="AK997" s="37"/>
      <c r="AL997" s="37"/>
      <c r="AM997" s="37"/>
      <c r="AN997" s="37"/>
      <c r="AO997" s="39"/>
      <c r="AP997" s="40"/>
    </row>
    <row r="998">
      <c r="A998" s="37"/>
      <c r="B998" s="37"/>
      <c r="C998" s="37"/>
      <c r="D998" s="37"/>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7"/>
      <c r="AK998" s="37"/>
      <c r="AL998" s="37"/>
      <c r="AM998" s="37"/>
      <c r="AN998" s="37"/>
      <c r="AO998" s="39"/>
      <c r="AP998" s="40"/>
    </row>
    <row r="999">
      <c r="A999" s="37"/>
      <c r="B999" s="37"/>
      <c r="C999" s="37"/>
      <c r="D999" s="37"/>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7"/>
      <c r="AK999" s="37"/>
      <c r="AL999" s="37"/>
      <c r="AM999" s="37"/>
      <c r="AN999" s="37"/>
      <c r="AO999" s="39"/>
      <c r="AP999" s="40"/>
    </row>
    <row r="1000">
      <c r="A1000" s="37"/>
      <c r="B1000" s="37"/>
      <c r="C1000" s="37"/>
      <c r="D1000" s="37"/>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7"/>
      <c r="AK1000" s="37"/>
      <c r="AL1000" s="37"/>
      <c r="AM1000" s="37"/>
      <c r="AN1000" s="37"/>
      <c r="AO1000" s="39"/>
      <c r="AP1000" s="40"/>
    </row>
    <row r="1001">
      <c r="A1001" s="37"/>
      <c r="B1001" s="37"/>
      <c r="C1001" s="37"/>
      <c r="D1001" s="37"/>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7"/>
      <c r="AK1001" s="37"/>
      <c r="AL1001" s="37"/>
      <c r="AM1001" s="37"/>
      <c r="AN1001" s="37"/>
      <c r="AO1001" s="39"/>
      <c r="AP1001" s="40"/>
    </row>
    <row r="1002">
      <c r="A1002" s="37"/>
      <c r="B1002" s="37"/>
      <c r="C1002" s="37"/>
      <c r="D1002" s="37"/>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7"/>
      <c r="AK1002" s="37"/>
      <c r="AL1002" s="37"/>
      <c r="AM1002" s="37"/>
      <c r="AN1002" s="37"/>
      <c r="AO1002" s="39"/>
      <c r="AP1002" s="40"/>
    </row>
    <row r="1003">
      <c r="A1003" s="37"/>
      <c r="B1003" s="37"/>
      <c r="C1003" s="37"/>
      <c r="D1003" s="37"/>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7"/>
      <c r="AK1003" s="37"/>
      <c r="AL1003" s="37"/>
      <c r="AM1003" s="37"/>
      <c r="AN1003" s="37"/>
      <c r="AO1003" s="39"/>
      <c r="AP1003" s="40"/>
    </row>
    <row r="1004">
      <c r="A1004" s="37"/>
      <c r="B1004" s="37"/>
      <c r="C1004" s="37"/>
      <c r="D1004" s="37"/>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7"/>
      <c r="AK1004" s="37"/>
      <c r="AL1004" s="37"/>
      <c r="AM1004" s="37"/>
      <c r="AN1004" s="37"/>
      <c r="AO1004" s="39"/>
      <c r="AP1004" s="40"/>
    </row>
    <row r="1005">
      <c r="A1005" s="37"/>
      <c r="B1005" s="37"/>
      <c r="C1005" s="37"/>
      <c r="D1005" s="37"/>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7"/>
      <c r="AK1005" s="37"/>
      <c r="AL1005" s="37"/>
      <c r="AM1005" s="37"/>
      <c r="AN1005" s="37"/>
      <c r="AO1005" s="39"/>
      <c r="AP1005" s="40"/>
    </row>
    <row r="1006">
      <c r="A1006" s="37"/>
      <c r="B1006" s="37"/>
      <c r="C1006" s="37"/>
      <c r="D1006" s="37"/>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7"/>
      <c r="AK1006" s="37"/>
      <c r="AL1006" s="37"/>
      <c r="AM1006" s="37"/>
      <c r="AN1006" s="37"/>
      <c r="AO1006" s="39"/>
      <c r="AP1006" s="40"/>
    </row>
    <row r="1007">
      <c r="A1007" s="37"/>
      <c r="B1007" s="37"/>
      <c r="C1007" s="37"/>
      <c r="D1007" s="37"/>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7"/>
      <c r="AK1007" s="37"/>
      <c r="AL1007" s="37"/>
      <c r="AM1007" s="37"/>
      <c r="AN1007" s="37"/>
      <c r="AO1007" s="39"/>
      <c r="AP1007" s="40"/>
    </row>
    <row r="1008">
      <c r="A1008" s="37"/>
      <c r="B1008" s="37"/>
      <c r="C1008" s="37"/>
      <c r="D1008" s="37"/>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7"/>
      <c r="AK1008" s="37"/>
      <c r="AL1008" s="37"/>
      <c r="AM1008" s="37"/>
      <c r="AN1008" s="37"/>
      <c r="AO1008" s="39"/>
      <c r="AP1008" s="40"/>
    </row>
    <row r="1009">
      <c r="A1009" s="37"/>
      <c r="B1009" s="37"/>
      <c r="C1009" s="37"/>
      <c r="D1009" s="37"/>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7"/>
      <c r="AK1009" s="37"/>
      <c r="AL1009" s="37"/>
      <c r="AM1009" s="37"/>
      <c r="AN1009" s="37"/>
      <c r="AO1009" s="39"/>
      <c r="AP1009" s="40"/>
    </row>
    <row r="1010">
      <c r="A1010" s="37"/>
      <c r="B1010" s="37"/>
      <c r="C1010" s="37"/>
      <c r="D1010" s="37"/>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7"/>
      <c r="AK1010" s="37"/>
      <c r="AL1010" s="37"/>
      <c r="AM1010" s="37"/>
      <c r="AN1010" s="37"/>
      <c r="AO1010" s="39"/>
      <c r="AP1010" s="40"/>
    </row>
    <row r="1011">
      <c r="A1011" s="37"/>
      <c r="B1011" s="37"/>
      <c r="C1011" s="37"/>
      <c r="D1011" s="37"/>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7"/>
      <c r="AK1011" s="37"/>
      <c r="AL1011" s="37"/>
      <c r="AM1011" s="37"/>
      <c r="AN1011" s="37"/>
      <c r="AO1011" s="39"/>
      <c r="AP1011" s="40"/>
    </row>
    <row r="1012">
      <c r="A1012" s="37"/>
      <c r="B1012" s="37"/>
      <c r="C1012" s="37"/>
      <c r="D1012" s="37"/>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7"/>
      <c r="AK1012" s="37"/>
      <c r="AL1012" s="37"/>
      <c r="AM1012" s="37"/>
      <c r="AN1012" s="37"/>
      <c r="AO1012" s="39"/>
      <c r="AP1012" s="40"/>
    </row>
    <row r="1013">
      <c r="A1013" s="37"/>
      <c r="B1013" s="37"/>
      <c r="C1013" s="37"/>
      <c r="D1013" s="37"/>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7"/>
      <c r="AK1013" s="37"/>
      <c r="AL1013" s="37"/>
      <c r="AM1013" s="37"/>
      <c r="AN1013" s="37"/>
      <c r="AO1013" s="39"/>
      <c r="AP1013" s="40"/>
    </row>
    <row r="1014">
      <c r="A1014" s="37"/>
      <c r="B1014" s="37"/>
      <c r="C1014" s="37"/>
      <c r="D1014" s="37"/>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7"/>
      <c r="AK1014" s="37"/>
      <c r="AL1014" s="37"/>
      <c r="AM1014" s="37"/>
      <c r="AN1014" s="37"/>
      <c r="AO1014" s="39"/>
      <c r="AP1014" s="40"/>
    </row>
    <row r="1015">
      <c r="A1015" s="37"/>
      <c r="B1015" s="37"/>
      <c r="C1015" s="37"/>
      <c r="D1015" s="37"/>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7"/>
      <c r="AK1015" s="37"/>
      <c r="AL1015" s="37"/>
      <c r="AM1015" s="37"/>
      <c r="AN1015" s="37"/>
      <c r="AO1015" s="39"/>
      <c r="AP1015" s="40"/>
    </row>
    <row r="1016">
      <c r="A1016" s="37"/>
      <c r="B1016" s="37"/>
      <c r="C1016" s="37"/>
      <c r="D1016" s="37"/>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7"/>
      <c r="AK1016" s="37"/>
      <c r="AL1016" s="37"/>
      <c r="AM1016" s="37"/>
      <c r="AN1016" s="37"/>
      <c r="AO1016" s="39"/>
      <c r="AP1016" s="40"/>
    </row>
    <row r="1017">
      <c r="A1017" s="37"/>
      <c r="B1017" s="37"/>
      <c r="C1017" s="37"/>
      <c r="D1017" s="37"/>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7"/>
      <c r="AK1017" s="37"/>
      <c r="AL1017" s="37"/>
      <c r="AM1017" s="37"/>
      <c r="AN1017" s="37"/>
      <c r="AO1017" s="39"/>
      <c r="AP1017" s="40"/>
    </row>
    <row r="1018">
      <c r="A1018" s="37"/>
      <c r="B1018" s="37"/>
      <c r="C1018" s="37"/>
      <c r="D1018" s="37"/>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7"/>
      <c r="AK1018" s="37"/>
      <c r="AL1018" s="37"/>
      <c r="AM1018" s="37"/>
      <c r="AN1018" s="37"/>
      <c r="AO1018" s="39"/>
      <c r="AP1018" s="40"/>
    </row>
    <row r="1019">
      <c r="A1019" s="37"/>
      <c r="B1019" s="37"/>
      <c r="C1019" s="37"/>
      <c r="D1019" s="37"/>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7"/>
      <c r="AK1019" s="37"/>
      <c r="AL1019" s="37"/>
      <c r="AM1019" s="37"/>
      <c r="AN1019" s="37"/>
      <c r="AO1019" s="39"/>
      <c r="AP1019" s="40"/>
    </row>
    <row r="1020">
      <c r="A1020" s="37"/>
      <c r="B1020" s="37"/>
      <c r="C1020" s="37"/>
      <c r="D1020" s="37"/>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7"/>
      <c r="AK1020" s="37"/>
      <c r="AL1020" s="37"/>
      <c r="AM1020" s="37"/>
      <c r="AN1020" s="37"/>
      <c r="AO1020" s="39"/>
      <c r="AP1020" s="40"/>
    </row>
    <row r="1021">
      <c r="A1021" s="37"/>
      <c r="B1021" s="37"/>
      <c r="C1021" s="37"/>
      <c r="D1021" s="37"/>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7"/>
      <c r="AK1021" s="37"/>
      <c r="AL1021" s="37"/>
      <c r="AM1021" s="37"/>
      <c r="AN1021" s="37"/>
      <c r="AO1021" s="39"/>
      <c r="AP1021" s="40"/>
    </row>
  </sheetData>
  <autoFilter ref="$A$2:$H$14">
    <sortState ref="A2:H14">
      <sortCondition ref="D2:D14"/>
    </sortState>
  </autoFilter>
  <mergeCells count="4">
    <mergeCell ref="I1:O1"/>
    <mergeCell ref="P1:V1"/>
    <mergeCell ref="W1:AD1"/>
    <mergeCell ref="AE1:AL1"/>
  </mergeCells>
  <conditionalFormatting sqref="H3:H38">
    <cfRule type="colorScale" priority="1">
      <colorScale>
        <cfvo type="formula" val="0"/>
        <cfvo type="max"/>
        <color rgb="FFFFFFFF"/>
        <color rgb="FFE67C73"/>
      </colorScale>
    </cfRule>
  </conditionalFormatting>
  <dataValidations>
    <dataValidation type="list" allowBlank="1" showErrorMessage="1" sqref="D3:D38">
      <formula1>"Acolhimento,Caminho ,Pistas,Trilha,Rumo,Travessia,Lis de Ouro"</formula1>
    </dataValidation>
    <dataValidation type="list" allowBlank="1" showErrorMessage="1" sqref="B3:B38">
      <formula1>"Chefe 1,Chefe 2,Chefe 3,Chefe 4"</formula1>
    </dataValidation>
    <dataValidation type="list" allowBlank="1" showErrorMessage="1" sqref="C3:C38">
      <formula1>"Patrulha 1,Patrulha 2,Patrulha 3,Patrulha 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67</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44:M44"/>
    <mergeCell ref="I45:M45"/>
    <mergeCell ref="I37:M37"/>
    <mergeCell ref="I38:M38"/>
    <mergeCell ref="I39:M39"/>
    <mergeCell ref="I40:M40"/>
    <mergeCell ref="I41:M41"/>
    <mergeCell ref="I42:M42"/>
    <mergeCell ref="I43:M43"/>
    <mergeCell ref="I47:M47"/>
    <mergeCell ref="I48:M48"/>
    <mergeCell ref="C43:G43"/>
    <mergeCell ref="C44:G44"/>
    <mergeCell ref="C45:G45"/>
    <mergeCell ref="C46:G46"/>
    <mergeCell ref="I46:M46"/>
    <mergeCell ref="C47:G47"/>
    <mergeCell ref="C48:G48"/>
    <mergeCell ref="C52:G52"/>
    <mergeCell ref="C53:G53"/>
    <mergeCell ref="C54:G54"/>
    <mergeCell ref="C49:G49"/>
    <mergeCell ref="I49:M49"/>
    <mergeCell ref="C50:G50"/>
    <mergeCell ref="I50:M50"/>
    <mergeCell ref="C51:G51"/>
    <mergeCell ref="I51:M51"/>
    <mergeCell ref="I52:M52"/>
    <mergeCell ref="C57:G57"/>
    <mergeCell ref="C58:G58"/>
    <mergeCell ref="C59:G59"/>
    <mergeCell ref="I53:M53"/>
    <mergeCell ref="I54:M54"/>
    <mergeCell ref="C55:G55"/>
    <mergeCell ref="I55:M55"/>
    <mergeCell ref="C56:G56"/>
    <mergeCell ref="I56:M56"/>
    <mergeCell ref="I57:M57"/>
    <mergeCell ref="C62:G62"/>
    <mergeCell ref="C63:G63"/>
    <mergeCell ref="C64:G64"/>
    <mergeCell ref="I58:M58"/>
    <mergeCell ref="I59:M59"/>
    <mergeCell ref="C60:G60"/>
    <mergeCell ref="I60:M60"/>
    <mergeCell ref="C61:G61"/>
    <mergeCell ref="I61:M61"/>
    <mergeCell ref="I62:M62"/>
    <mergeCell ref="C67:G67"/>
    <mergeCell ref="C68:G68"/>
    <mergeCell ref="C69:G69"/>
    <mergeCell ref="I63:M63"/>
    <mergeCell ref="I64:M64"/>
    <mergeCell ref="C65:G65"/>
    <mergeCell ref="I65:M65"/>
    <mergeCell ref="C66:G66"/>
    <mergeCell ref="I66:M66"/>
    <mergeCell ref="I67:M67"/>
    <mergeCell ref="C72:G72"/>
    <mergeCell ref="C73:G73"/>
    <mergeCell ref="C74:G74"/>
    <mergeCell ref="I68:M68"/>
    <mergeCell ref="I69:M69"/>
    <mergeCell ref="C70:G70"/>
    <mergeCell ref="I70:M70"/>
    <mergeCell ref="C71:G71"/>
    <mergeCell ref="I71:M71"/>
    <mergeCell ref="I72:M72"/>
    <mergeCell ref="C77:G77"/>
    <mergeCell ref="C78:G78"/>
    <mergeCell ref="C79:G79"/>
    <mergeCell ref="I73:M73"/>
    <mergeCell ref="I74:M74"/>
    <mergeCell ref="C75:G75"/>
    <mergeCell ref="I75:M75"/>
    <mergeCell ref="C76:G76"/>
    <mergeCell ref="I76:M76"/>
    <mergeCell ref="I77:M77"/>
    <mergeCell ref="C82:G82"/>
    <mergeCell ref="C83:G83"/>
    <mergeCell ref="C84:G84"/>
    <mergeCell ref="I78:M78"/>
    <mergeCell ref="I79:M79"/>
    <mergeCell ref="C80:G80"/>
    <mergeCell ref="I80:M80"/>
    <mergeCell ref="C81:G81"/>
    <mergeCell ref="I81:M81"/>
    <mergeCell ref="I82:M82"/>
    <mergeCell ref="C87:G87"/>
    <mergeCell ref="C88:G88"/>
    <mergeCell ref="C89:G89"/>
    <mergeCell ref="I83:M83"/>
    <mergeCell ref="I84:M84"/>
    <mergeCell ref="C85:G85"/>
    <mergeCell ref="I85:M85"/>
    <mergeCell ref="C86:G86"/>
    <mergeCell ref="I86:M86"/>
    <mergeCell ref="I87:M87"/>
    <mergeCell ref="C92:G92"/>
    <mergeCell ref="C93:G93"/>
    <mergeCell ref="C94:G94"/>
    <mergeCell ref="I88:M88"/>
    <mergeCell ref="I89:M89"/>
    <mergeCell ref="C90:G90"/>
    <mergeCell ref="I90:M90"/>
    <mergeCell ref="C91:G91"/>
    <mergeCell ref="I91:M91"/>
    <mergeCell ref="I92:M92"/>
    <mergeCell ref="C97:G97"/>
    <mergeCell ref="C98:G98"/>
    <mergeCell ref="C99:G99"/>
    <mergeCell ref="I93:M93"/>
    <mergeCell ref="I94:M94"/>
    <mergeCell ref="C95:G95"/>
    <mergeCell ref="I95:M95"/>
    <mergeCell ref="C96:G96"/>
    <mergeCell ref="I96:M96"/>
    <mergeCell ref="I97:M97"/>
    <mergeCell ref="C102:G102"/>
    <mergeCell ref="C103:G103"/>
    <mergeCell ref="C104:G104"/>
    <mergeCell ref="I98:M98"/>
    <mergeCell ref="I99:M99"/>
    <mergeCell ref="C100:G100"/>
    <mergeCell ref="I100:M100"/>
    <mergeCell ref="C101:G101"/>
    <mergeCell ref="I101:M101"/>
    <mergeCell ref="I102:M102"/>
    <mergeCell ref="C107:G107"/>
    <mergeCell ref="C108:G108"/>
    <mergeCell ref="C109:G109"/>
    <mergeCell ref="I103:M103"/>
    <mergeCell ref="I104:M104"/>
    <mergeCell ref="C105:G105"/>
    <mergeCell ref="I105:M105"/>
    <mergeCell ref="C106:G106"/>
    <mergeCell ref="I106:M106"/>
    <mergeCell ref="I107:M107"/>
    <mergeCell ref="C112:G112"/>
    <mergeCell ref="C113:G113"/>
    <mergeCell ref="C114:G114"/>
    <mergeCell ref="I108:M108"/>
    <mergeCell ref="I109:M109"/>
    <mergeCell ref="C110:G110"/>
    <mergeCell ref="I110:M110"/>
    <mergeCell ref="C111:G111"/>
    <mergeCell ref="I111:M111"/>
    <mergeCell ref="I112:M112"/>
    <mergeCell ref="C117:G117"/>
    <mergeCell ref="C118:G118"/>
    <mergeCell ref="C119:G119"/>
    <mergeCell ref="I113:M113"/>
    <mergeCell ref="I114:M114"/>
    <mergeCell ref="C115:G115"/>
    <mergeCell ref="I115:M115"/>
    <mergeCell ref="C116:G116"/>
    <mergeCell ref="I116:M116"/>
    <mergeCell ref="I117:M117"/>
    <mergeCell ref="C122:G122"/>
    <mergeCell ref="C123:G123"/>
    <mergeCell ref="C124:G124"/>
    <mergeCell ref="I118:M118"/>
    <mergeCell ref="I119:M119"/>
    <mergeCell ref="C120:G120"/>
    <mergeCell ref="I120:M120"/>
    <mergeCell ref="C121:G121"/>
    <mergeCell ref="I121:M121"/>
    <mergeCell ref="I122:M122"/>
    <mergeCell ref="C127:G127"/>
    <mergeCell ref="C128:G128"/>
    <mergeCell ref="C129:G129"/>
    <mergeCell ref="I123:M123"/>
    <mergeCell ref="I124:M124"/>
    <mergeCell ref="C125:G125"/>
    <mergeCell ref="I125:M125"/>
    <mergeCell ref="C126:G126"/>
    <mergeCell ref="I126:M126"/>
    <mergeCell ref="I127:M127"/>
    <mergeCell ref="C132:G132"/>
    <mergeCell ref="C133:G133"/>
    <mergeCell ref="C134:G134"/>
    <mergeCell ref="I128:M128"/>
    <mergeCell ref="I129:M129"/>
    <mergeCell ref="C130:G130"/>
    <mergeCell ref="I130:M130"/>
    <mergeCell ref="C131:G131"/>
    <mergeCell ref="I131:M131"/>
    <mergeCell ref="I132:M132"/>
    <mergeCell ref="C137:G137"/>
    <mergeCell ref="C138:G138"/>
    <mergeCell ref="C139:G139"/>
    <mergeCell ref="I133:M133"/>
    <mergeCell ref="I134:M134"/>
    <mergeCell ref="C135:G135"/>
    <mergeCell ref="I135:M135"/>
    <mergeCell ref="C136:G136"/>
    <mergeCell ref="I136:M136"/>
    <mergeCell ref="I137:M137"/>
    <mergeCell ref="C142:G142"/>
    <mergeCell ref="C143:G143"/>
    <mergeCell ref="C144:G144"/>
    <mergeCell ref="I138:M138"/>
    <mergeCell ref="I139:M139"/>
    <mergeCell ref="C140:G140"/>
    <mergeCell ref="I140:M140"/>
    <mergeCell ref="C141:G141"/>
    <mergeCell ref="I141:M141"/>
    <mergeCell ref="I142:M142"/>
    <mergeCell ref="C147:G147"/>
    <mergeCell ref="C148:G148"/>
    <mergeCell ref="C149:G149"/>
    <mergeCell ref="I143:M143"/>
    <mergeCell ref="I144:M144"/>
    <mergeCell ref="C145:G145"/>
    <mergeCell ref="I145:M145"/>
    <mergeCell ref="C146:G146"/>
    <mergeCell ref="I146:M146"/>
    <mergeCell ref="I147:M147"/>
    <mergeCell ref="C152:G152"/>
    <mergeCell ref="C153:G153"/>
    <mergeCell ref="C154:G154"/>
    <mergeCell ref="I148:M148"/>
    <mergeCell ref="I149:M149"/>
    <mergeCell ref="C150:G150"/>
    <mergeCell ref="I150:M150"/>
    <mergeCell ref="C151:G151"/>
    <mergeCell ref="I151:M151"/>
    <mergeCell ref="I152:M152"/>
    <mergeCell ref="C157:G157"/>
    <mergeCell ref="C158:G158"/>
    <mergeCell ref="C159:G159"/>
    <mergeCell ref="I153:M153"/>
    <mergeCell ref="I154:M154"/>
    <mergeCell ref="C155:G155"/>
    <mergeCell ref="I155:M155"/>
    <mergeCell ref="C156:G156"/>
    <mergeCell ref="I156:M156"/>
    <mergeCell ref="I157:M157"/>
    <mergeCell ref="C162:G162"/>
    <mergeCell ref="C163:G163"/>
    <mergeCell ref="C164:G164"/>
    <mergeCell ref="I158:M158"/>
    <mergeCell ref="I159:M159"/>
    <mergeCell ref="C160:G160"/>
    <mergeCell ref="I160:M160"/>
    <mergeCell ref="C161:G161"/>
    <mergeCell ref="I161:M161"/>
    <mergeCell ref="I162:M162"/>
    <mergeCell ref="C167:G167"/>
    <mergeCell ref="C168:G168"/>
    <mergeCell ref="C169:G169"/>
    <mergeCell ref="I163:M163"/>
    <mergeCell ref="I164:M164"/>
    <mergeCell ref="C165:G165"/>
    <mergeCell ref="I165:M165"/>
    <mergeCell ref="C166:G166"/>
    <mergeCell ref="I166:M166"/>
    <mergeCell ref="I167:M167"/>
    <mergeCell ref="C172:G172"/>
    <mergeCell ref="C173:G173"/>
    <mergeCell ref="C174:G174"/>
    <mergeCell ref="I168:M168"/>
    <mergeCell ref="I169:M169"/>
    <mergeCell ref="C170:G170"/>
    <mergeCell ref="I170:M170"/>
    <mergeCell ref="C171:G171"/>
    <mergeCell ref="I171:M171"/>
    <mergeCell ref="I172:M172"/>
    <mergeCell ref="C177:G177"/>
    <mergeCell ref="C178:G178"/>
    <mergeCell ref="C179:G179"/>
    <mergeCell ref="I173:M173"/>
    <mergeCell ref="I174:M174"/>
    <mergeCell ref="C175:G175"/>
    <mergeCell ref="I175:M175"/>
    <mergeCell ref="C176:G176"/>
    <mergeCell ref="I176:M176"/>
    <mergeCell ref="I177:M177"/>
    <mergeCell ref="C217:G217"/>
    <mergeCell ref="C218:G218"/>
    <mergeCell ref="C219:G219"/>
    <mergeCell ref="I213:M213"/>
    <mergeCell ref="I214:M214"/>
    <mergeCell ref="C215:G215"/>
    <mergeCell ref="I215:M215"/>
    <mergeCell ref="C216:G216"/>
    <mergeCell ref="I216:M216"/>
    <mergeCell ref="I217:M217"/>
    <mergeCell ref="C222:G222"/>
    <mergeCell ref="C223:G223"/>
    <mergeCell ref="C224:G224"/>
    <mergeCell ref="I218:M218"/>
    <mergeCell ref="I219:M219"/>
    <mergeCell ref="C220:G220"/>
    <mergeCell ref="I220:M220"/>
    <mergeCell ref="C221:G221"/>
    <mergeCell ref="I221:M221"/>
    <mergeCell ref="I222:M222"/>
    <mergeCell ref="C227:G227"/>
    <mergeCell ref="C228:G228"/>
    <mergeCell ref="C229:G229"/>
    <mergeCell ref="I223:M223"/>
    <mergeCell ref="I224:M224"/>
    <mergeCell ref="C225:G225"/>
    <mergeCell ref="I225:M225"/>
    <mergeCell ref="C226:G226"/>
    <mergeCell ref="I226:M226"/>
    <mergeCell ref="I227:M227"/>
    <mergeCell ref="C232:G232"/>
    <mergeCell ref="C233:G233"/>
    <mergeCell ref="C234:G234"/>
    <mergeCell ref="I228:M228"/>
    <mergeCell ref="I229:M229"/>
    <mergeCell ref="C230:G230"/>
    <mergeCell ref="I230:M230"/>
    <mergeCell ref="C231:G231"/>
    <mergeCell ref="I231:M231"/>
    <mergeCell ref="I232:M232"/>
    <mergeCell ref="C237:G237"/>
    <mergeCell ref="C238:G238"/>
    <mergeCell ref="C239:G239"/>
    <mergeCell ref="I233:M233"/>
    <mergeCell ref="I234:M234"/>
    <mergeCell ref="C235:G235"/>
    <mergeCell ref="I235:M235"/>
    <mergeCell ref="C236:G236"/>
    <mergeCell ref="I236:M236"/>
    <mergeCell ref="I237:M237"/>
    <mergeCell ref="C242:G242"/>
    <mergeCell ref="C243:G243"/>
    <mergeCell ref="C244:G244"/>
    <mergeCell ref="I238:M238"/>
    <mergeCell ref="I239:M239"/>
    <mergeCell ref="C240:G240"/>
    <mergeCell ref="I240:M240"/>
    <mergeCell ref="C241:G241"/>
    <mergeCell ref="I241:M241"/>
    <mergeCell ref="I242:M242"/>
    <mergeCell ref="C247:G247"/>
    <mergeCell ref="C248:G248"/>
    <mergeCell ref="C249:G249"/>
    <mergeCell ref="I243:M243"/>
    <mergeCell ref="I244:M244"/>
    <mergeCell ref="C245:G245"/>
    <mergeCell ref="I245:M245"/>
    <mergeCell ref="C246:G246"/>
    <mergeCell ref="I246:M246"/>
    <mergeCell ref="I247:M247"/>
    <mergeCell ref="I24:M24"/>
    <mergeCell ref="I25:M25"/>
    <mergeCell ref="C1:J1"/>
    <mergeCell ref="C2:G2"/>
    <mergeCell ref="H2:L2"/>
    <mergeCell ref="C23:G23"/>
    <mergeCell ref="I23:M23"/>
    <mergeCell ref="C24:G24"/>
    <mergeCell ref="C25:G25"/>
    <mergeCell ref="C26:G26"/>
    <mergeCell ref="I26:M26"/>
    <mergeCell ref="C27:G27"/>
    <mergeCell ref="I27:M27"/>
    <mergeCell ref="C28:G28"/>
    <mergeCell ref="I28:M28"/>
    <mergeCell ref="I29:M29"/>
    <mergeCell ref="C29:G29"/>
    <mergeCell ref="C30:G30"/>
    <mergeCell ref="C31:G31"/>
    <mergeCell ref="C32:G32"/>
    <mergeCell ref="C33:G33"/>
    <mergeCell ref="C34:G34"/>
    <mergeCell ref="C35:G35"/>
    <mergeCell ref="I30:M30"/>
    <mergeCell ref="I31:M31"/>
    <mergeCell ref="I32:M32"/>
    <mergeCell ref="I33:M33"/>
    <mergeCell ref="I34:M34"/>
    <mergeCell ref="I35:M35"/>
    <mergeCell ref="I36:M36"/>
    <mergeCell ref="C36:G36"/>
    <mergeCell ref="C37:G37"/>
    <mergeCell ref="C38:G38"/>
    <mergeCell ref="C39:G39"/>
    <mergeCell ref="C40:G40"/>
    <mergeCell ref="C41:G41"/>
    <mergeCell ref="C42:G42"/>
    <mergeCell ref="I248:M248"/>
    <mergeCell ref="I249:M249"/>
    <mergeCell ref="C182:G182"/>
    <mergeCell ref="C183:G183"/>
    <mergeCell ref="C184:G184"/>
    <mergeCell ref="I178:M178"/>
    <mergeCell ref="I179:M179"/>
    <mergeCell ref="C180:G180"/>
    <mergeCell ref="I180:M180"/>
    <mergeCell ref="C181:G181"/>
    <mergeCell ref="I181:M181"/>
    <mergeCell ref="I182:M182"/>
    <mergeCell ref="C187:G187"/>
    <mergeCell ref="C188:G188"/>
    <mergeCell ref="C189:G189"/>
    <mergeCell ref="I183:M183"/>
    <mergeCell ref="I184:M184"/>
    <mergeCell ref="C185:G185"/>
    <mergeCell ref="I185:M185"/>
    <mergeCell ref="C186:G186"/>
    <mergeCell ref="I186:M186"/>
    <mergeCell ref="I187:M187"/>
    <mergeCell ref="C192:G192"/>
    <mergeCell ref="C193:G193"/>
    <mergeCell ref="C194:G194"/>
    <mergeCell ref="I188:M188"/>
    <mergeCell ref="I189:M189"/>
    <mergeCell ref="C190:G190"/>
    <mergeCell ref="I190:M190"/>
    <mergeCell ref="C191:G191"/>
    <mergeCell ref="I191:M191"/>
    <mergeCell ref="I192:M192"/>
    <mergeCell ref="C197:G197"/>
    <mergeCell ref="C198:G198"/>
    <mergeCell ref="C199:G199"/>
    <mergeCell ref="I193:M193"/>
    <mergeCell ref="I194:M194"/>
    <mergeCell ref="C195:G195"/>
    <mergeCell ref="I195:M195"/>
    <mergeCell ref="C196:G196"/>
    <mergeCell ref="I196:M196"/>
    <mergeCell ref="I197:M197"/>
    <mergeCell ref="C202:G202"/>
    <mergeCell ref="C203:G203"/>
    <mergeCell ref="C204:G204"/>
    <mergeCell ref="I198:M198"/>
    <mergeCell ref="I199:M199"/>
    <mergeCell ref="C200:G200"/>
    <mergeCell ref="I200:M200"/>
    <mergeCell ref="C201:G201"/>
    <mergeCell ref="I201:M201"/>
    <mergeCell ref="I202:M202"/>
    <mergeCell ref="C207:G207"/>
    <mergeCell ref="C208:G208"/>
    <mergeCell ref="C209:G209"/>
    <mergeCell ref="I203:M203"/>
    <mergeCell ref="I204:M204"/>
    <mergeCell ref="C205:G205"/>
    <mergeCell ref="I205:M205"/>
    <mergeCell ref="C206:G206"/>
    <mergeCell ref="I206:M206"/>
    <mergeCell ref="I207:M207"/>
    <mergeCell ref="C212:G212"/>
    <mergeCell ref="C213:G213"/>
    <mergeCell ref="C214:G214"/>
    <mergeCell ref="I208:M208"/>
    <mergeCell ref="I209:M209"/>
    <mergeCell ref="C210:G210"/>
    <mergeCell ref="I210:M210"/>
    <mergeCell ref="C211:G211"/>
    <mergeCell ref="I211:M211"/>
    <mergeCell ref="I212:M212"/>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341</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215:M215"/>
    <mergeCell ref="I216:M216"/>
    <mergeCell ref="I217:M217"/>
    <mergeCell ref="I218:M218"/>
    <mergeCell ref="I219:M219"/>
    <mergeCell ref="I220:M220"/>
    <mergeCell ref="I221:M221"/>
    <mergeCell ref="I222:M222"/>
    <mergeCell ref="I223:M223"/>
    <mergeCell ref="I224:M224"/>
    <mergeCell ref="I225:M225"/>
    <mergeCell ref="I226:M226"/>
    <mergeCell ref="I227:M227"/>
    <mergeCell ref="I228:M228"/>
    <mergeCell ref="I229:M229"/>
    <mergeCell ref="I230:M230"/>
    <mergeCell ref="I231:M231"/>
    <mergeCell ref="I232:M232"/>
    <mergeCell ref="I233:M233"/>
    <mergeCell ref="I234:M234"/>
    <mergeCell ref="I235:M235"/>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131:M131"/>
    <mergeCell ref="I132:M132"/>
    <mergeCell ref="I133:M133"/>
    <mergeCell ref="I134:M134"/>
    <mergeCell ref="I135:M135"/>
    <mergeCell ref="I136:M136"/>
    <mergeCell ref="I137:M137"/>
    <mergeCell ref="I138:M138"/>
    <mergeCell ref="I139:M139"/>
    <mergeCell ref="I140:M140"/>
    <mergeCell ref="I141:M141"/>
    <mergeCell ref="I142:M142"/>
    <mergeCell ref="I143:M143"/>
    <mergeCell ref="I144:M144"/>
    <mergeCell ref="I145:M145"/>
    <mergeCell ref="I146:M146"/>
    <mergeCell ref="I147:M147"/>
    <mergeCell ref="I148:M148"/>
    <mergeCell ref="I149:M149"/>
    <mergeCell ref="I150:M150"/>
    <mergeCell ref="I151:M151"/>
    <mergeCell ref="I152:M152"/>
    <mergeCell ref="I153:M153"/>
    <mergeCell ref="I154:M154"/>
    <mergeCell ref="I155:M155"/>
    <mergeCell ref="I156:M156"/>
    <mergeCell ref="I157:M157"/>
    <mergeCell ref="I158:M158"/>
    <mergeCell ref="I159:M159"/>
    <mergeCell ref="I160:M160"/>
    <mergeCell ref="I161:M161"/>
    <mergeCell ref="I162:M162"/>
    <mergeCell ref="I163:M163"/>
    <mergeCell ref="I164:M164"/>
    <mergeCell ref="I165:M165"/>
    <mergeCell ref="I166:M166"/>
    <mergeCell ref="I167:M167"/>
    <mergeCell ref="I168:M168"/>
    <mergeCell ref="I169:M169"/>
    <mergeCell ref="I170:M170"/>
    <mergeCell ref="I171:M171"/>
    <mergeCell ref="I172:M172"/>
    <mergeCell ref="I178:M178"/>
    <mergeCell ref="I179:M179"/>
    <mergeCell ref="I180:M180"/>
    <mergeCell ref="I181:M181"/>
    <mergeCell ref="I182:M182"/>
    <mergeCell ref="I183:M183"/>
    <mergeCell ref="I184:M184"/>
    <mergeCell ref="I185:M185"/>
    <mergeCell ref="I186:M186"/>
    <mergeCell ref="I187:M187"/>
    <mergeCell ref="I188:M188"/>
    <mergeCell ref="I189:M189"/>
    <mergeCell ref="I190:M190"/>
    <mergeCell ref="I191:M191"/>
    <mergeCell ref="I192:M192"/>
    <mergeCell ref="I193:M193"/>
    <mergeCell ref="I208:M208"/>
    <mergeCell ref="I209:M209"/>
    <mergeCell ref="I210:M210"/>
    <mergeCell ref="I211:M211"/>
    <mergeCell ref="I173:M173"/>
    <mergeCell ref="I174:M174"/>
    <mergeCell ref="I175:M175"/>
    <mergeCell ref="I176:M176"/>
    <mergeCell ref="I177:M177"/>
    <mergeCell ref="I213:M213"/>
    <mergeCell ref="I214:M214"/>
    <mergeCell ref="I212:M212"/>
    <mergeCell ref="I194:M194"/>
    <mergeCell ref="I195:M195"/>
    <mergeCell ref="I196:M196"/>
    <mergeCell ref="I197:M197"/>
    <mergeCell ref="I198:M198"/>
    <mergeCell ref="I199:M199"/>
    <mergeCell ref="I200:M200"/>
    <mergeCell ref="I201:M201"/>
    <mergeCell ref="I202:M202"/>
    <mergeCell ref="I203:M203"/>
    <mergeCell ref="I204:M204"/>
    <mergeCell ref="I205:M205"/>
    <mergeCell ref="I206:M206"/>
    <mergeCell ref="I207:M207"/>
    <mergeCell ref="I61:M61"/>
    <mergeCell ref="I62:M62"/>
    <mergeCell ref="I54:M54"/>
    <mergeCell ref="I55:M55"/>
    <mergeCell ref="I56:M56"/>
    <mergeCell ref="I57:M57"/>
    <mergeCell ref="I58:M58"/>
    <mergeCell ref="I59:M59"/>
    <mergeCell ref="I60:M60"/>
    <mergeCell ref="C63:G63"/>
    <mergeCell ref="C64:G64"/>
    <mergeCell ref="C67:G67"/>
    <mergeCell ref="C68:G68"/>
    <mergeCell ref="C69:G69"/>
    <mergeCell ref="C65:G65"/>
    <mergeCell ref="C66:G66"/>
    <mergeCell ref="C60:G60"/>
    <mergeCell ref="C61:G61"/>
    <mergeCell ref="I63:M63"/>
    <mergeCell ref="I64:M64"/>
    <mergeCell ref="I65:M65"/>
    <mergeCell ref="I66:M66"/>
    <mergeCell ref="I67:M67"/>
    <mergeCell ref="I75:M75"/>
    <mergeCell ref="I76:M76"/>
    <mergeCell ref="I68:M68"/>
    <mergeCell ref="I69:M69"/>
    <mergeCell ref="I70:M70"/>
    <mergeCell ref="I71:M71"/>
    <mergeCell ref="I72:M72"/>
    <mergeCell ref="I73:M73"/>
    <mergeCell ref="I74:M74"/>
    <mergeCell ref="C124:G124"/>
    <mergeCell ref="C125:G125"/>
    <mergeCell ref="C122:G122"/>
    <mergeCell ref="C123:G123"/>
    <mergeCell ref="C120:G120"/>
    <mergeCell ref="C121:G121"/>
    <mergeCell ref="C127:G127"/>
    <mergeCell ref="C128:G128"/>
    <mergeCell ref="C126:G126"/>
    <mergeCell ref="C135:G135"/>
    <mergeCell ref="C136:G136"/>
    <mergeCell ref="C129:G129"/>
    <mergeCell ref="C132:G132"/>
    <mergeCell ref="C133:G133"/>
    <mergeCell ref="C134:G134"/>
    <mergeCell ref="C130:G130"/>
    <mergeCell ref="C131:G131"/>
    <mergeCell ref="C137:G137"/>
    <mergeCell ref="I82:M82"/>
    <mergeCell ref="I83:M83"/>
    <mergeCell ref="I84:M84"/>
    <mergeCell ref="I85:M85"/>
    <mergeCell ref="I86:M86"/>
    <mergeCell ref="I87:M87"/>
    <mergeCell ref="I88:M88"/>
    <mergeCell ref="I89:M89"/>
    <mergeCell ref="I90:M90"/>
    <mergeCell ref="I91:M91"/>
    <mergeCell ref="I92:M92"/>
    <mergeCell ref="I93:M93"/>
    <mergeCell ref="I94:M94"/>
    <mergeCell ref="I95:M95"/>
    <mergeCell ref="I96:M96"/>
    <mergeCell ref="I97:M97"/>
    <mergeCell ref="I98:M98"/>
    <mergeCell ref="I99:M99"/>
    <mergeCell ref="I100:M100"/>
    <mergeCell ref="I101:M101"/>
    <mergeCell ref="I102:M102"/>
    <mergeCell ref="I103:M103"/>
    <mergeCell ref="I104:M104"/>
    <mergeCell ref="I105:M105"/>
    <mergeCell ref="I106:M106"/>
    <mergeCell ref="I107:M107"/>
    <mergeCell ref="I108:M108"/>
    <mergeCell ref="I109:M109"/>
    <mergeCell ref="I110:M110"/>
    <mergeCell ref="I111:M111"/>
    <mergeCell ref="I112:M112"/>
    <mergeCell ref="I113:M113"/>
    <mergeCell ref="I114:M114"/>
    <mergeCell ref="I115:M115"/>
    <mergeCell ref="I116:M116"/>
    <mergeCell ref="I117:M117"/>
    <mergeCell ref="I118:M118"/>
    <mergeCell ref="I119:M119"/>
    <mergeCell ref="I120:M120"/>
    <mergeCell ref="I121:M121"/>
    <mergeCell ref="I122:M122"/>
    <mergeCell ref="I123:M123"/>
    <mergeCell ref="I124:M124"/>
    <mergeCell ref="I125:M125"/>
    <mergeCell ref="I126:M126"/>
    <mergeCell ref="I127:M127"/>
    <mergeCell ref="I128:M128"/>
    <mergeCell ref="I129:M129"/>
    <mergeCell ref="I130:M130"/>
    <mergeCell ref="I24:M24"/>
    <mergeCell ref="I25:M25"/>
    <mergeCell ref="C1:J1"/>
    <mergeCell ref="C2:G2"/>
    <mergeCell ref="H2:L2"/>
    <mergeCell ref="C23:G23"/>
    <mergeCell ref="I23:M23"/>
    <mergeCell ref="C31:G31"/>
    <mergeCell ref="C32:G32"/>
    <mergeCell ref="C33:G33"/>
    <mergeCell ref="C34:G34"/>
    <mergeCell ref="C35:G35"/>
    <mergeCell ref="C24:G24"/>
    <mergeCell ref="C25:G25"/>
    <mergeCell ref="C26:G26"/>
    <mergeCell ref="C27:G27"/>
    <mergeCell ref="C28:G28"/>
    <mergeCell ref="C29:G29"/>
    <mergeCell ref="C30:G30"/>
    <mergeCell ref="I33:M33"/>
    <mergeCell ref="I34:M34"/>
    <mergeCell ref="I35:M35"/>
    <mergeCell ref="I26:M26"/>
    <mergeCell ref="I27:M27"/>
    <mergeCell ref="I28:M28"/>
    <mergeCell ref="I29:M29"/>
    <mergeCell ref="I30:M30"/>
    <mergeCell ref="I31:M31"/>
    <mergeCell ref="I32:M32"/>
    <mergeCell ref="I42:M42"/>
    <mergeCell ref="I43:M43"/>
    <mergeCell ref="C43:G43"/>
    <mergeCell ref="C44:G44"/>
    <mergeCell ref="C45:G45"/>
    <mergeCell ref="C46:G46"/>
    <mergeCell ref="I46:M46"/>
    <mergeCell ref="C42:G42"/>
    <mergeCell ref="I47:M47"/>
    <mergeCell ref="I48:M48"/>
    <mergeCell ref="I49:M49"/>
    <mergeCell ref="I50:M50"/>
    <mergeCell ref="I51:M51"/>
    <mergeCell ref="I52:M52"/>
    <mergeCell ref="I53:M53"/>
    <mergeCell ref="C54:G54"/>
    <mergeCell ref="C57:G57"/>
    <mergeCell ref="C58:G58"/>
    <mergeCell ref="C59:G59"/>
    <mergeCell ref="C55:G55"/>
    <mergeCell ref="C56:G56"/>
    <mergeCell ref="C62:G62"/>
    <mergeCell ref="C72:G72"/>
    <mergeCell ref="C73:G73"/>
    <mergeCell ref="C70:G70"/>
    <mergeCell ref="C71:G71"/>
    <mergeCell ref="C77:G77"/>
    <mergeCell ref="C78:G78"/>
    <mergeCell ref="C76:G76"/>
    <mergeCell ref="C74:G74"/>
    <mergeCell ref="C75:G75"/>
    <mergeCell ref="I77:M77"/>
    <mergeCell ref="I78:M78"/>
    <mergeCell ref="I79:M79"/>
    <mergeCell ref="I80:M80"/>
    <mergeCell ref="I81:M81"/>
    <mergeCell ref="I44:M44"/>
    <mergeCell ref="I45:M45"/>
    <mergeCell ref="I37:M37"/>
    <mergeCell ref="I38:M38"/>
    <mergeCell ref="I39:M39"/>
    <mergeCell ref="I40:M40"/>
    <mergeCell ref="I41:M41"/>
    <mergeCell ref="I36:M36"/>
    <mergeCell ref="C36:G36"/>
    <mergeCell ref="C37:G37"/>
    <mergeCell ref="C38:G38"/>
    <mergeCell ref="C39:G39"/>
    <mergeCell ref="C40:G40"/>
    <mergeCell ref="C41:G41"/>
    <mergeCell ref="C47:G47"/>
    <mergeCell ref="C48:G48"/>
    <mergeCell ref="C52:G52"/>
    <mergeCell ref="C53:G53"/>
    <mergeCell ref="C49:G49"/>
    <mergeCell ref="C50:G50"/>
    <mergeCell ref="C51:G51"/>
    <mergeCell ref="C160:G160"/>
    <mergeCell ref="C161:G161"/>
    <mergeCell ref="C154:G154"/>
    <mergeCell ref="C157:G157"/>
    <mergeCell ref="C158:G158"/>
    <mergeCell ref="C159:G159"/>
    <mergeCell ref="C155:G155"/>
    <mergeCell ref="C156:G156"/>
    <mergeCell ref="C162:G162"/>
    <mergeCell ref="C170:G170"/>
    <mergeCell ref="C171:G171"/>
    <mergeCell ref="C163:G163"/>
    <mergeCell ref="C164:G164"/>
    <mergeCell ref="C167:G167"/>
    <mergeCell ref="C168:G168"/>
    <mergeCell ref="C169:G169"/>
    <mergeCell ref="C165:G165"/>
    <mergeCell ref="C166:G166"/>
    <mergeCell ref="C172:G172"/>
    <mergeCell ref="C173:G173"/>
    <mergeCell ref="C174:G174"/>
    <mergeCell ref="C177:G177"/>
    <mergeCell ref="C178:G178"/>
    <mergeCell ref="C175:G175"/>
    <mergeCell ref="C176:G176"/>
    <mergeCell ref="C248:G248"/>
    <mergeCell ref="C249:G249"/>
    <mergeCell ref="C199:G199"/>
    <mergeCell ref="C200:G200"/>
    <mergeCell ref="C210:G210"/>
    <mergeCell ref="C211:G211"/>
    <mergeCell ref="C192:G192"/>
    <mergeCell ref="C193:G193"/>
    <mergeCell ref="C208:G208"/>
    <mergeCell ref="C209:G209"/>
    <mergeCell ref="C205:G205"/>
    <mergeCell ref="C206:G206"/>
    <mergeCell ref="C212:G212"/>
    <mergeCell ref="C223:G223"/>
    <mergeCell ref="C224:G224"/>
    <mergeCell ref="C227:G227"/>
    <mergeCell ref="C228:G228"/>
    <mergeCell ref="C229:G229"/>
    <mergeCell ref="C225:G225"/>
    <mergeCell ref="C226:G226"/>
    <mergeCell ref="C182:G182"/>
    <mergeCell ref="C183:G183"/>
    <mergeCell ref="C179:G179"/>
    <mergeCell ref="C180:G180"/>
    <mergeCell ref="C181:G181"/>
    <mergeCell ref="C187:G187"/>
    <mergeCell ref="C188:G188"/>
    <mergeCell ref="C184:G184"/>
    <mergeCell ref="C185:G185"/>
    <mergeCell ref="C186:G186"/>
    <mergeCell ref="C189:G189"/>
    <mergeCell ref="C190:G190"/>
    <mergeCell ref="C191:G191"/>
    <mergeCell ref="C213:G213"/>
    <mergeCell ref="C214:G214"/>
    <mergeCell ref="C104:G104"/>
    <mergeCell ref="C107:G107"/>
    <mergeCell ref="C108:G108"/>
    <mergeCell ref="C109:G109"/>
    <mergeCell ref="C105:G105"/>
    <mergeCell ref="C106:G106"/>
    <mergeCell ref="C112:G112"/>
    <mergeCell ref="C113:G113"/>
    <mergeCell ref="C114:G114"/>
    <mergeCell ref="C117:G117"/>
    <mergeCell ref="C118:G118"/>
    <mergeCell ref="C119:G119"/>
    <mergeCell ref="C115:G115"/>
    <mergeCell ref="C116:G116"/>
    <mergeCell ref="C145:G145"/>
    <mergeCell ref="C146:G146"/>
    <mergeCell ref="C138:G138"/>
    <mergeCell ref="C139:G139"/>
    <mergeCell ref="C142:G142"/>
    <mergeCell ref="C143:G143"/>
    <mergeCell ref="C144:G144"/>
    <mergeCell ref="C140:G140"/>
    <mergeCell ref="C141:G141"/>
    <mergeCell ref="C85:G85"/>
    <mergeCell ref="C86:G86"/>
    <mergeCell ref="C79:G79"/>
    <mergeCell ref="C82:G82"/>
    <mergeCell ref="C83:G83"/>
    <mergeCell ref="C84:G84"/>
    <mergeCell ref="C80:G80"/>
    <mergeCell ref="C81:G81"/>
    <mergeCell ref="C87:G87"/>
    <mergeCell ref="C95:G95"/>
    <mergeCell ref="C96:G96"/>
    <mergeCell ref="C88:G88"/>
    <mergeCell ref="C89:G89"/>
    <mergeCell ref="C92:G92"/>
    <mergeCell ref="C93:G93"/>
    <mergeCell ref="C94:G94"/>
    <mergeCell ref="C90:G90"/>
    <mergeCell ref="C91:G91"/>
    <mergeCell ref="C97:G97"/>
    <mergeCell ref="C98:G98"/>
    <mergeCell ref="C99:G99"/>
    <mergeCell ref="C102:G102"/>
    <mergeCell ref="C103:G103"/>
    <mergeCell ref="C100:G100"/>
    <mergeCell ref="C101:G101"/>
    <mergeCell ref="C110:G110"/>
    <mergeCell ref="C111:G111"/>
    <mergeCell ref="C147:G147"/>
    <mergeCell ref="C148:G148"/>
    <mergeCell ref="C149:G149"/>
    <mergeCell ref="C152:G152"/>
    <mergeCell ref="C153:G153"/>
    <mergeCell ref="C150:G150"/>
    <mergeCell ref="C151:G151"/>
    <mergeCell ref="C234:G234"/>
    <mergeCell ref="C235:G235"/>
    <mergeCell ref="C232:G232"/>
    <mergeCell ref="C233:G233"/>
    <mergeCell ref="C230:G230"/>
    <mergeCell ref="C231:G231"/>
    <mergeCell ref="C237:G237"/>
    <mergeCell ref="C238:G238"/>
    <mergeCell ref="C236:G236"/>
    <mergeCell ref="C245:G245"/>
    <mergeCell ref="C246:G246"/>
    <mergeCell ref="C239:G239"/>
    <mergeCell ref="C242:G242"/>
    <mergeCell ref="C243:G243"/>
    <mergeCell ref="C244:G244"/>
    <mergeCell ref="C240:G240"/>
    <mergeCell ref="C241:G241"/>
    <mergeCell ref="C247:G247"/>
    <mergeCell ref="C197:G197"/>
    <mergeCell ref="C198:G198"/>
    <mergeCell ref="C217:G217"/>
    <mergeCell ref="C218:G218"/>
    <mergeCell ref="C219:G219"/>
    <mergeCell ref="C215:G215"/>
    <mergeCell ref="C216:G216"/>
    <mergeCell ref="C222:G222"/>
    <mergeCell ref="C194:G194"/>
    <mergeCell ref="C204:G204"/>
    <mergeCell ref="C207:G207"/>
    <mergeCell ref="C220:G220"/>
    <mergeCell ref="C221:G221"/>
    <mergeCell ref="C195:G195"/>
    <mergeCell ref="C196:G196"/>
    <mergeCell ref="C202:G202"/>
    <mergeCell ref="C203:G203"/>
    <mergeCell ref="C201:G201"/>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342</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215:M215"/>
    <mergeCell ref="I216:M216"/>
    <mergeCell ref="I217:M217"/>
    <mergeCell ref="I218:M218"/>
    <mergeCell ref="I219:M219"/>
    <mergeCell ref="I220:M220"/>
    <mergeCell ref="I221:M221"/>
    <mergeCell ref="I222:M222"/>
    <mergeCell ref="I223:M223"/>
    <mergeCell ref="I224:M224"/>
    <mergeCell ref="I225:M225"/>
    <mergeCell ref="I226:M226"/>
    <mergeCell ref="I227:M227"/>
    <mergeCell ref="I228:M228"/>
    <mergeCell ref="I229:M229"/>
    <mergeCell ref="I230:M230"/>
    <mergeCell ref="I231:M231"/>
    <mergeCell ref="I232:M232"/>
    <mergeCell ref="I233:M233"/>
    <mergeCell ref="I234:M234"/>
    <mergeCell ref="I235:M235"/>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131:M131"/>
    <mergeCell ref="I132:M132"/>
    <mergeCell ref="I133:M133"/>
    <mergeCell ref="I134:M134"/>
    <mergeCell ref="I135:M135"/>
    <mergeCell ref="I136:M136"/>
    <mergeCell ref="I137:M137"/>
    <mergeCell ref="I138:M138"/>
    <mergeCell ref="I139:M139"/>
    <mergeCell ref="I140:M140"/>
    <mergeCell ref="I141:M141"/>
    <mergeCell ref="I142:M142"/>
    <mergeCell ref="I143:M143"/>
    <mergeCell ref="I144:M144"/>
    <mergeCell ref="I145:M145"/>
    <mergeCell ref="I146:M146"/>
    <mergeCell ref="I147:M147"/>
    <mergeCell ref="I148:M148"/>
    <mergeCell ref="I149:M149"/>
    <mergeCell ref="I150:M150"/>
    <mergeCell ref="I151:M151"/>
    <mergeCell ref="I152:M152"/>
    <mergeCell ref="I153:M153"/>
    <mergeCell ref="I154:M154"/>
    <mergeCell ref="I155:M155"/>
    <mergeCell ref="I156:M156"/>
    <mergeCell ref="I157:M157"/>
    <mergeCell ref="I158:M158"/>
    <mergeCell ref="I159:M159"/>
    <mergeCell ref="I160:M160"/>
    <mergeCell ref="I161:M161"/>
    <mergeCell ref="I162:M162"/>
    <mergeCell ref="I163:M163"/>
    <mergeCell ref="I164:M164"/>
    <mergeCell ref="I165:M165"/>
    <mergeCell ref="I166:M166"/>
    <mergeCell ref="I167:M167"/>
    <mergeCell ref="I168:M168"/>
    <mergeCell ref="I169:M169"/>
    <mergeCell ref="I170:M170"/>
    <mergeCell ref="I171:M171"/>
    <mergeCell ref="I172:M172"/>
    <mergeCell ref="I178:M178"/>
    <mergeCell ref="I179:M179"/>
    <mergeCell ref="I180:M180"/>
    <mergeCell ref="I181:M181"/>
    <mergeCell ref="I182:M182"/>
    <mergeCell ref="I183:M183"/>
    <mergeCell ref="I184:M184"/>
    <mergeCell ref="I185:M185"/>
    <mergeCell ref="I186:M186"/>
    <mergeCell ref="I187:M187"/>
    <mergeCell ref="I188:M188"/>
    <mergeCell ref="I189:M189"/>
    <mergeCell ref="I190:M190"/>
    <mergeCell ref="I191:M191"/>
    <mergeCell ref="I192:M192"/>
    <mergeCell ref="I193:M193"/>
    <mergeCell ref="I208:M208"/>
    <mergeCell ref="I209:M209"/>
    <mergeCell ref="I210:M210"/>
    <mergeCell ref="I211:M211"/>
    <mergeCell ref="I173:M173"/>
    <mergeCell ref="I174:M174"/>
    <mergeCell ref="I175:M175"/>
    <mergeCell ref="I176:M176"/>
    <mergeCell ref="I177:M177"/>
    <mergeCell ref="I213:M213"/>
    <mergeCell ref="I214:M214"/>
    <mergeCell ref="I212:M212"/>
    <mergeCell ref="I194:M194"/>
    <mergeCell ref="I195:M195"/>
    <mergeCell ref="I196:M196"/>
    <mergeCell ref="I197:M197"/>
    <mergeCell ref="I198:M198"/>
    <mergeCell ref="I199:M199"/>
    <mergeCell ref="I200:M200"/>
    <mergeCell ref="I201:M201"/>
    <mergeCell ref="I202:M202"/>
    <mergeCell ref="I203:M203"/>
    <mergeCell ref="I204:M204"/>
    <mergeCell ref="I205:M205"/>
    <mergeCell ref="I206:M206"/>
    <mergeCell ref="I207:M207"/>
    <mergeCell ref="I61:M61"/>
    <mergeCell ref="I62:M62"/>
    <mergeCell ref="I54:M54"/>
    <mergeCell ref="I55:M55"/>
    <mergeCell ref="I56:M56"/>
    <mergeCell ref="I57:M57"/>
    <mergeCell ref="I58:M58"/>
    <mergeCell ref="I59:M59"/>
    <mergeCell ref="I60:M60"/>
    <mergeCell ref="C63:G63"/>
    <mergeCell ref="C64:G64"/>
    <mergeCell ref="C67:G67"/>
    <mergeCell ref="C68:G68"/>
    <mergeCell ref="C69:G69"/>
    <mergeCell ref="C65:G65"/>
    <mergeCell ref="C66:G66"/>
    <mergeCell ref="C60:G60"/>
    <mergeCell ref="C61:G61"/>
    <mergeCell ref="I63:M63"/>
    <mergeCell ref="I64:M64"/>
    <mergeCell ref="I65:M65"/>
    <mergeCell ref="I66:M66"/>
    <mergeCell ref="I67:M67"/>
    <mergeCell ref="I75:M75"/>
    <mergeCell ref="I76:M76"/>
    <mergeCell ref="I68:M68"/>
    <mergeCell ref="I69:M69"/>
    <mergeCell ref="I70:M70"/>
    <mergeCell ref="I71:M71"/>
    <mergeCell ref="I72:M72"/>
    <mergeCell ref="I73:M73"/>
    <mergeCell ref="I74:M74"/>
    <mergeCell ref="C124:G124"/>
    <mergeCell ref="C125:G125"/>
    <mergeCell ref="C122:G122"/>
    <mergeCell ref="C123:G123"/>
    <mergeCell ref="C120:G120"/>
    <mergeCell ref="C121:G121"/>
    <mergeCell ref="C127:G127"/>
    <mergeCell ref="C128:G128"/>
    <mergeCell ref="C126:G126"/>
    <mergeCell ref="C135:G135"/>
    <mergeCell ref="C136:G136"/>
    <mergeCell ref="C129:G129"/>
    <mergeCell ref="C132:G132"/>
    <mergeCell ref="C133:G133"/>
    <mergeCell ref="C134:G134"/>
    <mergeCell ref="C130:G130"/>
    <mergeCell ref="C131:G131"/>
    <mergeCell ref="C137:G137"/>
    <mergeCell ref="I82:M82"/>
    <mergeCell ref="I83:M83"/>
    <mergeCell ref="I84:M84"/>
    <mergeCell ref="I85:M85"/>
    <mergeCell ref="I86:M86"/>
    <mergeCell ref="I87:M87"/>
    <mergeCell ref="I88:M88"/>
    <mergeCell ref="I89:M89"/>
    <mergeCell ref="I90:M90"/>
    <mergeCell ref="I91:M91"/>
    <mergeCell ref="I92:M92"/>
    <mergeCell ref="I93:M93"/>
    <mergeCell ref="I94:M94"/>
    <mergeCell ref="I95:M95"/>
    <mergeCell ref="I96:M96"/>
    <mergeCell ref="I97:M97"/>
    <mergeCell ref="I98:M98"/>
    <mergeCell ref="I99:M99"/>
    <mergeCell ref="I100:M100"/>
    <mergeCell ref="I101:M101"/>
    <mergeCell ref="I102:M102"/>
    <mergeCell ref="I103:M103"/>
    <mergeCell ref="I104:M104"/>
    <mergeCell ref="I105:M105"/>
    <mergeCell ref="I106:M106"/>
    <mergeCell ref="I107:M107"/>
    <mergeCell ref="I108:M108"/>
    <mergeCell ref="I109:M109"/>
    <mergeCell ref="I110:M110"/>
    <mergeCell ref="I111:M111"/>
    <mergeCell ref="I112:M112"/>
    <mergeCell ref="I113:M113"/>
    <mergeCell ref="I114:M114"/>
    <mergeCell ref="I115:M115"/>
    <mergeCell ref="I116:M116"/>
    <mergeCell ref="I117:M117"/>
    <mergeCell ref="I118:M118"/>
    <mergeCell ref="I119:M119"/>
    <mergeCell ref="I120:M120"/>
    <mergeCell ref="I121:M121"/>
    <mergeCell ref="I122:M122"/>
    <mergeCell ref="I123:M123"/>
    <mergeCell ref="I124:M124"/>
    <mergeCell ref="I125:M125"/>
    <mergeCell ref="I126:M126"/>
    <mergeCell ref="I127:M127"/>
    <mergeCell ref="I128:M128"/>
    <mergeCell ref="I129:M129"/>
    <mergeCell ref="I130:M130"/>
    <mergeCell ref="I24:M24"/>
    <mergeCell ref="I25:M25"/>
    <mergeCell ref="C1:J1"/>
    <mergeCell ref="C2:G2"/>
    <mergeCell ref="H2:L2"/>
    <mergeCell ref="C23:G23"/>
    <mergeCell ref="I23:M23"/>
    <mergeCell ref="C31:G31"/>
    <mergeCell ref="C32:G32"/>
    <mergeCell ref="C33:G33"/>
    <mergeCell ref="C34:G34"/>
    <mergeCell ref="C35:G35"/>
    <mergeCell ref="C24:G24"/>
    <mergeCell ref="C25:G25"/>
    <mergeCell ref="C26:G26"/>
    <mergeCell ref="C27:G27"/>
    <mergeCell ref="C28:G28"/>
    <mergeCell ref="C29:G29"/>
    <mergeCell ref="C30:G30"/>
    <mergeCell ref="I33:M33"/>
    <mergeCell ref="I34:M34"/>
    <mergeCell ref="I35:M35"/>
    <mergeCell ref="I26:M26"/>
    <mergeCell ref="I27:M27"/>
    <mergeCell ref="I28:M28"/>
    <mergeCell ref="I29:M29"/>
    <mergeCell ref="I30:M30"/>
    <mergeCell ref="I31:M31"/>
    <mergeCell ref="I32:M32"/>
    <mergeCell ref="I42:M42"/>
    <mergeCell ref="I43:M43"/>
    <mergeCell ref="C43:G43"/>
    <mergeCell ref="C44:G44"/>
    <mergeCell ref="C45:G45"/>
    <mergeCell ref="C46:G46"/>
    <mergeCell ref="I46:M46"/>
    <mergeCell ref="C42:G42"/>
    <mergeCell ref="I47:M47"/>
    <mergeCell ref="I48:M48"/>
    <mergeCell ref="I49:M49"/>
    <mergeCell ref="I50:M50"/>
    <mergeCell ref="I51:M51"/>
    <mergeCell ref="I52:M52"/>
    <mergeCell ref="I53:M53"/>
    <mergeCell ref="C54:G54"/>
    <mergeCell ref="C57:G57"/>
    <mergeCell ref="C58:G58"/>
    <mergeCell ref="C59:G59"/>
    <mergeCell ref="C55:G55"/>
    <mergeCell ref="C56:G56"/>
    <mergeCell ref="C62:G62"/>
    <mergeCell ref="C72:G72"/>
    <mergeCell ref="C73:G73"/>
    <mergeCell ref="C70:G70"/>
    <mergeCell ref="C71:G71"/>
    <mergeCell ref="C77:G77"/>
    <mergeCell ref="C78:G78"/>
    <mergeCell ref="C76:G76"/>
    <mergeCell ref="C74:G74"/>
    <mergeCell ref="C75:G75"/>
    <mergeCell ref="I77:M77"/>
    <mergeCell ref="I78:M78"/>
    <mergeCell ref="I79:M79"/>
    <mergeCell ref="I80:M80"/>
    <mergeCell ref="I81:M81"/>
    <mergeCell ref="I44:M44"/>
    <mergeCell ref="I45:M45"/>
    <mergeCell ref="I37:M37"/>
    <mergeCell ref="I38:M38"/>
    <mergeCell ref="I39:M39"/>
    <mergeCell ref="I40:M40"/>
    <mergeCell ref="I41:M41"/>
    <mergeCell ref="I36:M36"/>
    <mergeCell ref="C36:G36"/>
    <mergeCell ref="C37:G37"/>
    <mergeCell ref="C38:G38"/>
    <mergeCell ref="C39:G39"/>
    <mergeCell ref="C40:G40"/>
    <mergeCell ref="C41:G41"/>
    <mergeCell ref="C47:G47"/>
    <mergeCell ref="C48:G48"/>
    <mergeCell ref="C52:G52"/>
    <mergeCell ref="C53:G53"/>
    <mergeCell ref="C49:G49"/>
    <mergeCell ref="C50:G50"/>
    <mergeCell ref="C51:G51"/>
    <mergeCell ref="C160:G160"/>
    <mergeCell ref="C161:G161"/>
    <mergeCell ref="C154:G154"/>
    <mergeCell ref="C157:G157"/>
    <mergeCell ref="C158:G158"/>
    <mergeCell ref="C159:G159"/>
    <mergeCell ref="C155:G155"/>
    <mergeCell ref="C156:G156"/>
    <mergeCell ref="C162:G162"/>
    <mergeCell ref="C170:G170"/>
    <mergeCell ref="C171:G171"/>
    <mergeCell ref="C163:G163"/>
    <mergeCell ref="C164:G164"/>
    <mergeCell ref="C167:G167"/>
    <mergeCell ref="C168:G168"/>
    <mergeCell ref="C169:G169"/>
    <mergeCell ref="C165:G165"/>
    <mergeCell ref="C166:G166"/>
    <mergeCell ref="C172:G172"/>
    <mergeCell ref="C173:G173"/>
    <mergeCell ref="C174:G174"/>
    <mergeCell ref="C177:G177"/>
    <mergeCell ref="C178:G178"/>
    <mergeCell ref="C175:G175"/>
    <mergeCell ref="C176:G176"/>
    <mergeCell ref="C248:G248"/>
    <mergeCell ref="C249:G249"/>
    <mergeCell ref="C199:G199"/>
    <mergeCell ref="C200:G200"/>
    <mergeCell ref="C210:G210"/>
    <mergeCell ref="C211:G211"/>
    <mergeCell ref="C192:G192"/>
    <mergeCell ref="C193:G193"/>
    <mergeCell ref="C208:G208"/>
    <mergeCell ref="C209:G209"/>
    <mergeCell ref="C205:G205"/>
    <mergeCell ref="C206:G206"/>
    <mergeCell ref="C212:G212"/>
    <mergeCell ref="C223:G223"/>
    <mergeCell ref="C224:G224"/>
    <mergeCell ref="C227:G227"/>
    <mergeCell ref="C228:G228"/>
    <mergeCell ref="C229:G229"/>
    <mergeCell ref="C225:G225"/>
    <mergeCell ref="C226:G226"/>
    <mergeCell ref="C182:G182"/>
    <mergeCell ref="C183:G183"/>
    <mergeCell ref="C179:G179"/>
    <mergeCell ref="C180:G180"/>
    <mergeCell ref="C181:G181"/>
    <mergeCell ref="C187:G187"/>
    <mergeCell ref="C188:G188"/>
    <mergeCell ref="C184:G184"/>
    <mergeCell ref="C185:G185"/>
    <mergeCell ref="C186:G186"/>
    <mergeCell ref="C189:G189"/>
    <mergeCell ref="C190:G190"/>
    <mergeCell ref="C191:G191"/>
    <mergeCell ref="C213:G213"/>
    <mergeCell ref="C214:G214"/>
    <mergeCell ref="C104:G104"/>
    <mergeCell ref="C107:G107"/>
    <mergeCell ref="C108:G108"/>
    <mergeCell ref="C109:G109"/>
    <mergeCell ref="C105:G105"/>
    <mergeCell ref="C106:G106"/>
    <mergeCell ref="C112:G112"/>
    <mergeCell ref="C113:G113"/>
    <mergeCell ref="C114:G114"/>
    <mergeCell ref="C117:G117"/>
    <mergeCell ref="C118:G118"/>
    <mergeCell ref="C119:G119"/>
    <mergeCell ref="C115:G115"/>
    <mergeCell ref="C116:G116"/>
    <mergeCell ref="C145:G145"/>
    <mergeCell ref="C146:G146"/>
    <mergeCell ref="C138:G138"/>
    <mergeCell ref="C139:G139"/>
    <mergeCell ref="C142:G142"/>
    <mergeCell ref="C143:G143"/>
    <mergeCell ref="C144:G144"/>
    <mergeCell ref="C140:G140"/>
    <mergeCell ref="C141:G141"/>
    <mergeCell ref="C85:G85"/>
    <mergeCell ref="C86:G86"/>
    <mergeCell ref="C79:G79"/>
    <mergeCell ref="C82:G82"/>
    <mergeCell ref="C83:G83"/>
    <mergeCell ref="C84:G84"/>
    <mergeCell ref="C80:G80"/>
    <mergeCell ref="C81:G81"/>
    <mergeCell ref="C87:G87"/>
    <mergeCell ref="C95:G95"/>
    <mergeCell ref="C96:G96"/>
    <mergeCell ref="C88:G88"/>
    <mergeCell ref="C89:G89"/>
    <mergeCell ref="C92:G92"/>
    <mergeCell ref="C93:G93"/>
    <mergeCell ref="C94:G94"/>
    <mergeCell ref="C90:G90"/>
    <mergeCell ref="C91:G91"/>
    <mergeCell ref="C97:G97"/>
    <mergeCell ref="C98:G98"/>
    <mergeCell ref="C99:G99"/>
    <mergeCell ref="C102:G102"/>
    <mergeCell ref="C103:G103"/>
    <mergeCell ref="C100:G100"/>
    <mergeCell ref="C101:G101"/>
    <mergeCell ref="C110:G110"/>
    <mergeCell ref="C111:G111"/>
    <mergeCell ref="C147:G147"/>
    <mergeCell ref="C148:G148"/>
    <mergeCell ref="C149:G149"/>
    <mergeCell ref="C152:G152"/>
    <mergeCell ref="C153:G153"/>
    <mergeCell ref="C150:G150"/>
    <mergeCell ref="C151:G151"/>
    <mergeCell ref="C234:G234"/>
    <mergeCell ref="C235:G235"/>
    <mergeCell ref="C232:G232"/>
    <mergeCell ref="C233:G233"/>
    <mergeCell ref="C230:G230"/>
    <mergeCell ref="C231:G231"/>
    <mergeCell ref="C237:G237"/>
    <mergeCell ref="C238:G238"/>
    <mergeCell ref="C236:G236"/>
    <mergeCell ref="C245:G245"/>
    <mergeCell ref="C246:G246"/>
    <mergeCell ref="C239:G239"/>
    <mergeCell ref="C242:G242"/>
    <mergeCell ref="C243:G243"/>
    <mergeCell ref="C244:G244"/>
    <mergeCell ref="C240:G240"/>
    <mergeCell ref="C241:G241"/>
    <mergeCell ref="C247:G247"/>
    <mergeCell ref="C197:G197"/>
    <mergeCell ref="C198:G198"/>
    <mergeCell ref="C217:G217"/>
    <mergeCell ref="C218:G218"/>
    <mergeCell ref="C219:G219"/>
    <mergeCell ref="C215:G215"/>
    <mergeCell ref="C216:G216"/>
    <mergeCell ref="C222:G222"/>
    <mergeCell ref="C194:G194"/>
    <mergeCell ref="C204:G204"/>
    <mergeCell ref="C207:G207"/>
    <mergeCell ref="C220:G220"/>
    <mergeCell ref="C221:G221"/>
    <mergeCell ref="C195:G195"/>
    <mergeCell ref="C196:G196"/>
    <mergeCell ref="C202:G202"/>
    <mergeCell ref="C203:G203"/>
    <mergeCell ref="C201:G201"/>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343</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27:G127"/>
    <mergeCell ref="C126:G126"/>
    <mergeCell ref="C117:G117"/>
    <mergeCell ref="C118:G118"/>
    <mergeCell ref="C115:G115"/>
    <mergeCell ref="C116:G116"/>
    <mergeCell ref="C124:G124"/>
    <mergeCell ref="C125:G125"/>
    <mergeCell ref="C122:G122"/>
    <mergeCell ref="C123:G123"/>
    <mergeCell ref="C120:G120"/>
    <mergeCell ref="C121:G121"/>
    <mergeCell ref="C128:G128"/>
    <mergeCell ref="C119:G119"/>
    <mergeCell ref="I75:M75"/>
    <mergeCell ref="I76:M76"/>
    <mergeCell ref="I82:M82"/>
    <mergeCell ref="I83:M83"/>
    <mergeCell ref="I84:M84"/>
    <mergeCell ref="I85:M85"/>
    <mergeCell ref="I86:M86"/>
    <mergeCell ref="C79:G79"/>
    <mergeCell ref="C80:G80"/>
    <mergeCell ref="C81:G81"/>
    <mergeCell ref="C87:G87"/>
    <mergeCell ref="C88:G88"/>
    <mergeCell ref="C89:G89"/>
    <mergeCell ref="C90:G90"/>
    <mergeCell ref="I87:M87"/>
    <mergeCell ref="I88:M88"/>
    <mergeCell ref="C85:G85"/>
    <mergeCell ref="C86:G86"/>
    <mergeCell ref="C82:G82"/>
    <mergeCell ref="C83:G83"/>
    <mergeCell ref="C84:G84"/>
    <mergeCell ref="I96:M96"/>
    <mergeCell ref="I97:M97"/>
    <mergeCell ref="I89:M89"/>
    <mergeCell ref="I90:M90"/>
    <mergeCell ref="I91:M91"/>
    <mergeCell ref="I92:M92"/>
    <mergeCell ref="I93:M93"/>
    <mergeCell ref="I94:M94"/>
    <mergeCell ref="I95:M95"/>
    <mergeCell ref="I114:M114"/>
    <mergeCell ref="I115:M115"/>
    <mergeCell ref="I107:M107"/>
    <mergeCell ref="I108:M108"/>
    <mergeCell ref="I109:M109"/>
    <mergeCell ref="I110:M110"/>
    <mergeCell ref="I111:M111"/>
    <mergeCell ref="I112:M112"/>
    <mergeCell ref="I113:M113"/>
    <mergeCell ref="I123:M123"/>
    <mergeCell ref="I124:M124"/>
    <mergeCell ref="I116:M116"/>
    <mergeCell ref="I117:M117"/>
    <mergeCell ref="I118:M118"/>
    <mergeCell ref="I119:M119"/>
    <mergeCell ref="I120:M120"/>
    <mergeCell ref="I121:M121"/>
    <mergeCell ref="I122:M122"/>
    <mergeCell ref="C24:G24"/>
    <mergeCell ref="C25:G25"/>
    <mergeCell ref="C26:G26"/>
    <mergeCell ref="C27:G27"/>
    <mergeCell ref="C28:G28"/>
    <mergeCell ref="C29:G29"/>
    <mergeCell ref="C32:G32"/>
    <mergeCell ref="I32:M32"/>
    <mergeCell ref="C1:J1"/>
    <mergeCell ref="C2:G2"/>
    <mergeCell ref="H2:L2"/>
    <mergeCell ref="C23:G23"/>
    <mergeCell ref="I23:M23"/>
    <mergeCell ref="C31:G31"/>
    <mergeCell ref="C30:G30"/>
    <mergeCell ref="C110:G110"/>
    <mergeCell ref="C111:G111"/>
    <mergeCell ref="C109:G109"/>
    <mergeCell ref="C112:G112"/>
    <mergeCell ref="C113:G113"/>
    <mergeCell ref="C114:G114"/>
    <mergeCell ref="C95:G95"/>
    <mergeCell ref="C92:G92"/>
    <mergeCell ref="C91:G91"/>
    <mergeCell ref="I98:M98"/>
    <mergeCell ref="I99:M99"/>
    <mergeCell ref="I100:M100"/>
    <mergeCell ref="I101:M101"/>
    <mergeCell ref="I102:M102"/>
    <mergeCell ref="I103:M103"/>
    <mergeCell ref="I104:M104"/>
    <mergeCell ref="I105:M105"/>
    <mergeCell ref="I106:M106"/>
    <mergeCell ref="C104:G104"/>
    <mergeCell ref="C107:G107"/>
    <mergeCell ref="C108:G108"/>
    <mergeCell ref="C105:G105"/>
    <mergeCell ref="C106:G106"/>
    <mergeCell ref="C93:G93"/>
    <mergeCell ref="C94:G94"/>
    <mergeCell ref="C96:G96"/>
    <mergeCell ref="C97:G97"/>
    <mergeCell ref="C98:G98"/>
    <mergeCell ref="C99:G99"/>
    <mergeCell ref="C102:G102"/>
    <mergeCell ref="C103:G103"/>
    <mergeCell ref="C100:G100"/>
    <mergeCell ref="C101:G101"/>
    <mergeCell ref="I222:M222"/>
    <mergeCell ref="I223:M223"/>
    <mergeCell ref="I224:M224"/>
    <mergeCell ref="I225:M225"/>
    <mergeCell ref="I226:M226"/>
    <mergeCell ref="I227:M227"/>
    <mergeCell ref="I228:M228"/>
    <mergeCell ref="I215:M215"/>
    <mergeCell ref="I216:M216"/>
    <mergeCell ref="I217:M217"/>
    <mergeCell ref="I218:M218"/>
    <mergeCell ref="I219:M219"/>
    <mergeCell ref="I220:M220"/>
    <mergeCell ref="I221:M221"/>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229:M229"/>
    <mergeCell ref="I230:M230"/>
    <mergeCell ref="I231:M231"/>
    <mergeCell ref="I232:M232"/>
    <mergeCell ref="I233:M233"/>
    <mergeCell ref="I234:M234"/>
    <mergeCell ref="I235:M235"/>
    <mergeCell ref="I186:M186"/>
    <mergeCell ref="I187:M187"/>
    <mergeCell ref="I188:M188"/>
    <mergeCell ref="I189:M189"/>
    <mergeCell ref="I190:M190"/>
    <mergeCell ref="I191:M191"/>
    <mergeCell ref="I192:M192"/>
    <mergeCell ref="I202:M202"/>
    <mergeCell ref="I203:M203"/>
    <mergeCell ref="I204:M204"/>
    <mergeCell ref="I205:M205"/>
    <mergeCell ref="I206:M206"/>
    <mergeCell ref="I208:M208"/>
    <mergeCell ref="I209:M209"/>
    <mergeCell ref="I210:M210"/>
    <mergeCell ref="I211:M211"/>
    <mergeCell ref="I213:M213"/>
    <mergeCell ref="I214:M214"/>
    <mergeCell ref="I212:M212"/>
    <mergeCell ref="I207:M207"/>
    <mergeCell ref="I28:M28"/>
    <mergeCell ref="I29:M29"/>
    <mergeCell ref="I152:M152"/>
    <mergeCell ref="I153:M153"/>
    <mergeCell ref="I145:M145"/>
    <mergeCell ref="I146:M146"/>
    <mergeCell ref="I147:M147"/>
    <mergeCell ref="I148:M148"/>
    <mergeCell ref="I149:M149"/>
    <mergeCell ref="I150:M150"/>
    <mergeCell ref="I151:M151"/>
    <mergeCell ref="I161:M161"/>
    <mergeCell ref="I162:M162"/>
    <mergeCell ref="I154:M154"/>
    <mergeCell ref="I155:M155"/>
    <mergeCell ref="I156:M156"/>
    <mergeCell ref="I157:M157"/>
    <mergeCell ref="I158:M158"/>
    <mergeCell ref="I159:M159"/>
    <mergeCell ref="I160:M160"/>
    <mergeCell ref="I170:M170"/>
    <mergeCell ref="I171:M171"/>
    <mergeCell ref="I163:M163"/>
    <mergeCell ref="I164:M164"/>
    <mergeCell ref="I165:M165"/>
    <mergeCell ref="I166:M166"/>
    <mergeCell ref="I167:M167"/>
    <mergeCell ref="I168:M168"/>
    <mergeCell ref="I169:M169"/>
    <mergeCell ref="I184:M184"/>
    <mergeCell ref="I185:M185"/>
    <mergeCell ref="I173:M173"/>
    <mergeCell ref="I174:M174"/>
    <mergeCell ref="I175:M175"/>
    <mergeCell ref="I176:M176"/>
    <mergeCell ref="I172:M172"/>
    <mergeCell ref="I178:M178"/>
    <mergeCell ref="I179:M179"/>
    <mergeCell ref="I180:M180"/>
    <mergeCell ref="I181:M181"/>
    <mergeCell ref="I182:M182"/>
    <mergeCell ref="I183:M183"/>
    <mergeCell ref="I177:M177"/>
    <mergeCell ref="I200:M200"/>
    <mergeCell ref="I201:M201"/>
    <mergeCell ref="I193:M193"/>
    <mergeCell ref="I194:M194"/>
    <mergeCell ref="I195:M195"/>
    <mergeCell ref="I196:M196"/>
    <mergeCell ref="I197:M197"/>
    <mergeCell ref="I198:M198"/>
    <mergeCell ref="I199:M199"/>
    <mergeCell ref="I59:M59"/>
    <mergeCell ref="I60:M60"/>
    <mergeCell ref="I61:M61"/>
    <mergeCell ref="I62:M62"/>
    <mergeCell ref="I54:M54"/>
    <mergeCell ref="I55:M55"/>
    <mergeCell ref="I56:M56"/>
    <mergeCell ref="I57:M57"/>
    <mergeCell ref="I58:M58"/>
    <mergeCell ref="I30:M30"/>
    <mergeCell ref="I31:M31"/>
    <mergeCell ref="I24:M24"/>
    <mergeCell ref="I25:M25"/>
    <mergeCell ref="I33:M33"/>
    <mergeCell ref="I34:M34"/>
    <mergeCell ref="I35:M35"/>
    <mergeCell ref="I26:M26"/>
    <mergeCell ref="I27:M27"/>
    <mergeCell ref="C208:G208"/>
    <mergeCell ref="C205:G205"/>
    <mergeCell ref="C206:G206"/>
    <mergeCell ref="C207:G207"/>
    <mergeCell ref="C197:G197"/>
    <mergeCell ref="C198:G198"/>
    <mergeCell ref="C200:G200"/>
    <mergeCell ref="C204:G204"/>
    <mergeCell ref="C202:G202"/>
    <mergeCell ref="C203:G203"/>
    <mergeCell ref="C201:G201"/>
    <mergeCell ref="C195:G195"/>
    <mergeCell ref="C196:G196"/>
    <mergeCell ref="C199:G199"/>
    <mergeCell ref="C210:G210"/>
    <mergeCell ref="C211:G211"/>
    <mergeCell ref="C192:G192"/>
    <mergeCell ref="C193:G193"/>
    <mergeCell ref="C209:G209"/>
    <mergeCell ref="C194:G194"/>
    <mergeCell ref="C223:G223"/>
    <mergeCell ref="C224:G224"/>
    <mergeCell ref="C227:G227"/>
    <mergeCell ref="C228:G228"/>
    <mergeCell ref="C229:G229"/>
    <mergeCell ref="C225:G225"/>
    <mergeCell ref="C226:G226"/>
    <mergeCell ref="C222:G222"/>
    <mergeCell ref="C219:G219"/>
    <mergeCell ref="C220:G220"/>
    <mergeCell ref="C221:G221"/>
    <mergeCell ref="C212:G212"/>
    <mergeCell ref="C213:G213"/>
    <mergeCell ref="C214:G214"/>
    <mergeCell ref="C217:G217"/>
    <mergeCell ref="C218:G218"/>
    <mergeCell ref="C215:G215"/>
    <mergeCell ref="C216:G216"/>
    <mergeCell ref="C138:G138"/>
    <mergeCell ref="C139:G139"/>
    <mergeCell ref="C142:G142"/>
    <mergeCell ref="C143:G143"/>
    <mergeCell ref="C137:G137"/>
    <mergeCell ref="C140:G140"/>
    <mergeCell ref="C144:G144"/>
    <mergeCell ref="C147:G147"/>
    <mergeCell ref="C148:G148"/>
    <mergeCell ref="C149:G149"/>
    <mergeCell ref="C152:G152"/>
    <mergeCell ref="C153:G153"/>
    <mergeCell ref="C150:G150"/>
    <mergeCell ref="C151:G151"/>
    <mergeCell ref="C136:G136"/>
    <mergeCell ref="C160:G160"/>
    <mergeCell ref="C157:G157"/>
    <mergeCell ref="C158:G158"/>
    <mergeCell ref="C159:G159"/>
    <mergeCell ref="C156:G156"/>
    <mergeCell ref="C141:G141"/>
    <mergeCell ref="C248:G248"/>
    <mergeCell ref="C245:G245"/>
    <mergeCell ref="C246:G246"/>
    <mergeCell ref="C247:G247"/>
    <mergeCell ref="C239:G239"/>
    <mergeCell ref="C242:G242"/>
    <mergeCell ref="C240:G240"/>
    <mergeCell ref="C241:G241"/>
    <mergeCell ref="C243:G243"/>
    <mergeCell ref="C244:G244"/>
    <mergeCell ref="C249:G249"/>
    <mergeCell ref="C234:G234"/>
    <mergeCell ref="C232:G232"/>
    <mergeCell ref="C233:G233"/>
    <mergeCell ref="C230:G230"/>
    <mergeCell ref="C231:G231"/>
    <mergeCell ref="C238:G238"/>
    <mergeCell ref="C154:G154"/>
    <mergeCell ref="C155:G155"/>
    <mergeCell ref="C163:G163"/>
    <mergeCell ref="C164:G164"/>
    <mergeCell ref="C167:G167"/>
    <mergeCell ref="C168:G168"/>
    <mergeCell ref="C169:G169"/>
    <mergeCell ref="C165:G165"/>
    <mergeCell ref="C166:G166"/>
    <mergeCell ref="C179:G179"/>
    <mergeCell ref="C180:G180"/>
    <mergeCell ref="C181:G181"/>
    <mergeCell ref="C189:G189"/>
    <mergeCell ref="C190:G190"/>
    <mergeCell ref="C191:G191"/>
    <mergeCell ref="C182:G182"/>
    <mergeCell ref="C183:G183"/>
    <mergeCell ref="C187:G187"/>
    <mergeCell ref="C188:G188"/>
    <mergeCell ref="C184:G184"/>
    <mergeCell ref="C185:G185"/>
    <mergeCell ref="C186:G186"/>
    <mergeCell ref="C145:G145"/>
    <mergeCell ref="C146:G146"/>
    <mergeCell ref="C235:G235"/>
    <mergeCell ref="C237:G237"/>
    <mergeCell ref="C236:G236"/>
    <mergeCell ref="C60:G60"/>
    <mergeCell ref="C61:G61"/>
    <mergeCell ref="I63:M63"/>
    <mergeCell ref="I64:M64"/>
    <mergeCell ref="I65:M65"/>
    <mergeCell ref="I66:M66"/>
    <mergeCell ref="I67:M67"/>
    <mergeCell ref="C62:G62"/>
    <mergeCell ref="C63:G63"/>
    <mergeCell ref="C64:G64"/>
    <mergeCell ref="C67:G67"/>
    <mergeCell ref="C68:G68"/>
    <mergeCell ref="C69:G69"/>
    <mergeCell ref="C65:G65"/>
    <mergeCell ref="C66:G66"/>
    <mergeCell ref="C72:G72"/>
    <mergeCell ref="C73:G73"/>
    <mergeCell ref="C70:G70"/>
    <mergeCell ref="C71:G71"/>
    <mergeCell ref="C74:G74"/>
    <mergeCell ref="I68:M68"/>
    <mergeCell ref="I69:M69"/>
    <mergeCell ref="I70:M70"/>
    <mergeCell ref="I71:M71"/>
    <mergeCell ref="I72:M72"/>
    <mergeCell ref="I73:M73"/>
    <mergeCell ref="I74:M74"/>
    <mergeCell ref="C46:G46"/>
    <mergeCell ref="C47:G47"/>
    <mergeCell ref="C48:G48"/>
    <mergeCell ref="C49:G49"/>
    <mergeCell ref="C45:G45"/>
    <mergeCell ref="I46:M46"/>
    <mergeCell ref="I47:M47"/>
    <mergeCell ref="I48:M48"/>
    <mergeCell ref="I49:M49"/>
    <mergeCell ref="I50:M50"/>
    <mergeCell ref="I45:M45"/>
    <mergeCell ref="C50:G50"/>
    <mergeCell ref="I43:M43"/>
    <mergeCell ref="I44:M44"/>
    <mergeCell ref="I37:M37"/>
    <mergeCell ref="I38:M38"/>
    <mergeCell ref="I39:M39"/>
    <mergeCell ref="I40:M40"/>
    <mergeCell ref="C35:G35"/>
    <mergeCell ref="I36:M36"/>
    <mergeCell ref="C36:G36"/>
    <mergeCell ref="C37:G37"/>
    <mergeCell ref="C38:G38"/>
    <mergeCell ref="C39:G39"/>
    <mergeCell ref="C40:G40"/>
    <mergeCell ref="C33:G33"/>
    <mergeCell ref="C34:G34"/>
    <mergeCell ref="I42:M42"/>
    <mergeCell ref="C43:G43"/>
    <mergeCell ref="C44:G44"/>
    <mergeCell ref="C42:G42"/>
    <mergeCell ref="I41:M41"/>
    <mergeCell ref="C41:G41"/>
    <mergeCell ref="C55:G55"/>
    <mergeCell ref="C56:G56"/>
    <mergeCell ref="C77:G77"/>
    <mergeCell ref="C78:G78"/>
    <mergeCell ref="C76:G76"/>
    <mergeCell ref="C75:G75"/>
    <mergeCell ref="I77:M77"/>
    <mergeCell ref="I51:M51"/>
    <mergeCell ref="I52:M52"/>
    <mergeCell ref="I53:M53"/>
    <mergeCell ref="C54:G54"/>
    <mergeCell ref="C57:G57"/>
    <mergeCell ref="C58:G58"/>
    <mergeCell ref="C59:G59"/>
    <mergeCell ref="C51:G51"/>
    <mergeCell ref="I138:M138"/>
    <mergeCell ref="I139:M139"/>
    <mergeCell ref="I140:M140"/>
    <mergeCell ref="I141:M141"/>
    <mergeCell ref="I142:M142"/>
    <mergeCell ref="I143:M143"/>
    <mergeCell ref="I144:M144"/>
    <mergeCell ref="C135:G135"/>
    <mergeCell ref="C129:G129"/>
    <mergeCell ref="C132:G132"/>
    <mergeCell ref="C133:G133"/>
    <mergeCell ref="C134:G134"/>
    <mergeCell ref="C130:G130"/>
    <mergeCell ref="C131:G131"/>
    <mergeCell ref="I125:M125"/>
    <mergeCell ref="I126:M126"/>
    <mergeCell ref="I127:M127"/>
    <mergeCell ref="I128:M128"/>
    <mergeCell ref="I129:M129"/>
    <mergeCell ref="I131:M131"/>
    <mergeCell ref="I132:M132"/>
    <mergeCell ref="I133:M133"/>
    <mergeCell ref="I134:M134"/>
    <mergeCell ref="I135:M135"/>
    <mergeCell ref="I136:M136"/>
    <mergeCell ref="I137:M137"/>
    <mergeCell ref="I130:M130"/>
    <mergeCell ref="I78:M78"/>
    <mergeCell ref="I79:M79"/>
    <mergeCell ref="I80:M80"/>
    <mergeCell ref="I81:M81"/>
    <mergeCell ref="C52:G52"/>
    <mergeCell ref="C53:G53"/>
    <mergeCell ref="C161:G161"/>
    <mergeCell ref="C162:G162"/>
    <mergeCell ref="C175:G175"/>
    <mergeCell ref="C176:G176"/>
    <mergeCell ref="C170:G170"/>
    <mergeCell ref="C171:G171"/>
    <mergeCell ref="C172:G172"/>
    <mergeCell ref="C173:G173"/>
    <mergeCell ref="C174:G174"/>
    <mergeCell ref="C177:G177"/>
    <mergeCell ref="C178:G178"/>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344</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345</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29:M129"/>
    <mergeCell ref="I131:M131"/>
    <mergeCell ref="I130:M130"/>
    <mergeCell ref="I133:M133"/>
    <mergeCell ref="I134:M134"/>
    <mergeCell ref="I135:M135"/>
    <mergeCell ref="I136:M136"/>
    <mergeCell ref="I137:M137"/>
    <mergeCell ref="I126:M126"/>
    <mergeCell ref="I132:M132"/>
    <mergeCell ref="I100:M100"/>
    <mergeCell ref="I101:M101"/>
    <mergeCell ref="I86:M86"/>
    <mergeCell ref="I89:M89"/>
    <mergeCell ref="I90:M90"/>
    <mergeCell ref="I91:M91"/>
    <mergeCell ref="I92:M92"/>
    <mergeCell ref="I93:M93"/>
    <mergeCell ref="I63:M63"/>
    <mergeCell ref="I64:M64"/>
    <mergeCell ref="I73:M73"/>
    <mergeCell ref="I74:M74"/>
    <mergeCell ref="I85:M85"/>
    <mergeCell ref="I84:M84"/>
    <mergeCell ref="I98:M98"/>
    <mergeCell ref="I99:M99"/>
    <mergeCell ref="I96:M96"/>
    <mergeCell ref="I97:M97"/>
    <mergeCell ref="I106:M106"/>
    <mergeCell ref="I102:M102"/>
    <mergeCell ref="I113:M113"/>
    <mergeCell ref="I108:M108"/>
    <mergeCell ref="I109:M109"/>
    <mergeCell ref="I110:M110"/>
    <mergeCell ref="I111:M111"/>
    <mergeCell ref="I112:M112"/>
    <mergeCell ref="I114:M114"/>
    <mergeCell ref="I115:M115"/>
    <mergeCell ref="I116:M116"/>
    <mergeCell ref="I117:M117"/>
    <mergeCell ref="I118:M118"/>
    <mergeCell ref="I119:M119"/>
    <mergeCell ref="I120:M120"/>
    <mergeCell ref="I94:M94"/>
    <mergeCell ref="I95:M95"/>
    <mergeCell ref="I107:M107"/>
    <mergeCell ref="I105:M105"/>
    <mergeCell ref="I125:M125"/>
    <mergeCell ref="I123:M123"/>
    <mergeCell ref="I124:M124"/>
    <mergeCell ref="I122:M122"/>
    <mergeCell ref="I121:M121"/>
    <mergeCell ref="I103:M103"/>
    <mergeCell ref="I104:M104"/>
    <mergeCell ref="C81:G81"/>
    <mergeCell ref="C87:G87"/>
    <mergeCell ref="C85:G85"/>
    <mergeCell ref="C86:G86"/>
    <mergeCell ref="C82:G82"/>
    <mergeCell ref="C83:G83"/>
    <mergeCell ref="C84:G84"/>
    <mergeCell ref="C88:G88"/>
    <mergeCell ref="C89:G89"/>
    <mergeCell ref="C95:G95"/>
    <mergeCell ref="C92:G92"/>
    <mergeCell ref="C78:G78"/>
    <mergeCell ref="C72:G72"/>
    <mergeCell ref="C70:G70"/>
    <mergeCell ref="C71:G71"/>
    <mergeCell ref="C60:G60"/>
    <mergeCell ref="C61:G61"/>
    <mergeCell ref="C99:G99"/>
    <mergeCell ref="C91:G91"/>
    <mergeCell ref="C64:G64"/>
    <mergeCell ref="C65:G65"/>
    <mergeCell ref="C90:G90"/>
    <mergeCell ref="C93:G93"/>
    <mergeCell ref="C94:G94"/>
    <mergeCell ref="C96:G96"/>
    <mergeCell ref="C73:G73"/>
    <mergeCell ref="C74:G74"/>
    <mergeCell ref="C100:G100"/>
    <mergeCell ref="C101:G101"/>
    <mergeCell ref="C97:G97"/>
    <mergeCell ref="C98:G98"/>
    <mergeCell ref="C104:G104"/>
    <mergeCell ref="C102:G102"/>
    <mergeCell ref="I80:M80"/>
    <mergeCell ref="I82:M82"/>
    <mergeCell ref="I81:M81"/>
    <mergeCell ref="I87:M87"/>
    <mergeCell ref="I88:M88"/>
    <mergeCell ref="C77:G77"/>
    <mergeCell ref="C76:G76"/>
    <mergeCell ref="I77:M77"/>
    <mergeCell ref="I76:M76"/>
    <mergeCell ref="I83:M83"/>
    <mergeCell ref="C75:G75"/>
    <mergeCell ref="I75:M75"/>
    <mergeCell ref="I66:M66"/>
    <mergeCell ref="I67:M67"/>
    <mergeCell ref="C69:G69"/>
    <mergeCell ref="C67:G67"/>
    <mergeCell ref="C68:G68"/>
    <mergeCell ref="C66:G66"/>
    <mergeCell ref="C62:G62"/>
    <mergeCell ref="C63:G63"/>
    <mergeCell ref="C108:G108"/>
    <mergeCell ref="C107:G107"/>
    <mergeCell ref="C105:G105"/>
    <mergeCell ref="C106:G106"/>
    <mergeCell ref="C103:G103"/>
    <mergeCell ref="I65:M65"/>
    <mergeCell ref="I60:M60"/>
    <mergeCell ref="I61:M61"/>
    <mergeCell ref="I62:M62"/>
    <mergeCell ref="I78:M78"/>
    <mergeCell ref="I79:M79"/>
    <mergeCell ref="I68:M68"/>
    <mergeCell ref="I69:M69"/>
    <mergeCell ref="I70:M70"/>
    <mergeCell ref="I71:M71"/>
    <mergeCell ref="I72:M72"/>
    <mergeCell ref="C79:G79"/>
    <mergeCell ref="C80:G80"/>
    <mergeCell ref="I181:M181"/>
    <mergeCell ref="I177:M177"/>
    <mergeCell ref="I178:M178"/>
    <mergeCell ref="I179:M179"/>
    <mergeCell ref="I180:M180"/>
    <mergeCell ref="I169:M169"/>
    <mergeCell ref="I170:M170"/>
    <mergeCell ref="I163:M163"/>
    <mergeCell ref="I164:M164"/>
    <mergeCell ref="I165:M165"/>
    <mergeCell ref="I166:M166"/>
    <mergeCell ref="I168:M168"/>
    <mergeCell ref="I171:M171"/>
    <mergeCell ref="I162:M162"/>
    <mergeCell ref="I187:M187"/>
    <mergeCell ref="I182:M182"/>
    <mergeCell ref="I183:M183"/>
    <mergeCell ref="I176:M176"/>
    <mergeCell ref="I186:M186"/>
    <mergeCell ref="I167:M167"/>
    <mergeCell ref="I157:M157"/>
    <mergeCell ref="I158:M158"/>
    <mergeCell ref="I161:M161"/>
    <mergeCell ref="I154:M154"/>
    <mergeCell ref="I155:M155"/>
    <mergeCell ref="I156:M156"/>
    <mergeCell ref="I159:M159"/>
    <mergeCell ref="I160:M160"/>
    <mergeCell ref="I153:M153"/>
    <mergeCell ref="I184:M184"/>
    <mergeCell ref="I185:M185"/>
    <mergeCell ref="I189:M189"/>
    <mergeCell ref="I190:M190"/>
    <mergeCell ref="I191:M191"/>
    <mergeCell ref="I192:M192"/>
    <mergeCell ref="I188:M188"/>
    <mergeCell ref="I173:M173"/>
    <mergeCell ref="I174:M174"/>
    <mergeCell ref="I175:M175"/>
    <mergeCell ref="I172:M172"/>
    <mergeCell ref="I127:M127"/>
    <mergeCell ref="I128:M128"/>
    <mergeCell ref="I151:M151"/>
    <mergeCell ref="I152:M152"/>
    <mergeCell ref="I150:M150"/>
    <mergeCell ref="I145:M145"/>
    <mergeCell ref="I146:M146"/>
    <mergeCell ref="I147:M147"/>
    <mergeCell ref="I202:M202"/>
    <mergeCell ref="I203:M203"/>
    <mergeCell ref="I209:M209"/>
    <mergeCell ref="I210:M210"/>
    <mergeCell ref="I204:M204"/>
    <mergeCell ref="I205:M205"/>
    <mergeCell ref="I206:M206"/>
    <mergeCell ref="I208:M208"/>
    <mergeCell ref="I207:M207"/>
    <mergeCell ref="C197:G197"/>
    <mergeCell ref="C195:G195"/>
    <mergeCell ref="C196:G196"/>
    <mergeCell ref="I196:M196"/>
    <mergeCell ref="I197:M197"/>
    <mergeCell ref="C189:G189"/>
    <mergeCell ref="C190:G190"/>
    <mergeCell ref="C187:G187"/>
    <mergeCell ref="C188:G188"/>
    <mergeCell ref="C186:G186"/>
    <mergeCell ref="C219:G219"/>
    <mergeCell ref="C217:G217"/>
    <mergeCell ref="C218:G218"/>
    <mergeCell ref="C210:G210"/>
    <mergeCell ref="C211:G211"/>
    <mergeCell ref="C209:G209"/>
    <mergeCell ref="C220:G220"/>
    <mergeCell ref="C212:G212"/>
    <mergeCell ref="C213:G213"/>
    <mergeCell ref="C214:G214"/>
    <mergeCell ref="C215:G215"/>
    <mergeCell ref="C216:G216"/>
    <mergeCell ref="I198:M198"/>
    <mergeCell ref="I199:M199"/>
    <mergeCell ref="I200:M200"/>
    <mergeCell ref="I201:M201"/>
    <mergeCell ref="I193:M193"/>
    <mergeCell ref="I194:M194"/>
    <mergeCell ref="I195:M195"/>
    <mergeCell ref="C227:G227"/>
    <mergeCell ref="C228:G228"/>
    <mergeCell ref="C229:G229"/>
    <mergeCell ref="C226:G226"/>
    <mergeCell ref="C224:G224"/>
    <mergeCell ref="C225:G225"/>
    <mergeCell ref="C223:G223"/>
    <mergeCell ref="I228:M228"/>
    <mergeCell ref="C192:G192"/>
    <mergeCell ref="C191:G191"/>
    <mergeCell ref="C193:G193"/>
    <mergeCell ref="C194:G194"/>
    <mergeCell ref="C198:G198"/>
    <mergeCell ref="C200:G200"/>
    <mergeCell ref="C199:G199"/>
    <mergeCell ref="C221:G221"/>
    <mergeCell ref="C222:G222"/>
    <mergeCell ref="C208:G208"/>
    <mergeCell ref="C205:G205"/>
    <mergeCell ref="C206:G206"/>
    <mergeCell ref="C207:G207"/>
    <mergeCell ref="C204:G204"/>
    <mergeCell ref="C202:G202"/>
    <mergeCell ref="C203:G203"/>
    <mergeCell ref="C201:G201"/>
    <mergeCell ref="C137:G137"/>
    <mergeCell ref="C136:G136"/>
    <mergeCell ref="C135:G135"/>
    <mergeCell ref="C175:G175"/>
    <mergeCell ref="C176:G176"/>
    <mergeCell ref="C174:G174"/>
    <mergeCell ref="C134:G134"/>
    <mergeCell ref="C160:G160"/>
    <mergeCell ref="C169:G169"/>
    <mergeCell ref="C161:G161"/>
    <mergeCell ref="C162:G162"/>
    <mergeCell ref="C163:G163"/>
    <mergeCell ref="C164:G164"/>
    <mergeCell ref="C167:G167"/>
    <mergeCell ref="C168:G168"/>
    <mergeCell ref="C159:G159"/>
    <mergeCell ref="C156:G156"/>
    <mergeCell ref="C154:G154"/>
    <mergeCell ref="C155:G155"/>
    <mergeCell ref="C153:G153"/>
    <mergeCell ref="C152:G152"/>
    <mergeCell ref="C138:G138"/>
    <mergeCell ref="C145:G145"/>
    <mergeCell ref="C146:G146"/>
    <mergeCell ref="C144:G144"/>
    <mergeCell ref="C147:G147"/>
    <mergeCell ref="C148:G148"/>
    <mergeCell ref="C149:G149"/>
    <mergeCell ref="C150:G150"/>
    <mergeCell ref="C151:G151"/>
    <mergeCell ref="C128:G128"/>
    <mergeCell ref="C129:G129"/>
    <mergeCell ref="C130:G130"/>
    <mergeCell ref="C132:G132"/>
    <mergeCell ref="C133:G133"/>
    <mergeCell ref="C131:G131"/>
    <mergeCell ref="C165:G165"/>
    <mergeCell ref="C166:G166"/>
    <mergeCell ref="C120:G120"/>
    <mergeCell ref="C121:G121"/>
    <mergeCell ref="C127:G127"/>
    <mergeCell ref="C126:G126"/>
    <mergeCell ref="C157:G157"/>
    <mergeCell ref="C158:G158"/>
    <mergeCell ref="C118:G118"/>
    <mergeCell ref="C119:G119"/>
    <mergeCell ref="C124:G124"/>
    <mergeCell ref="C122:G122"/>
    <mergeCell ref="C123:G123"/>
    <mergeCell ref="C125:G125"/>
    <mergeCell ref="I148:M148"/>
    <mergeCell ref="I149:M149"/>
    <mergeCell ref="I138:M138"/>
    <mergeCell ref="I139:M139"/>
    <mergeCell ref="I140:M140"/>
    <mergeCell ref="I141:M141"/>
    <mergeCell ref="I142:M142"/>
    <mergeCell ref="I143:M143"/>
    <mergeCell ref="I144:M144"/>
    <mergeCell ref="C140:G140"/>
    <mergeCell ref="C141:G141"/>
    <mergeCell ref="C139:G139"/>
    <mergeCell ref="C142:G142"/>
    <mergeCell ref="C143:G143"/>
    <mergeCell ref="C177:G177"/>
    <mergeCell ref="C178:G178"/>
    <mergeCell ref="C170:G170"/>
    <mergeCell ref="C171:G171"/>
    <mergeCell ref="C172:G172"/>
    <mergeCell ref="C173:G173"/>
    <mergeCell ref="C179:G179"/>
    <mergeCell ref="C180:G180"/>
    <mergeCell ref="C181:G181"/>
    <mergeCell ref="C182:G182"/>
    <mergeCell ref="C183:G183"/>
    <mergeCell ref="C184:G184"/>
    <mergeCell ref="C185:G185"/>
    <mergeCell ref="C110:G110"/>
    <mergeCell ref="C111:G111"/>
    <mergeCell ref="C112:G112"/>
    <mergeCell ref="C113:G113"/>
    <mergeCell ref="C117:G117"/>
    <mergeCell ref="C115:G115"/>
    <mergeCell ref="C116:G116"/>
    <mergeCell ref="C114:G114"/>
    <mergeCell ref="I34:M34"/>
    <mergeCell ref="I35:M35"/>
    <mergeCell ref="I33:M33"/>
    <mergeCell ref="I32:M32"/>
    <mergeCell ref="I37:M37"/>
    <mergeCell ref="I36:M36"/>
    <mergeCell ref="I51:M51"/>
    <mergeCell ref="I52:M52"/>
    <mergeCell ref="I29:M29"/>
    <mergeCell ref="I30:M30"/>
    <mergeCell ref="I53:M53"/>
    <mergeCell ref="I31:M31"/>
    <mergeCell ref="I48:M48"/>
    <mergeCell ref="I49:M49"/>
    <mergeCell ref="I50:M50"/>
    <mergeCell ref="I45:M45"/>
    <mergeCell ref="I43:M43"/>
    <mergeCell ref="I44:M44"/>
    <mergeCell ref="I40:M40"/>
    <mergeCell ref="C56:G56"/>
    <mergeCell ref="C55:G55"/>
    <mergeCell ref="C54:G54"/>
    <mergeCell ref="C57:G57"/>
    <mergeCell ref="C58:G58"/>
    <mergeCell ref="C59:G59"/>
    <mergeCell ref="C109:G109"/>
    <mergeCell ref="I55:M55"/>
    <mergeCell ref="I56:M56"/>
    <mergeCell ref="I57:M57"/>
    <mergeCell ref="I58:M58"/>
    <mergeCell ref="I59:M59"/>
    <mergeCell ref="I54:M54"/>
    <mergeCell ref="I42:M42"/>
    <mergeCell ref="I41:M41"/>
    <mergeCell ref="C45:G45"/>
    <mergeCell ref="C50:G50"/>
    <mergeCell ref="C53:G53"/>
    <mergeCell ref="C46:G46"/>
    <mergeCell ref="C47:G47"/>
    <mergeCell ref="I38:M38"/>
    <mergeCell ref="I39:M39"/>
    <mergeCell ref="C32:G32"/>
    <mergeCell ref="C31:G31"/>
    <mergeCell ref="C35:G35"/>
    <mergeCell ref="C36:G36"/>
    <mergeCell ref="C37:G37"/>
    <mergeCell ref="C34:G34"/>
    <mergeCell ref="I25:M25"/>
    <mergeCell ref="I26:M26"/>
    <mergeCell ref="I27:M27"/>
    <mergeCell ref="I28:M28"/>
    <mergeCell ref="C24:G24"/>
    <mergeCell ref="C25:G25"/>
    <mergeCell ref="C26:G26"/>
    <mergeCell ref="C27:G27"/>
    <mergeCell ref="C29:G29"/>
    <mergeCell ref="C30:G30"/>
    <mergeCell ref="C39:G39"/>
    <mergeCell ref="C40:G40"/>
    <mergeCell ref="C1:J1"/>
    <mergeCell ref="C2:G2"/>
    <mergeCell ref="H2:L2"/>
    <mergeCell ref="C23:G23"/>
    <mergeCell ref="C28:G28"/>
    <mergeCell ref="C48:G48"/>
    <mergeCell ref="C49:G49"/>
    <mergeCell ref="C51:G51"/>
    <mergeCell ref="C52:G52"/>
    <mergeCell ref="I46:M46"/>
    <mergeCell ref="I47:M47"/>
    <mergeCell ref="C43:G43"/>
    <mergeCell ref="C44:G44"/>
    <mergeCell ref="C42:G42"/>
    <mergeCell ref="C41:G41"/>
    <mergeCell ref="C38:G38"/>
    <mergeCell ref="C33:G33"/>
    <mergeCell ref="I23:M23"/>
    <mergeCell ref="I24:M24"/>
    <mergeCell ref="I219:M219"/>
    <mergeCell ref="I220:M220"/>
    <mergeCell ref="I212:M212"/>
    <mergeCell ref="I211:M211"/>
    <mergeCell ref="I213:M213"/>
    <mergeCell ref="I215:M215"/>
    <mergeCell ref="I216:M216"/>
    <mergeCell ref="I217:M217"/>
    <mergeCell ref="I218:M218"/>
    <mergeCell ref="I214:M214"/>
    <mergeCell ref="I230:M230"/>
    <mergeCell ref="C230:G230"/>
    <mergeCell ref="I229:M229"/>
    <mergeCell ref="I231:M231"/>
    <mergeCell ref="I233:M233"/>
    <mergeCell ref="I234:M234"/>
    <mergeCell ref="I235:M235"/>
    <mergeCell ref="C233:G233"/>
    <mergeCell ref="C231:G231"/>
    <mergeCell ref="I222:M222"/>
    <mergeCell ref="I223:M223"/>
    <mergeCell ref="I224:M224"/>
    <mergeCell ref="I225:M225"/>
    <mergeCell ref="I226:M226"/>
    <mergeCell ref="I227:M227"/>
    <mergeCell ref="I221:M221"/>
    <mergeCell ref="C246:G246"/>
    <mergeCell ref="C247:G247"/>
    <mergeCell ref="I245:M245"/>
    <mergeCell ref="I246:M246"/>
    <mergeCell ref="I247:M247"/>
    <mergeCell ref="I248:M248"/>
    <mergeCell ref="I249:M249"/>
    <mergeCell ref="C248:G248"/>
    <mergeCell ref="C245:G245"/>
    <mergeCell ref="C249:G249"/>
    <mergeCell ref="I232:M232"/>
    <mergeCell ref="C232:G232"/>
    <mergeCell ref="C234:G234"/>
    <mergeCell ref="C235:G235"/>
    <mergeCell ref="C238:G238"/>
    <mergeCell ref="C237:G237"/>
    <mergeCell ref="C239:G239"/>
    <mergeCell ref="C236:G236"/>
    <mergeCell ref="I236:M236"/>
    <mergeCell ref="I237:M237"/>
    <mergeCell ref="I238:M238"/>
    <mergeCell ref="I239:M239"/>
    <mergeCell ref="C240:G240"/>
    <mergeCell ref="I240:M240"/>
    <mergeCell ref="I244:M244"/>
    <mergeCell ref="I243:M243"/>
    <mergeCell ref="C243:G243"/>
    <mergeCell ref="C244:G244"/>
    <mergeCell ref="I242:M242"/>
    <mergeCell ref="C242:G242"/>
    <mergeCell ref="C241:G241"/>
    <mergeCell ref="I241:M241"/>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346</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91:M91"/>
    <mergeCell ref="I92:M92"/>
    <mergeCell ref="I98:M98"/>
    <mergeCell ref="I99:M99"/>
    <mergeCell ref="I96:M96"/>
    <mergeCell ref="I97:M97"/>
    <mergeCell ref="I101:M101"/>
    <mergeCell ref="I102:M102"/>
    <mergeCell ref="I103:M103"/>
    <mergeCell ref="I104:M104"/>
    <mergeCell ref="I109:M109"/>
    <mergeCell ref="I110:M110"/>
    <mergeCell ref="I130:M130"/>
    <mergeCell ref="I124:M124"/>
    <mergeCell ref="I122:M122"/>
    <mergeCell ref="I121:M121"/>
    <mergeCell ref="I131:M131"/>
    <mergeCell ref="I133:M133"/>
    <mergeCell ref="I134:M134"/>
    <mergeCell ref="I135:M135"/>
    <mergeCell ref="I136:M136"/>
    <mergeCell ref="I137:M137"/>
    <mergeCell ref="I132:M132"/>
    <mergeCell ref="I51:M51"/>
    <mergeCell ref="I48:M48"/>
    <mergeCell ref="I49:M49"/>
    <mergeCell ref="I50:M50"/>
    <mergeCell ref="I38:M38"/>
    <mergeCell ref="I39:M39"/>
    <mergeCell ref="I46:M46"/>
    <mergeCell ref="I47:M47"/>
    <mergeCell ref="I34:M34"/>
    <mergeCell ref="I35:M35"/>
    <mergeCell ref="I33:M33"/>
    <mergeCell ref="I37:M37"/>
    <mergeCell ref="I36:M36"/>
    <mergeCell ref="I52:M52"/>
    <mergeCell ref="I40:M40"/>
    <mergeCell ref="I100:M100"/>
    <mergeCell ref="I105:M105"/>
    <mergeCell ref="I127:M127"/>
    <mergeCell ref="I128:M128"/>
    <mergeCell ref="I129:M129"/>
    <mergeCell ref="I126:M126"/>
    <mergeCell ref="I89:M89"/>
    <mergeCell ref="I90:M90"/>
    <mergeCell ref="I113:M113"/>
    <mergeCell ref="I120:M120"/>
    <mergeCell ref="I95:M95"/>
    <mergeCell ref="I45:M45"/>
    <mergeCell ref="I43:M43"/>
    <mergeCell ref="I44:M44"/>
    <mergeCell ref="I53:M53"/>
    <mergeCell ref="I55:M55"/>
    <mergeCell ref="I56:M56"/>
    <mergeCell ref="I57:M57"/>
    <mergeCell ref="I58:M58"/>
    <mergeCell ref="I59:M59"/>
    <mergeCell ref="I54:M54"/>
    <mergeCell ref="I42:M42"/>
    <mergeCell ref="I41:M41"/>
    <mergeCell ref="I25:M25"/>
    <mergeCell ref="I23:M23"/>
    <mergeCell ref="I24:M24"/>
    <mergeCell ref="I32:M32"/>
    <mergeCell ref="I29:M29"/>
    <mergeCell ref="I30:M30"/>
    <mergeCell ref="I31:M31"/>
    <mergeCell ref="I26:M26"/>
    <mergeCell ref="I27:M27"/>
    <mergeCell ref="I28:M28"/>
    <mergeCell ref="I163:M163"/>
    <mergeCell ref="I164:M164"/>
    <mergeCell ref="I165:M165"/>
    <mergeCell ref="I166:M166"/>
    <mergeCell ref="I162:M162"/>
    <mergeCell ref="I158:M158"/>
    <mergeCell ref="I161:M161"/>
    <mergeCell ref="C165:G165"/>
    <mergeCell ref="C166:G166"/>
    <mergeCell ref="I159:M159"/>
    <mergeCell ref="I160:M160"/>
    <mergeCell ref="C160:G160"/>
    <mergeCell ref="C161:G161"/>
    <mergeCell ref="C162:G162"/>
    <mergeCell ref="C163:G163"/>
    <mergeCell ref="C164:G164"/>
    <mergeCell ref="C158:G158"/>
    <mergeCell ref="I170:M170"/>
    <mergeCell ref="I171:M171"/>
    <mergeCell ref="I181:M181"/>
    <mergeCell ref="I182:M182"/>
    <mergeCell ref="I177:M177"/>
    <mergeCell ref="I176:M176"/>
    <mergeCell ref="I168:M168"/>
    <mergeCell ref="I167:M167"/>
    <mergeCell ref="C167:G167"/>
    <mergeCell ref="C168:G168"/>
    <mergeCell ref="I150:M150"/>
    <mergeCell ref="I145:M145"/>
    <mergeCell ref="I146:M146"/>
    <mergeCell ref="I147:M147"/>
    <mergeCell ref="I148:M148"/>
    <mergeCell ref="I149:M149"/>
    <mergeCell ref="I144:M144"/>
    <mergeCell ref="I157:M157"/>
    <mergeCell ref="I154:M154"/>
    <mergeCell ref="I155:M155"/>
    <mergeCell ref="I156:M156"/>
    <mergeCell ref="I153:M153"/>
    <mergeCell ref="I151:M151"/>
    <mergeCell ref="I152:M152"/>
    <mergeCell ref="C145:G145"/>
    <mergeCell ref="C144:G144"/>
    <mergeCell ref="C149:G149"/>
    <mergeCell ref="C150:G150"/>
    <mergeCell ref="C151:G151"/>
    <mergeCell ref="C157:G157"/>
    <mergeCell ref="C54:G54"/>
    <mergeCell ref="C50:G50"/>
    <mergeCell ref="C53:G53"/>
    <mergeCell ref="C51:G51"/>
    <mergeCell ref="C52:G52"/>
    <mergeCell ref="C25:G25"/>
    <mergeCell ref="C26:G26"/>
    <mergeCell ref="C1:J1"/>
    <mergeCell ref="C2:G2"/>
    <mergeCell ref="H2:L2"/>
    <mergeCell ref="C23:G23"/>
    <mergeCell ref="C27:G27"/>
    <mergeCell ref="C29:G29"/>
    <mergeCell ref="C28:G28"/>
    <mergeCell ref="C37:G37"/>
    <mergeCell ref="C39:G39"/>
    <mergeCell ref="C40:G40"/>
    <mergeCell ref="C38:G38"/>
    <mergeCell ref="C32:G32"/>
    <mergeCell ref="C31:G31"/>
    <mergeCell ref="C35:G35"/>
    <mergeCell ref="C36:G36"/>
    <mergeCell ref="C34:G34"/>
    <mergeCell ref="C24:G24"/>
    <mergeCell ref="C30:G30"/>
    <mergeCell ref="C33:G33"/>
    <mergeCell ref="C48:G48"/>
    <mergeCell ref="C49:G49"/>
    <mergeCell ref="C43:G43"/>
    <mergeCell ref="C44:G44"/>
    <mergeCell ref="C42:G42"/>
    <mergeCell ref="C41:G41"/>
    <mergeCell ref="C60:G60"/>
    <mergeCell ref="C56:G56"/>
    <mergeCell ref="C55:G55"/>
    <mergeCell ref="C57:G57"/>
    <mergeCell ref="C58:G58"/>
    <mergeCell ref="C59:G59"/>
    <mergeCell ref="C45:G45"/>
    <mergeCell ref="C77:G77"/>
    <mergeCell ref="C76:G76"/>
    <mergeCell ref="C70:G70"/>
    <mergeCell ref="C69:G69"/>
    <mergeCell ref="C67:G67"/>
    <mergeCell ref="C68:G68"/>
    <mergeCell ref="C61:G61"/>
    <mergeCell ref="C62:G62"/>
    <mergeCell ref="C78:G78"/>
    <mergeCell ref="C79:G79"/>
    <mergeCell ref="C81:G81"/>
    <mergeCell ref="C72:G72"/>
    <mergeCell ref="C71:G71"/>
    <mergeCell ref="C75:G75"/>
    <mergeCell ref="C66:G66"/>
    <mergeCell ref="C63:G63"/>
    <mergeCell ref="C80:G80"/>
    <mergeCell ref="C46:G46"/>
    <mergeCell ref="C47:G47"/>
    <mergeCell ref="C101:G101"/>
    <mergeCell ref="C102:G102"/>
    <mergeCell ref="C83:G83"/>
    <mergeCell ref="C84:G84"/>
    <mergeCell ref="C95:G95"/>
    <mergeCell ref="C99:G99"/>
    <mergeCell ref="C96:G96"/>
    <mergeCell ref="C100:G100"/>
    <mergeCell ref="C104:G104"/>
    <mergeCell ref="C103:G103"/>
    <mergeCell ref="C88:G88"/>
    <mergeCell ref="C89:G89"/>
    <mergeCell ref="C64:G64"/>
    <mergeCell ref="C65:G65"/>
    <mergeCell ref="C91:G91"/>
    <mergeCell ref="C90:G90"/>
    <mergeCell ref="C93:G93"/>
    <mergeCell ref="C94:G94"/>
    <mergeCell ref="C73:G73"/>
    <mergeCell ref="C74:G74"/>
    <mergeCell ref="I72:M72"/>
    <mergeCell ref="C87:G87"/>
    <mergeCell ref="I87:M87"/>
    <mergeCell ref="I93:M93"/>
    <mergeCell ref="I94:M94"/>
    <mergeCell ref="C85:G85"/>
    <mergeCell ref="C86:G86"/>
    <mergeCell ref="C82:G82"/>
    <mergeCell ref="C92:G92"/>
    <mergeCell ref="I81:M81"/>
    <mergeCell ref="I88:M88"/>
    <mergeCell ref="I80:M80"/>
    <mergeCell ref="I82:M82"/>
    <mergeCell ref="I86:M86"/>
    <mergeCell ref="I64:M64"/>
    <mergeCell ref="I73:M73"/>
    <mergeCell ref="I85:M85"/>
    <mergeCell ref="I84:M84"/>
    <mergeCell ref="I83:M83"/>
    <mergeCell ref="I65:M65"/>
    <mergeCell ref="I77:M77"/>
    <mergeCell ref="I76:M76"/>
    <mergeCell ref="I74:M74"/>
    <mergeCell ref="I75:M75"/>
    <mergeCell ref="I66:M66"/>
    <mergeCell ref="I67:M67"/>
    <mergeCell ref="I63:M63"/>
    <mergeCell ref="I60:M60"/>
    <mergeCell ref="I61:M61"/>
    <mergeCell ref="I62:M62"/>
    <mergeCell ref="I78:M78"/>
    <mergeCell ref="I79:M79"/>
    <mergeCell ref="I68:M68"/>
    <mergeCell ref="I69:M69"/>
    <mergeCell ref="I70:M70"/>
    <mergeCell ref="I71:M71"/>
    <mergeCell ref="C147:G147"/>
    <mergeCell ref="C148:G148"/>
    <mergeCell ref="C159:G159"/>
    <mergeCell ref="C156:G156"/>
    <mergeCell ref="C154:G154"/>
    <mergeCell ref="C155:G155"/>
    <mergeCell ref="C153:G153"/>
    <mergeCell ref="C152:G152"/>
    <mergeCell ref="C146:G146"/>
    <mergeCell ref="C130:G130"/>
    <mergeCell ref="C132:G132"/>
    <mergeCell ref="C131:G131"/>
    <mergeCell ref="I125:M125"/>
    <mergeCell ref="C127:G127"/>
    <mergeCell ref="C126:G126"/>
    <mergeCell ref="C125:G125"/>
    <mergeCell ref="C124:G124"/>
    <mergeCell ref="C123:G123"/>
    <mergeCell ref="I138:M138"/>
    <mergeCell ref="I139:M139"/>
    <mergeCell ref="I140:M140"/>
    <mergeCell ref="I141:M141"/>
    <mergeCell ref="I142:M142"/>
    <mergeCell ref="I143:M143"/>
    <mergeCell ref="C140:G140"/>
    <mergeCell ref="C141:G141"/>
    <mergeCell ref="C139:G139"/>
    <mergeCell ref="C142:G142"/>
    <mergeCell ref="C143:G143"/>
    <mergeCell ref="I123:M123"/>
    <mergeCell ref="C137:G137"/>
    <mergeCell ref="C136:G136"/>
    <mergeCell ref="C135:G135"/>
    <mergeCell ref="C134:G134"/>
    <mergeCell ref="C138:G138"/>
    <mergeCell ref="C133:G133"/>
    <mergeCell ref="I111:M111"/>
    <mergeCell ref="I112:M112"/>
    <mergeCell ref="I114:M114"/>
    <mergeCell ref="I115:M115"/>
    <mergeCell ref="I116:M116"/>
    <mergeCell ref="I117:M117"/>
    <mergeCell ref="I118:M118"/>
    <mergeCell ref="I119:M119"/>
    <mergeCell ref="C120:G120"/>
    <mergeCell ref="C121:G121"/>
    <mergeCell ref="C118:G118"/>
    <mergeCell ref="C119:G119"/>
    <mergeCell ref="C122:G122"/>
    <mergeCell ref="C117:G117"/>
    <mergeCell ref="C97:G97"/>
    <mergeCell ref="C98:G98"/>
    <mergeCell ref="C128:G128"/>
    <mergeCell ref="C129:G129"/>
    <mergeCell ref="C110:G110"/>
    <mergeCell ref="C111:G111"/>
    <mergeCell ref="C112:G112"/>
    <mergeCell ref="C113:G113"/>
    <mergeCell ref="C115:G115"/>
    <mergeCell ref="C116:G116"/>
    <mergeCell ref="C114:G114"/>
    <mergeCell ref="C109:G109"/>
    <mergeCell ref="I106:M106"/>
    <mergeCell ref="I108:M108"/>
    <mergeCell ref="I107:M107"/>
    <mergeCell ref="C108:G108"/>
    <mergeCell ref="C107:G107"/>
    <mergeCell ref="C105:G105"/>
    <mergeCell ref="C106:G106"/>
    <mergeCell ref="C230:G230"/>
    <mergeCell ref="C231:G231"/>
    <mergeCell ref="I222:M222"/>
    <mergeCell ref="I223:M223"/>
    <mergeCell ref="I224:M224"/>
    <mergeCell ref="I225:M225"/>
    <mergeCell ref="I226:M226"/>
    <mergeCell ref="I227:M227"/>
    <mergeCell ref="I229:M229"/>
    <mergeCell ref="I232:M232"/>
    <mergeCell ref="C224:G224"/>
    <mergeCell ref="C223:G223"/>
    <mergeCell ref="I228:M228"/>
    <mergeCell ref="I219:M219"/>
    <mergeCell ref="I220:M220"/>
    <mergeCell ref="C233:G233"/>
    <mergeCell ref="I221:M221"/>
    <mergeCell ref="I244:M244"/>
    <mergeCell ref="I243:M243"/>
    <mergeCell ref="C243:G243"/>
    <mergeCell ref="C244:G244"/>
    <mergeCell ref="I242:M242"/>
    <mergeCell ref="C242:G242"/>
    <mergeCell ref="C241:G241"/>
    <mergeCell ref="I241:M241"/>
    <mergeCell ref="I247:M247"/>
    <mergeCell ref="I248:M248"/>
    <mergeCell ref="I249:M249"/>
    <mergeCell ref="C248:G248"/>
    <mergeCell ref="C249:G249"/>
    <mergeCell ref="I238:M238"/>
    <mergeCell ref="C240:G240"/>
    <mergeCell ref="I205:M205"/>
    <mergeCell ref="I206:M206"/>
    <mergeCell ref="I198:M198"/>
    <mergeCell ref="I199:M199"/>
    <mergeCell ref="C192:G192"/>
    <mergeCell ref="C191:G191"/>
    <mergeCell ref="C193:G193"/>
    <mergeCell ref="C194:G194"/>
    <mergeCell ref="C198:G198"/>
    <mergeCell ref="C200:G200"/>
    <mergeCell ref="C199:G199"/>
    <mergeCell ref="C205:G205"/>
    <mergeCell ref="C206:G206"/>
    <mergeCell ref="I169:M169"/>
    <mergeCell ref="C169:G169"/>
    <mergeCell ref="C170:G170"/>
    <mergeCell ref="I239:M239"/>
    <mergeCell ref="I240:M240"/>
    <mergeCell ref="C212:G212"/>
    <mergeCell ref="C213:G213"/>
    <mergeCell ref="C214:G214"/>
    <mergeCell ref="C215:G215"/>
    <mergeCell ref="C209:G209"/>
    <mergeCell ref="C208:G208"/>
    <mergeCell ref="C211:G211"/>
    <mergeCell ref="I212:M212"/>
    <mergeCell ref="I211:M211"/>
    <mergeCell ref="I213:M213"/>
    <mergeCell ref="I215:M215"/>
    <mergeCell ref="I214:M214"/>
    <mergeCell ref="I216:M216"/>
    <mergeCell ref="I217:M217"/>
    <mergeCell ref="I208:M208"/>
    <mergeCell ref="I207:M207"/>
    <mergeCell ref="C217:G217"/>
    <mergeCell ref="C218:G218"/>
    <mergeCell ref="C210:G210"/>
    <mergeCell ref="C216:G216"/>
    <mergeCell ref="C207:G207"/>
    <mergeCell ref="I218:M218"/>
    <mergeCell ref="I200:M200"/>
    <mergeCell ref="I201:M201"/>
    <mergeCell ref="I193:M193"/>
    <mergeCell ref="I194:M194"/>
    <mergeCell ref="I189:M189"/>
    <mergeCell ref="I190:M190"/>
    <mergeCell ref="I191:M191"/>
    <mergeCell ref="I192:M192"/>
    <mergeCell ref="I202:M202"/>
    <mergeCell ref="I209:M209"/>
    <mergeCell ref="I210:M210"/>
    <mergeCell ref="I195:M195"/>
    <mergeCell ref="I178:M178"/>
    <mergeCell ref="I179:M179"/>
    <mergeCell ref="I180:M180"/>
    <mergeCell ref="I187:M187"/>
    <mergeCell ref="I183:M183"/>
    <mergeCell ref="I186:M186"/>
    <mergeCell ref="I188:M188"/>
    <mergeCell ref="C178:G178"/>
    <mergeCell ref="C179:G179"/>
    <mergeCell ref="C180:G180"/>
    <mergeCell ref="C181:G181"/>
    <mergeCell ref="C182:G182"/>
    <mergeCell ref="C183:G183"/>
    <mergeCell ref="C184:G184"/>
    <mergeCell ref="C185:G185"/>
    <mergeCell ref="I184:M184"/>
    <mergeCell ref="I185:M185"/>
    <mergeCell ref="C189:G189"/>
    <mergeCell ref="C190:G190"/>
    <mergeCell ref="C187:G187"/>
    <mergeCell ref="C188:G188"/>
    <mergeCell ref="C186:G186"/>
    <mergeCell ref="C221:G221"/>
    <mergeCell ref="C222:G222"/>
    <mergeCell ref="C246:G246"/>
    <mergeCell ref="C247:G247"/>
    <mergeCell ref="C245:G245"/>
    <mergeCell ref="C232:G232"/>
    <mergeCell ref="C234:G234"/>
    <mergeCell ref="C235:G235"/>
    <mergeCell ref="C238:G238"/>
    <mergeCell ref="C237:G237"/>
    <mergeCell ref="C239:G239"/>
    <mergeCell ref="C236:G236"/>
    <mergeCell ref="C219:G219"/>
    <mergeCell ref="C220:G220"/>
    <mergeCell ref="C227:G227"/>
    <mergeCell ref="C228:G228"/>
    <mergeCell ref="C229:G229"/>
    <mergeCell ref="C226:G226"/>
    <mergeCell ref="C225:G225"/>
    <mergeCell ref="C204:G204"/>
    <mergeCell ref="C202:G202"/>
    <mergeCell ref="C203:G203"/>
    <mergeCell ref="I203:M203"/>
    <mergeCell ref="I204:M204"/>
    <mergeCell ref="C197:G197"/>
    <mergeCell ref="C195:G195"/>
    <mergeCell ref="C196:G196"/>
    <mergeCell ref="I196:M196"/>
    <mergeCell ref="I197:M197"/>
    <mergeCell ref="C201:G201"/>
    <mergeCell ref="C174:G174"/>
    <mergeCell ref="C171:G171"/>
    <mergeCell ref="C172:G172"/>
    <mergeCell ref="C173:G173"/>
    <mergeCell ref="I173:M173"/>
    <mergeCell ref="I174:M174"/>
    <mergeCell ref="I175:M175"/>
    <mergeCell ref="I172:M172"/>
    <mergeCell ref="C175:G175"/>
    <mergeCell ref="C176:G176"/>
    <mergeCell ref="C177:G177"/>
    <mergeCell ref="I236:M236"/>
    <mergeCell ref="I237:M237"/>
    <mergeCell ref="I230:M230"/>
    <mergeCell ref="I231:M231"/>
    <mergeCell ref="I233:M233"/>
    <mergeCell ref="I234:M234"/>
    <mergeCell ref="I235:M235"/>
    <mergeCell ref="I245:M245"/>
    <mergeCell ref="I246:M246"/>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347</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73:G73"/>
    <mergeCell ref="C74:G74"/>
    <mergeCell ref="C77:G77"/>
    <mergeCell ref="C76:G76"/>
    <mergeCell ref="C70:G70"/>
    <mergeCell ref="C69:G69"/>
    <mergeCell ref="C68:G68"/>
    <mergeCell ref="C78:G78"/>
    <mergeCell ref="C75:G75"/>
    <mergeCell ref="C83:G83"/>
    <mergeCell ref="C82:G82"/>
    <mergeCell ref="C79:G79"/>
    <mergeCell ref="C81:G81"/>
    <mergeCell ref="C80:G80"/>
    <mergeCell ref="C95:G95"/>
    <mergeCell ref="C96:G96"/>
    <mergeCell ref="C87:G87"/>
    <mergeCell ref="C86:G86"/>
    <mergeCell ref="C92:G92"/>
    <mergeCell ref="C72:G72"/>
    <mergeCell ref="C71:G71"/>
    <mergeCell ref="C67:G67"/>
    <mergeCell ref="C66:G66"/>
    <mergeCell ref="C64:G64"/>
    <mergeCell ref="C65:G65"/>
    <mergeCell ref="C99:G99"/>
    <mergeCell ref="C100:G100"/>
    <mergeCell ref="C97:G97"/>
    <mergeCell ref="C98:G98"/>
    <mergeCell ref="C88:G88"/>
    <mergeCell ref="C89:G89"/>
    <mergeCell ref="C91:G91"/>
    <mergeCell ref="C90:G90"/>
    <mergeCell ref="C93:G93"/>
    <mergeCell ref="C94:G94"/>
    <mergeCell ref="C84:G84"/>
    <mergeCell ref="C85:G85"/>
    <mergeCell ref="I65:M65"/>
    <mergeCell ref="I66:M66"/>
    <mergeCell ref="I64:M64"/>
    <mergeCell ref="I63:M63"/>
    <mergeCell ref="I60:M60"/>
    <mergeCell ref="I61:M61"/>
    <mergeCell ref="I67:M67"/>
    <mergeCell ref="I68:M68"/>
    <mergeCell ref="I69:M69"/>
    <mergeCell ref="I70:M70"/>
    <mergeCell ref="I55:M55"/>
    <mergeCell ref="I54:M54"/>
    <mergeCell ref="I72:M72"/>
    <mergeCell ref="I77:M77"/>
    <mergeCell ref="I76:M76"/>
    <mergeCell ref="I75:M75"/>
    <mergeCell ref="I62:M62"/>
    <mergeCell ref="I71:M71"/>
    <mergeCell ref="I118:M118"/>
    <mergeCell ref="I119:M119"/>
    <mergeCell ref="I106:M106"/>
    <mergeCell ref="I108:M108"/>
    <mergeCell ref="I107:M107"/>
    <mergeCell ref="I101:M101"/>
    <mergeCell ref="I111:M111"/>
    <mergeCell ref="I112:M112"/>
    <mergeCell ref="I114:M114"/>
    <mergeCell ref="I115:M115"/>
    <mergeCell ref="I116:M116"/>
    <mergeCell ref="I117:M117"/>
    <mergeCell ref="I122:M122"/>
    <mergeCell ref="I121:M121"/>
    <mergeCell ref="I123:M123"/>
    <mergeCell ref="I128:M128"/>
    <mergeCell ref="I129:M129"/>
    <mergeCell ref="I125:M125"/>
    <mergeCell ref="I23:M23"/>
    <mergeCell ref="I24:M24"/>
    <mergeCell ref="I131:M131"/>
    <mergeCell ref="I133:M133"/>
    <mergeCell ref="I134:M134"/>
    <mergeCell ref="I135:M135"/>
    <mergeCell ref="I136:M136"/>
    <mergeCell ref="I137:M137"/>
    <mergeCell ref="I132:M132"/>
    <mergeCell ref="I92:M92"/>
    <mergeCell ref="I93:M93"/>
    <mergeCell ref="I73:M73"/>
    <mergeCell ref="I74:M74"/>
    <mergeCell ref="I78:M78"/>
    <mergeCell ref="I79:M79"/>
    <mergeCell ref="I98:M98"/>
    <mergeCell ref="I99:M99"/>
    <mergeCell ref="I96:M96"/>
    <mergeCell ref="I97:M97"/>
    <mergeCell ref="I100:M100"/>
    <mergeCell ref="I95:M95"/>
    <mergeCell ref="I94:M94"/>
    <mergeCell ref="C143:G143"/>
    <mergeCell ref="C137:G137"/>
    <mergeCell ref="C128:G128"/>
    <mergeCell ref="C129:G129"/>
    <mergeCell ref="I124:M124"/>
    <mergeCell ref="I127:M127"/>
    <mergeCell ref="I126:M126"/>
    <mergeCell ref="C165:G165"/>
    <mergeCell ref="C166:G166"/>
    <mergeCell ref="C164:G164"/>
    <mergeCell ref="I144:M144"/>
    <mergeCell ref="C151:G151"/>
    <mergeCell ref="C157:G157"/>
    <mergeCell ref="I138:M138"/>
    <mergeCell ref="I139:M139"/>
    <mergeCell ref="I140:M140"/>
    <mergeCell ref="I141:M141"/>
    <mergeCell ref="I142:M142"/>
    <mergeCell ref="I143:M143"/>
    <mergeCell ref="C140:G140"/>
    <mergeCell ref="C141:G141"/>
    <mergeCell ref="C139:G139"/>
    <mergeCell ref="C142:G142"/>
    <mergeCell ref="C136:G136"/>
    <mergeCell ref="C135:G135"/>
    <mergeCell ref="I102:M102"/>
    <mergeCell ref="I103:M103"/>
    <mergeCell ref="I104:M104"/>
    <mergeCell ref="I109:M109"/>
    <mergeCell ref="I110:M110"/>
    <mergeCell ref="I130:M130"/>
    <mergeCell ref="I105:M105"/>
    <mergeCell ref="C121:G121"/>
    <mergeCell ref="C122:G122"/>
    <mergeCell ref="C104:G104"/>
    <mergeCell ref="C110:G110"/>
    <mergeCell ref="C109:G109"/>
    <mergeCell ref="C108:G108"/>
    <mergeCell ref="C107:G107"/>
    <mergeCell ref="C105:G105"/>
    <mergeCell ref="C106:G106"/>
    <mergeCell ref="C111:G111"/>
    <mergeCell ref="C112:G112"/>
    <mergeCell ref="C113:G113"/>
    <mergeCell ref="C115:G115"/>
    <mergeCell ref="C114:G114"/>
    <mergeCell ref="I113:M113"/>
    <mergeCell ref="I120:M120"/>
    <mergeCell ref="C101:G101"/>
    <mergeCell ref="C102:G102"/>
    <mergeCell ref="C103:G103"/>
    <mergeCell ref="C119:G119"/>
    <mergeCell ref="C117:G117"/>
    <mergeCell ref="C116:G116"/>
    <mergeCell ref="C162:G162"/>
    <mergeCell ref="C163:G163"/>
    <mergeCell ref="I159:M159"/>
    <mergeCell ref="C158:G158"/>
    <mergeCell ref="C159:G159"/>
    <mergeCell ref="C167:G167"/>
    <mergeCell ref="C168:G168"/>
    <mergeCell ref="I160:M160"/>
    <mergeCell ref="I157:M157"/>
    <mergeCell ref="C134:G134"/>
    <mergeCell ref="C138:G138"/>
    <mergeCell ref="C133:G133"/>
    <mergeCell ref="C160:G160"/>
    <mergeCell ref="C161:G161"/>
    <mergeCell ref="C156:G156"/>
    <mergeCell ref="C154:G154"/>
    <mergeCell ref="C155:G155"/>
    <mergeCell ref="C153:G153"/>
    <mergeCell ref="C152:G152"/>
    <mergeCell ref="C120:G120"/>
    <mergeCell ref="C118:G118"/>
    <mergeCell ref="C184:G184"/>
    <mergeCell ref="C185:G185"/>
    <mergeCell ref="C189:G189"/>
    <mergeCell ref="C190:G190"/>
    <mergeCell ref="C187:G187"/>
    <mergeCell ref="C188:G188"/>
    <mergeCell ref="C178:G178"/>
    <mergeCell ref="C174:G174"/>
    <mergeCell ref="C175:G175"/>
    <mergeCell ref="C176:G176"/>
    <mergeCell ref="C177:G177"/>
    <mergeCell ref="C171:G171"/>
    <mergeCell ref="C172:G172"/>
    <mergeCell ref="C191:G191"/>
    <mergeCell ref="C169:G169"/>
    <mergeCell ref="C170:G170"/>
    <mergeCell ref="C179:G179"/>
    <mergeCell ref="C180:G180"/>
    <mergeCell ref="C181:G181"/>
    <mergeCell ref="C186:G186"/>
    <mergeCell ref="C173:G173"/>
    <mergeCell ref="C233:G233"/>
    <mergeCell ref="C232:G232"/>
    <mergeCell ref="C234:G234"/>
    <mergeCell ref="C235:G235"/>
    <mergeCell ref="C238:G238"/>
    <mergeCell ref="C237:G237"/>
    <mergeCell ref="C239:G239"/>
    <mergeCell ref="C236:G236"/>
    <mergeCell ref="C227:G227"/>
    <mergeCell ref="C228:G228"/>
    <mergeCell ref="C224:G224"/>
    <mergeCell ref="C226:G226"/>
    <mergeCell ref="C225:G225"/>
    <mergeCell ref="C230:G230"/>
    <mergeCell ref="C231:G231"/>
    <mergeCell ref="C243:G243"/>
    <mergeCell ref="C244:G244"/>
    <mergeCell ref="C240:G240"/>
    <mergeCell ref="C245:G245"/>
    <mergeCell ref="C229:G229"/>
    <mergeCell ref="C124:G124"/>
    <mergeCell ref="C123:G123"/>
    <mergeCell ref="C146:G146"/>
    <mergeCell ref="C130:G130"/>
    <mergeCell ref="C132:G132"/>
    <mergeCell ref="C131:G131"/>
    <mergeCell ref="C127:G127"/>
    <mergeCell ref="C126:G126"/>
    <mergeCell ref="C125:G125"/>
    <mergeCell ref="C242:G242"/>
    <mergeCell ref="C241:G241"/>
    <mergeCell ref="C248:G248"/>
    <mergeCell ref="C249:G249"/>
    <mergeCell ref="C212:G212"/>
    <mergeCell ref="C213:G213"/>
    <mergeCell ref="C182:G182"/>
    <mergeCell ref="C183:G183"/>
    <mergeCell ref="C196:G196"/>
    <mergeCell ref="C201:G201"/>
    <mergeCell ref="C246:G246"/>
    <mergeCell ref="C247:G247"/>
    <mergeCell ref="C211:G211"/>
    <mergeCell ref="C217:G217"/>
    <mergeCell ref="C216:G216"/>
    <mergeCell ref="C223:G223"/>
    <mergeCell ref="C192:G192"/>
    <mergeCell ref="C193:G193"/>
    <mergeCell ref="C198:G198"/>
    <mergeCell ref="C199:G199"/>
    <mergeCell ref="C218:G218"/>
    <mergeCell ref="C197:G197"/>
    <mergeCell ref="C200:G200"/>
    <mergeCell ref="C205:G205"/>
    <mergeCell ref="C204:G204"/>
    <mergeCell ref="C202:G202"/>
    <mergeCell ref="C203:G203"/>
    <mergeCell ref="C214:G214"/>
    <mergeCell ref="C215:G215"/>
    <mergeCell ref="C209:G209"/>
    <mergeCell ref="C208:G208"/>
    <mergeCell ref="C206:G206"/>
    <mergeCell ref="C210:G210"/>
    <mergeCell ref="C207:G207"/>
    <mergeCell ref="C221:G221"/>
    <mergeCell ref="C222:G222"/>
    <mergeCell ref="C219:G219"/>
    <mergeCell ref="C220:G220"/>
    <mergeCell ref="C194:G194"/>
    <mergeCell ref="C195:G195"/>
    <mergeCell ref="I205:M205"/>
    <mergeCell ref="I206:M206"/>
    <mergeCell ref="I212:M212"/>
    <mergeCell ref="I211:M211"/>
    <mergeCell ref="I213:M213"/>
    <mergeCell ref="I214:M214"/>
    <mergeCell ref="I207:M207"/>
    <mergeCell ref="I203:M203"/>
    <mergeCell ref="I204:M204"/>
    <mergeCell ref="I196:M196"/>
    <mergeCell ref="I197:M197"/>
    <mergeCell ref="I173:M173"/>
    <mergeCell ref="I174:M174"/>
    <mergeCell ref="I171:M171"/>
    <mergeCell ref="I172:M172"/>
    <mergeCell ref="I170:M170"/>
    <mergeCell ref="I181:M181"/>
    <mergeCell ref="I182:M182"/>
    <mergeCell ref="I177:M177"/>
    <mergeCell ref="I176:M176"/>
    <mergeCell ref="I222:M222"/>
    <mergeCell ref="I175:M175"/>
    <mergeCell ref="I241:M241"/>
    <mergeCell ref="I238:M238"/>
    <mergeCell ref="I239:M239"/>
    <mergeCell ref="I240:M240"/>
    <mergeCell ref="I234:M234"/>
    <mergeCell ref="I235:M235"/>
    <mergeCell ref="I245:M245"/>
    <mergeCell ref="I246:M246"/>
    <mergeCell ref="I244:M244"/>
    <mergeCell ref="I243:M243"/>
    <mergeCell ref="I242:M242"/>
    <mergeCell ref="I247:M247"/>
    <mergeCell ref="I248:M248"/>
    <mergeCell ref="I249:M249"/>
    <mergeCell ref="I231:M231"/>
    <mergeCell ref="I163:M163"/>
    <mergeCell ref="I164:M164"/>
    <mergeCell ref="I165:M165"/>
    <mergeCell ref="I166:M166"/>
    <mergeCell ref="I162:M162"/>
    <mergeCell ref="I158:M158"/>
    <mergeCell ref="I161:M161"/>
    <mergeCell ref="I219:M219"/>
    <mergeCell ref="I220:M220"/>
    <mergeCell ref="I223:M223"/>
    <mergeCell ref="I224:M224"/>
    <mergeCell ref="I225:M225"/>
    <mergeCell ref="I226:M226"/>
    <mergeCell ref="I227:M227"/>
    <mergeCell ref="I229:M229"/>
    <mergeCell ref="I228:M228"/>
    <mergeCell ref="I230:M230"/>
    <mergeCell ref="I198:M198"/>
    <mergeCell ref="I199:M199"/>
    <mergeCell ref="I202:M202"/>
    <mergeCell ref="I209:M209"/>
    <mergeCell ref="I210:M210"/>
    <mergeCell ref="I195:M195"/>
    <mergeCell ref="I187:M187"/>
    <mergeCell ref="I186:M186"/>
    <mergeCell ref="I188:M188"/>
    <mergeCell ref="I236:M236"/>
    <mergeCell ref="I237:M237"/>
    <mergeCell ref="I232:M232"/>
    <mergeCell ref="I233:M233"/>
    <mergeCell ref="I42:M42"/>
    <mergeCell ref="I41:M41"/>
    <mergeCell ref="I39:M39"/>
    <mergeCell ref="I40:M40"/>
    <mergeCell ref="I53:M53"/>
    <mergeCell ref="I56:M56"/>
    <mergeCell ref="I57:M57"/>
    <mergeCell ref="I58:M58"/>
    <mergeCell ref="I59:M59"/>
    <mergeCell ref="I32:M32"/>
    <mergeCell ref="I29:M29"/>
    <mergeCell ref="I30:M30"/>
    <mergeCell ref="I31:M31"/>
    <mergeCell ref="I38:M38"/>
    <mergeCell ref="I34:M34"/>
    <mergeCell ref="I35:M35"/>
    <mergeCell ref="I33:M33"/>
    <mergeCell ref="I37:M37"/>
    <mergeCell ref="I36:M36"/>
    <mergeCell ref="I25:M25"/>
    <mergeCell ref="I28:M28"/>
    <mergeCell ref="I26:M26"/>
    <mergeCell ref="I27:M27"/>
    <mergeCell ref="C25:G25"/>
    <mergeCell ref="C1:J1"/>
    <mergeCell ref="C2:G2"/>
    <mergeCell ref="H2:L2"/>
    <mergeCell ref="C23:G23"/>
    <mergeCell ref="C24:G24"/>
    <mergeCell ref="C29:G29"/>
    <mergeCell ref="C32:G32"/>
    <mergeCell ref="C31:G31"/>
    <mergeCell ref="C30:G30"/>
    <mergeCell ref="C35:G35"/>
    <mergeCell ref="C36:G36"/>
    <mergeCell ref="C34:G34"/>
    <mergeCell ref="C33:G33"/>
    <mergeCell ref="C26:G26"/>
    <mergeCell ref="C27:G27"/>
    <mergeCell ref="C28:G28"/>
    <mergeCell ref="C37:G37"/>
    <mergeCell ref="C39:G39"/>
    <mergeCell ref="C40:G40"/>
    <mergeCell ref="C38:G38"/>
    <mergeCell ref="C41:G41"/>
    <mergeCell ref="I45:M45"/>
    <mergeCell ref="I43:M43"/>
    <mergeCell ref="I44:M44"/>
    <mergeCell ref="C43:G43"/>
    <mergeCell ref="C44:G44"/>
    <mergeCell ref="C42:G42"/>
    <mergeCell ref="C45:G45"/>
    <mergeCell ref="I50:M50"/>
    <mergeCell ref="C50:G50"/>
    <mergeCell ref="I51:M51"/>
    <mergeCell ref="C51:G51"/>
    <mergeCell ref="I48:M48"/>
    <mergeCell ref="C48:G48"/>
    <mergeCell ref="C61:G61"/>
    <mergeCell ref="C62:G62"/>
    <mergeCell ref="C63:G63"/>
    <mergeCell ref="C54:G54"/>
    <mergeCell ref="C60:G60"/>
    <mergeCell ref="C56:G56"/>
    <mergeCell ref="C55:G55"/>
    <mergeCell ref="C57:G57"/>
    <mergeCell ref="C58:G58"/>
    <mergeCell ref="C59:G59"/>
    <mergeCell ref="C46:G46"/>
    <mergeCell ref="C47:G47"/>
    <mergeCell ref="I49:M49"/>
    <mergeCell ref="I46:M46"/>
    <mergeCell ref="I47:M47"/>
    <mergeCell ref="I52:M52"/>
    <mergeCell ref="C53:G53"/>
    <mergeCell ref="C52:G52"/>
    <mergeCell ref="C49:G49"/>
    <mergeCell ref="I87:M87"/>
    <mergeCell ref="I86:M86"/>
    <mergeCell ref="I85:M85"/>
    <mergeCell ref="I84:M84"/>
    <mergeCell ref="I91:M91"/>
    <mergeCell ref="I89:M89"/>
    <mergeCell ref="I90:M90"/>
    <mergeCell ref="I81:M81"/>
    <mergeCell ref="I88:M88"/>
    <mergeCell ref="I80:M80"/>
    <mergeCell ref="I82:M82"/>
    <mergeCell ref="I83:M83"/>
    <mergeCell ref="I150:M150"/>
    <mergeCell ref="I145:M145"/>
    <mergeCell ref="I146:M146"/>
    <mergeCell ref="I147:M147"/>
    <mergeCell ref="I148:M148"/>
    <mergeCell ref="I149:M149"/>
    <mergeCell ref="I154:M154"/>
    <mergeCell ref="I155:M155"/>
    <mergeCell ref="I156:M156"/>
    <mergeCell ref="I153:M153"/>
    <mergeCell ref="I151:M151"/>
    <mergeCell ref="I152:M152"/>
    <mergeCell ref="C145:G145"/>
    <mergeCell ref="C144:G144"/>
    <mergeCell ref="C149:G149"/>
    <mergeCell ref="C150:G150"/>
    <mergeCell ref="C147:G147"/>
    <mergeCell ref="C148:G148"/>
    <mergeCell ref="I215:M215"/>
    <mergeCell ref="I216:M216"/>
    <mergeCell ref="I217:M217"/>
    <mergeCell ref="I208:M208"/>
    <mergeCell ref="I221:M221"/>
    <mergeCell ref="I218:M218"/>
    <mergeCell ref="I200:M200"/>
    <mergeCell ref="I201:M201"/>
    <mergeCell ref="I193:M193"/>
    <mergeCell ref="I194:M194"/>
    <mergeCell ref="I189:M189"/>
    <mergeCell ref="I190:M190"/>
    <mergeCell ref="I191:M191"/>
    <mergeCell ref="I192:M192"/>
    <mergeCell ref="I184:M184"/>
    <mergeCell ref="I185:M185"/>
    <mergeCell ref="I168:M168"/>
    <mergeCell ref="I167:M167"/>
    <mergeCell ref="I169:M169"/>
    <mergeCell ref="I178:M178"/>
    <mergeCell ref="I179:M179"/>
    <mergeCell ref="I180:M180"/>
    <mergeCell ref="I183:M183"/>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348</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84:G184"/>
    <mergeCell ref="C178:G178"/>
    <mergeCell ref="C179:G179"/>
    <mergeCell ref="C180:G180"/>
    <mergeCell ref="C181:G181"/>
    <mergeCell ref="C182:G182"/>
    <mergeCell ref="C183:G183"/>
    <mergeCell ref="C176:G176"/>
    <mergeCell ref="C177:G177"/>
    <mergeCell ref="C171:G171"/>
    <mergeCell ref="C172:G172"/>
    <mergeCell ref="C168:G168"/>
    <mergeCell ref="C169:G169"/>
    <mergeCell ref="C187:G187"/>
    <mergeCell ref="C186:G186"/>
    <mergeCell ref="C237:G237"/>
    <mergeCell ref="C236:G236"/>
    <mergeCell ref="C218:G218"/>
    <mergeCell ref="C222:G222"/>
    <mergeCell ref="C219:G219"/>
    <mergeCell ref="C220:G220"/>
    <mergeCell ref="C194:G194"/>
    <mergeCell ref="C195:G195"/>
    <mergeCell ref="C167:G167"/>
    <mergeCell ref="C185:G185"/>
    <mergeCell ref="C189:G189"/>
    <mergeCell ref="C190:G190"/>
    <mergeCell ref="C188:G188"/>
    <mergeCell ref="C170:G170"/>
    <mergeCell ref="C173:G173"/>
    <mergeCell ref="C224:G224"/>
    <mergeCell ref="C221:G221"/>
    <mergeCell ref="C226:G226"/>
    <mergeCell ref="C225:G225"/>
    <mergeCell ref="C214:G214"/>
    <mergeCell ref="C215:G215"/>
    <mergeCell ref="C208:G208"/>
    <mergeCell ref="C206:G206"/>
    <mergeCell ref="C207:G207"/>
    <mergeCell ref="C227:G227"/>
    <mergeCell ref="C228:G228"/>
    <mergeCell ref="C230:G230"/>
    <mergeCell ref="C231:G231"/>
    <mergeCell ref="C243:G243"/>
    <mergeCell ref="C244:G244"/>
    <mergeCell ref="C245:G245"/>
    <mergeCell ref="C242:G242"/>
    <mergeCell ref="C248:G248"/>
    <mergeCell ref="C249:G249"/>
    <mergeCell ref="C246:G246"/>
    <mergeCell ref="C247:G247"/>
    <mergeCell ref="C232:G232"/>
    <mergeCell ref="C229:G229"/>
    <mergeCell ref="C196:G196"/>
    <mergeCell ref="C201:G201"/>
    <mergeCell ref="C191:G191"/>
    <mergeCell ref="C192:G192"/>
    <mergeCell ref="C209:G209"/>
    <mergeCell ref="C210:G210"/>
    <mergeCell ref="C233:G233"/>
    <mergeCell ref="C212:G212"/>
    <mergeCell ref="C213:G213"/>
    <mergeCell ref="C217:G217"/>
    <mergeCell ref="C216:G216"/>
    <mergeCell ref="C223:G223"/>
    <mergeCell ref="I236:M236"/>
    <mergeCell ref="I237:M237"/>
    <mergeCell ref="I232:M232"/>
    <mergeCell ref="I233:M233"/>
    <mergeCell ref="I215:M215"/>
    <mergeCell ref="I216:M216"/>
    <mergeCell ref="I217:M217"/>
    <mergeCell ref="I221:M221"/>
    <mergeCell ref="I218:M218"/>
    <mergeCell ref="C234:G234"/>
    <mergeCell ref="C235:G235"/>
    <mergeCell ref="C239:G239"/>
    <mergeCell ref="C240:G240"/>
    <mergeCell ref="C241:G241"/>
    <mergeCell ref="C211:G211"/>
    <mergeCell ref="I241:M241"/>
    <mergeCell ref="C238:G238"/>
    <mergeCell ref="I238:M238"/>
    <mergeCell ref="I234:M234"/>
    <mergeCell ref="I235:M235"/>
    <mergeCell ref="I247:M247"/>
    <mergeCell ref="I248:M248"/>
    <mergeCell ref="I249:M249"/>
    <mergeCell ref="I239:M239"/>
    <mergeCell ref="I240:M240"/>
    <mergeCell ref="I245:M245"/>
    <mergeCell ref="I246:M246"/>
    <mergeCell ref="I244:M244"/>
    <mergeCell ref="I243:M243"/>
    <mergeCell ref="I242:M242"/>
    <mergeCell ref="I227:M227"/>
    <mergeCell ref="I229:M229"/>
    <mergeCell ref="I231:M231"/>
    <mergeCell ref="I219:M219"/>
    <mergeCell ref="I220:M220"/>
    <mergeCell ref="I223:M223"/>
    <mergeCell ref="I224:M224"/>
    <mergeCell ref="I225:M225"/>
    <mergeCell ref="I226:M226"/>
    <mergeCell ref="I228:M228"/>
    <mergeCell ref="I230:M230"/>
    <mergeCell ref="I61:M61"/>
    <mergeCell ref="I62:M62"/>
    <mergeCell ref="I56:M56"/>
    <mergeCell ref="I57:M57"/>
    <mergeCell ref="I58:M58"/>
    <mergeCell ref="I59:M59"/>
    <mergeCell ref="I63:M63"/>
    <mergeCell ref="I60:M60"/>
    <mergeCell ref="I69:M69"/>
    <mergeCell ref="I70:M70"/>
    <mergeCell ref="I55:M55"/>
    <mergeCell ref="I72:M72"/>
    <mergeCell ref="I71:M71"/>
    <mergeCell ref="C43:G43"/>
    <mergeCell ref="C42:G42"/>
    <mergeCell ref="C39:G39"/>
    <mergeCell ref="C40:G40"/>
    <mergeCell ref="C41:G41"/>
    <mergeCell ref="I45:M45"/>
    <mergeCell ref="I43:M43"/>
    <mergeCell ref="I44:M44"/>
    <mergeCell ref="C44:G44"/>
    <mergeCell ref="C45:G45"/>
    <mergeCell ref="C72:G72"/>
    <mergeCell ref="C71:G71"/>
    <mergeCell ref="C73:G73"/>
    <mergeCell ref="C74:G74"/>
    <mergeCell ref="C77:G77"/>
    <mergeCell ref="C70:G70"/>
    <mergeCell ref="C69:G69"/>
    <mergeCell ref="C68:G68"/>
    <mergeCell ref="C78:G78"/>
    <mergeCell ref="C46:G46"/>
    <mergeCell ref="C47:G47"/>
    <mergeCell ref="C53:G53"/>
    <mergeCell ref="C52:G52"/>
    <mergeCell ref="C38:G38"/>
    <mergeCell ref="C50:G50"/>
    <mergeCell ref="C51:G51"/>
    <mergeCell ref="C48:G48"/>
    <mergeCell ref="C54:G54"/>
    <mergeCell ref="C56:G56"/>
    <mergeCell ref="C55:G55"/>
    <mergeCell ref="C49:G49"/>
    <mergeCell ref="I85:M85"/>
    <mergeCell ref="I84:M84"/>
    <mergeCell ref="C89:G89"/>
    <mergeCell ref="I89:M89"/>
    <mergeCell ref="I87:M87"/>
    <mergeCell ref="I88:M88"/>
    <mergeCell ref="C88:G88"/>
    <mergeCell ref="I92:M92"/>
    <mergeCell ref="I93:M93"/>
    <mergeCell ref="I94:M94"/>
    <mergeCell ref="I86:M86"/>
    <mergeCell ref="I91:M91"/>
    <mergeCell ref="I90:M90"/>
    <mergeCell ref="C79:G79"/>
    <mergeCell ref="C80:G80"/>
    <mergeCell ref="C32:G32"/>
    <mergeCell ref="C31:G31"/>
    <mergeCell ref="C35:G35"/>
    <mergeCell ref="C36:G36"/>
    <mergeCell ref="C34:G34"/>
    <mergeCell ref="C33:G33"/>
    <mergeCell ref="C37:G37"/>
    <mergeCell ref="C61:G61"/>
    <mergeCell ref="C62:G62"/>
    <mergeCell ref="C63:G63"/>
    <mergeCell ref="C60:G60"/>
    <mergeCell ref="C57:G57"/>
    <mergeCell ref="C58:G58"/>
    <mergeCell ref="C59:G59"/>
    <mergeCell ref="I51:M51"/>
    <mergeCell ref="I52:M52"/>
    <mergeCell ref="I73:M73"/>
    <mergeCell ref="I74:M74"/>
    <mergeCell ref="I50:M50"/>
    <mergeCell ref="I48:M48"/>
    <mergeCell ref="I49:M49"/>
    <mergeCell ref="I46:M46"/>
    <mergeCell ref="I47:M47"/>
    <mergeCell ref="I81:M81"/>
    <mergeCell ref="I80:M80"/>
    <mergeCell ref="I82:M82"/>
    <mergeCell ref="I83:M83"/>
    <mergeCell ref="C76:G76"/>
    <mergeCell ref="C75:G75"/>
    <mergeCell ref="I77:M77"/>
    <mergeCell ref="I76:M76"/>
    <mergeCell ref="I75:M75"/>
    <mergeCell ref="I78:M78"/>
    <mergeCell ref="I79:M79"/>
    <mergeCell ref="C91:G91"/>
    <mergeCell ref="C90:G90"/>
    <mergeCell ref="C93:G93"/>
    <mergeCell ref="C94:G94"/>
    <mergeCell ref="C84:G84"/>
    <mergeCell ref="C85:G85"/>
    <mergeCell ref="C83:G83"/>
    <mergeCell ref="C82:G82"/>
    <mergeCell ref="C81:G81"/>
    <mergeCell ref="C95:G95"/>
    <mergeCell ref="C87:G87"/>
    <mergeCell ref="C86:G86"/>
    <mergeCell ref="C92:G92"/>
    <mergeCell ref="I67:M67"/>
    <mergeCell ref="I68:M68"/>
    <mergeCell ref="C67:G67"/>
    <mergeCell ref="C66:G66"/>
    <mergeCell ref="C64:G64"/>
    <mergeCell ref="C65:G65"/>
    <mergeCell ref="I65:M65"/>
    <mergeCell ref="I66:M66"/>
    <mergeCell ref="I64:M64"/>
    <mergeCell ref="I125:M125"/>
    <mergeCell ref="I124:M124"/>
    <mergeCell ref="I127:M127"/>
    <mergeCell ref="I126:M126"/>
    <mergeCell ref="I122:M122"/>
    <mergeCell ref="I121:M121"/>
    <mergeCell ref="I123:M123"/>
    <mergeCell ref="I128:M128"/>
    <mergeCell ref="I129:M129"/>
    <mergeCell ref="I131:M131"/>
    <mergeCell ref="I132:M132"/>
    <mergeCell ref="I130:M130"/>
    <mergeCell ref="I139:M139"/>
    <mergeCell ref="I140:M140"/>
    <mergeCell ref="I141:M141"/>
    <mergeCell ref="I142:M142"/>
    <mergeCell ref="C137:G137"/>
    <mergeCell ref="C140:G140"/>
    <mergeCell ref="C139:G139"/>
    <mergeCell ref="C141:G141"/>
    <mergeCell ref="C142:G142"/>
    <mergeCell ref="C136:G136"/>
    <mergeCell ref="C135:G135"/>
    <mergeCell ref="I133:M133"/>
    <mergeCell ref="I134:M134"/>
    <mergeCell ref="I135:M135"/>
    <mergeCell ref="I136:M136"/>
    <mergeCell ref="C143:G143"/>
    <mergeCell ref="I144:M144"/>
    <mergeCell ref="I143:M143"/>
    <mergeCell ref="I118:M118"/>
    <mergeCell ref="I111:M111"/>
    <mergeCell ref="I112:M112"/>
    <mergeCell ref="I114:M114"/>
    <mergeCell ref="I115:M115"/>
    <mergeCell ref="I116:M116"/>
    <mergeCell ref="I117:M117"/>
    <mergeCell ref="C96:G96"/>
    <mergeCell ref="C99:G99"/>
    <mergeCell ref="C100:G100"/>
    <mergeCell ref="C97:G97"/>
    <mergeCell ref="C98:G98"/>
    <mergeCell ref="I119:M119"/>
    <mergeCell ref="I100:M100"/>
    <mergeCell ref="I39:M39"/>
    <mergeCell ref="I32:M32"/>
    <mergeCell ref="I38:M38"/>
    <mergeCell ref="I34:M34"/>
    <mergeCell ref="I35:M35"/>
    <mergeCell ref="I33:M33"/>
    <mergeCell ref="I37:M37"/>
    <mergeCell ref="I36:M36"/>
    <mergeCell ref="I24:M24"/>
    <mergeCell ref="I25:M25"/>
    <mergeCell ref="I28:M28"/>
    <mergeCell ref="I26:M26"/>
    <mergeCell ref="I27:M27"/>
    <mergeCell ref="I54:M54"/>
    <mergeCell ref="I23:M23"/>
    <mergeCell ref="I42:M42"/>
    <mergeCell ref="I41:M41"/>
    <mergeCell ref="I40:M40"/>
    <mergeCell ref="I53:M53"/>
    <mergeCell ref="I31:M31"/>
    <mergeCell ref="I29:M29"/>
    <mergeCell ref="C29:G29"/>
    <mergeCell ref="C25:G25"/>
    <mergeCell ref="C26:G26"/>
    <mergeCell ref="C27:G27"/>
    <mergeCell ref="C28:G28"/>
    <mergeCell ref="I30:M30"/>
    <mergeCell ref="C1:J1"/>
    <mergeCell ref="C2:G2"/>
    <mergeCell ref="H2:L2"/>
    <mergeCell ref="C23:G23"/>
    <mergeCell ref="C24:G24"/>
    <mergeCell ref="C30:G30"/>
    <mergeCell ref="I171:M171"/>
    <mergeCell ref="I172:M172"/>
    <mergeCell ref="I163:M163"/>
    <mergeCell ref="I164:M164"/>
    <mergeCell ref="I165:M165"/>
    <mergeCell ref="I166:M166"/>
    <mergeCell ref="I157:M157"/>
    <mergeCell ref="I158:M158"/>
    <mergeCell ref="I145:M145"/>
    <mergeCell ref="I146:M146"/>
    <mergeCell ref="I147:M147"/>
    <mergeCell ref="I148:M148"/>
    <mergeCell ref="I170:M170"/>
    <mergeCell ref="I168:M168"/>
    <mergeCell ref="I169:M169"/>
    <mergeCell ref="I178:M178"/>
    <mergeCell ref="I187:M187"/>
    <mergeCell ref="I188:M188"/>
    <mergeCell ref="I189:M189"/>
    <mergeCell ref="I190:M190"/>
    <mergeCell ref="I191:M191"/>
    <mergeCell ref="I192:M192"/>
    <mergeCell ref="I167:M167"/>
    <mergeCell ref="I183:M183"/>
    <mergeCell ref="I106:M106"/>
    <mergeCell ref="I108:M108"/>
    <mergeCell ref="I107:M107"/>
    <mergeCell ref="I113:M113"/>
    <mergeCell ref="I98:M98"/>
    <mergeCell ref="I99:M99"/>
    <mergeCell ref="I96:M96"/>
    <mergeCell ref="I97:M97"/>
    <mergeCell ref="I95:M95"/>
    <mergeCell ref="I101:M101"/>
    <mergeCell ref="I102:M102"/>
    <mergeCell ref="C101:G101"/>
    <mergeCell ref="C102:G102"/>
    <mergeCell ref="C103:G103"/>
    <mergeCell ref="I103:M103"/>
    <mergeCell ref="I104:M104"/>
    <mergeCell ref="C121:G121"/>
    <mergeCell ref="I120:M120"/>
    <mergeCell ref="C119:G119"/>
    <mergeCell ref="C117:G117"/>
    <mergeCell ref="C116:G116"/>
    <mergeCell ref="C120:G120"/>
    <mergeCell ref="C118:G118"/>
    <mergeCell ref="I179:M179"/>
    <mergeCell ref="I180:M180"/>
    <mergeCell ref="I109:M109"/>
    <mergeCell ref="I110:M110"/>
    <mergeCell ref="I105:M105"/>
    <mergeCell ref="C104:G104"/>
    <mergeCell ref="C105:G105"/>
    <mergeCell ref="C110:G110"/>
    <mergeCell ref="C109:G109"/>
    <mergeCell ref="C108:G108"/>
    <mergeCell ref="C107:G107"/>
    <mergeCell ref="C106:G106"/>
    <mergeCell ref="C111:G111"/>
    <mergeCell ref="C112:G112"/>
    <mergeCell ref="C113:G113"/>
    <mergeCell ref="C115:G115"/>
    <mergeCell ref="C114:G114"/>
    <mergeCell ref="C161:G161"/>
    <mergeCell ref="C156:G156"/>
    <mergeCell ref="C145:G145"/>
    <mergeCell ref="C144:G144"/>
    <mergeCell ref="C149:G149"/>
    <mergeCell ref="C150:G150"/>
    <mergeCell ref="C147:G147"/>
    <mergeCell ref="C148:G148"/>
    <mergeCell ref="C128:G128"/>
    <mergeCell ref="C129:G129"/>
    <mergeCell ref="C165:G165"/>
    <mergeCell ref="C166:G166"/>
    <mergeCell ref="C164:G164"/>
    <mergeCell ref="C151:G151"/>
    <mergeCell ref="C133:G133"/>
    <mergeCell ref="C162:G162"/>
    <mergeCell ref="C163:G163"/>
    <mergeCell ref="C158:G158"/>
    <mergeCell ref="C159:G159"/>
    <mergeCell ref="C134:G134"/>
    <mergeCell ref="C138:G138"/>
    <mergeCell ref="C157:G157"/>
    <mergeCell ref="C160:G160"/>
    <mergeCell ref="C154:G154"/>
    <mergeCell ref="C155:G155"/>
    <mergeCell ref="C153:G153"/>
    <mergeCell ref="C152:G152"/>
    <mergeCell ref="C174:G174"/>
    <mergeCell ref="C175:G175"/>
    <mergeCell ref="C127:G127"/>
    <mergeCell ref="C126:G126"/>
    <mergeCell ref="C122:G122"/>
    <mergeCell ref="C124:G124"/>
    <mergeCell ref="C123:G123"/>
    <mergeCell ref="C146:G146"/>
    <mergeCell ref="C130:G130"/>
    <mergeCell ref="C132:G132"/>
    <mergeCell ref="C131:G131"/>
    <mergeCell ref="C125:G125"/>
    <mergeCell ref="C193:G193"/>
    <mergeCell ref="C198:G198"/>
    <mergeCell ref="C199:G199"/>
    <mergeCell ref="C197:G197"/>
    <mergeCell ref="C200:G200"/>
    <mergeCell ref="C205:G205"/>
    <mergeCell ref="C204:G204"/>
    <mergeCell ref="I206:M206"/>
    <mergeCell ref="I207:M207"/>
    <mergeCell ref="I222:M222"/>
    <mergeCell ref="I209:M209"/>
    <mergeCell ref="I210:M210"/>
    <mergeCell ref="I208:M208"/>
    <mergeCell ref="C202:G202"/>
    <mergeCell ref="C203:G203"/>
    <mergeCell ref="I205:M205"/>
    <mergeCell ref="I212:M212"/>
    <mergeCell ref="I211:M211"/>
    <mergeCell ref="I213:M213"/>
    <mergeCell ref="I214:M214"/>
    <mergeCell ref="I199:M199"/>
    <mergeCell ref="I200:M200"/>
    <mergeCell ref="I195:M195"/>
    <mergeCell ref="I193:M193"/>
    <mergeCell ref="I194:M194"/>
    <mergeCell ref="I203:M203"/>
    <mergeCell ref="I204:M204"/>
    <mergeCell ref="I196:M196"/>
    <mergeCell ref="I197:M197"/>
    <mergeCell ref="I198:M198"/>
    <mergeCell ref="I202:M202"/>
    <mergeCell ref="I201:M201"/>
    <mergeCell ref="I184:M184"/>
    <mergeCell ref="I185:M185"/>
    <mergeCell ref="I174:M174"/>
    <mergeCell ref="I181:M181"/>
    <mergeCell ref="I182:M182"/>
    <mergeCell ref="I177:M177"/>
    <mergeCell ref="I176:M176"/>
    <mergeCell ref="I175:M175"/>
    <mergeCell ref="I186:M186"/>
    <mergeCell ref="I159:M159"/>
    <mergeCell ref="I150:M150"/>
    <mergeCell ref="I154:M154"/>
    <mergeCell ref="I155:M155"/>
    <mergeCell ref="I156:M156"/>
    <mergeCell ref="I153:M153"/>
    <mergeCell ref="I151:M151"/>
    <mergeCell ref="I152:M152"/>
    <mergeCell ref="I137:M137"/>
    <mergeCell ref="I138:M138"/>
    <mergeCell ref="I160:M160"/>
    <mergeCell ref="I173:M173"/>
    <mergeCell ref="I162:M162"/>
    <mergeCell ref="I161:M161"/>
    <mergeCell ref="I149:M14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349</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84:G184"/>
    <mergeCell ref="C178:G178"/>
    <mergeCell ref="C179:G179"/>
    <mergeCell ref="C180:G180"/>
    <mergeCell ref="C181:G181"/>
    <mergeCell ref="C182:G182"/>
    <mergeCell ref="C183:G183"/>
    <mergeCell ref="C176:G176"/>
    <mergeCell ref="C177:G177"/>
    <mergeCell ref="C171:G171"/>
    <mergeCell ref="C172:G172"/>
    <mergeCell ref="C168:G168"/>
    <mergeCell ref="C169:G169"/>
    <mergeCell ref="C187:G187"/>
    <mergeCell ref="C186:G186"/>
    <mergeCell ref="C237:G237"/>
    <mergeCell ref="C236:G236"/>
    <mergeCell ref="C218:G218"/>
    <mergeCell ref="C222:G222"/>
    <mergeCell ref="C219:G219"/>
    <mergeCell ref="C220:G220"/>
    <mergeCell ref="C194:G194"/>
    <mergeCell ref="C195:G195"/>
    <mergeCell ref="C167:G167"/>
    <mergeCell ref="C185:G185"/>
    <mergeCell ref="C189:G189"/>
    <mergeCell ref="C190:G190"/>
    <mergeCell ref="C188:G188"/>
    <mergeCell ref="C170:G170"/>
    <mergeCell ref="C173:G173"/>
    <mergeCell ref="C224:G224"/>
    <mergeCell ref="C221:G221"/>
    <mergeCell ref="C226:G226"/>
    <mergeCell ref="C225:G225"/>
    <mergeCell ref="C214:G214"/>
    <mergeCell ref="C215:G215"/>
    <mergeCell ref="C208:G208"/>
    <mergeCell ref="C206:G206"/>
    <mergeCell ref="C207:G207"/>
    <mergeCell ref="C227:G227"/>
    <mergeCell ref="C228:G228"/>
    <mergeCell ref="C230:G230"/>
    <mergeCell ref="C231:G231"/>
    <mergeCell ref="C243:G243"/>
    <mergeCell ref="C244:G244"/>
    <mergeCell ref="C245:G245"/>
    <mergeCell ref="C242:G242"/>
    <mergeCell ref="C248:G248"/>
    <mergeCell ref="C249:G249"/>
    <mergeCell ref="C246:G246"/>
    <mergeCell ref="C247:G247"/>
    <mergeCell ref="C232:G232"/>
    <mergeCell ref="C229:G229"/>
    <mergeCell ref="C196:G196"/>
    <mergeCell ref="C201:G201"/>
    <mergeCell ref="C191:G191"/>
    <mergeCell ref="C192:G192"/>
    <mergeCell ref="C209:G209"/>
    <mergeCell ref="C210:G210"/>
    <mergeCell ref="C233:G233"/>
    <mergeCell ref="C212:G212"/>
    <mergeCell ref="C213:G213"/>
    <mergeCell ref="C217:G217"/>
    <mergeCell ref="C216:G216"/>
    <mergeCell ref="C223:G223"/>
    <mergeCell ref="I236:M236"/>
    <mergeCell ref="I237:M237"/>
    <mergeCell ref="I232:M232"/>
    <mergeCell ref="I233:M233"/>
    <mergeCell ref="I215:M215"/>
    <mergeCell ref="I216:M216"/>
    <mergeCell ref="I217:M217"/>
    <mergeCell ref="I221:M221"/>
    <mergeCell ref="I218:M218"/>
    <mergeCell ref="C234:G234"/>
    <mergeCell ref="C235:G235"/>
    <mergeCell ref="C239:G239"/>
    <mergeCell ref="C240:G240"/>
    <mergeCell ref="C241:G241"/>
    <mergeCell ref="C211:G211"/>
    <mergeCell ref="I241:M241"/>
    <mergeCell ref="C238:G238"/>
    <mergeCell ref="I238:M238"/>
    <mergeCell ref="I234:M234"/>
    <mergeCell ref="I235:M235"/>
    <mergeCell ref="I247:M247"/>
    <mergeCell ref="I248:M248"/>
    <mergeCell ref="I249:M249"/>
    <mergeCell ref="I239:M239"/>
    <mergeCell ref="I240:M240"/>
    <mergeCell ref="I245:M245"/>
    <mergeCell ref="I246:M246"/>
    <mergeCell ref="I244:M244"/>
    <mergeCell ref="I243:M243"/>
    <mergeCell ref="I242:M242"/>
    <mergeCell ref="I227:M227"/>
    <mergeCell ref="I229:M229"/>
    <mergeCell ref="I231:M231"/>
    <mergeCell ref="I219:M219"/>
    <mergeCell ref="I220:M220"/>
    <mergeCell ref="I223:M223"/>
    <mergeCell ref="I224:M224"/>
    <mergeCell ref="I225:M225"/>
    <mergeCell ref="I226:M226"/>
    <mergeCell ref="I228:M228"/>
    <mergeCell ref="I230:M230"/>
    <mergeCell ref="I61:M61"/>
    <mergeCell ref="I62:M62"/>
    <mergeCell ref="I56:M56"/>
    <mergeCell ref="I57:M57"/>
    <mergeCell ref="I58:M58"/>
    <mergeCell ref="I59:M59"/>
    <mergeCell ref="I63:M63"/>
    <mergeCell ref="I60:M60"/>
    <mergeCell ref="I69:M69"/>
    <mergeCell ref="I70:M70"/>
    <mergeCell ref="I55:M55"/>
    <mergeCell ref="I72:M72"/>
    <mergeCell ref="I71:M71"/>
    <mergeCell ref="C43:G43"/>
    <mergeCell ref="C42:G42"/>
    <mergeCell ref="C39:G39"/>
    <mergeCell ref="C40:G40"/>
    <mergeCell ref="C41:G41"/>
    <mergeCell ref="I45:M45"/>
    <mergeCell ref="I43:M43"/>
    <mergeCell ref="I44:M44"/>
    <mergeCell ref="C44:G44"/>
    <mergeCell ref="C45:G45"/>
    <mergeCell ref="C72:G72"/>
    <mergeCell ref="C71:G71"/>
    <mergeCell ref="C73:G73"/>
    <mergeCell ref="C74:G74"/>
    <mergeCell ref="C77:G77"/>
    <mergeCell ref="C70:G70"/>
    <mergeCell ref="C69:G69"/>
    <mergeCell ref="C68:G68"/>
    <mergeCell ref="C78:G78"/>
    <mergeCell ref="C46:G46"/>
    <mergeCell ref="C47:G47"/>
    <mergeCell ref="C53:G53"/>
    <mergeCell ref="C52:G52"/>
    <mergeCell ref="C38:G38"/>
    <mergeCell ref="C50:G50"/>
    <mergeCell ref="C51:G51"/>
    <mergeCell ref="C48:G48"/>
    <mergeCell ref="C54:G54"/>
    <mergeCell ref="C56:G56"/>
    <mergeCell ref="C55:G55"/>
    <mergeCell ref="C49:G49"/>
    <mergeCell ref="I85:M85"/>
    <mergeCell ref="I84:M84"/>
    <mergeCell ref="C89:G89"/>
    <mergeCell ref="I89:M89"/>
    <mergeCell ref="I87:M87"/>
    <mergeCell ref="I88:M88"/>
    <mergeCell ref="C88:G88"/>
    <mergeCell ref="I92:M92"/>
    <mergeCell ref="I93:M93"/>
    <mergeCell ref="I94:M94"/>
    <mergeCell ref="I86:M86"/>
    <mergeCell ref="I91:M91"/>
    <mergeCell ref="I90:M90"/>
    <mergeCell ref="C79:G79"/>
    <mergeCell ref="C80:G80"/>
    <mergeCell ref="C32:G32"/>
    <mergeCell ref="C31:G31"/>
    <mergeCell ref="C35:G35"/>
    <mergeCell ref="C36:G36"/>
    <mergeCell ref="C34:G34"/>
    <mergeCell ref="C33:G33"/>
    <mergeCell ref="C37:G37"/>
    <mergeCell ref="C61:G61"/>
    <mergeCell ref="C62:G62"/>
    <mergeCell ref="C63:G63"/>
    <mergeCell ref="C60:G60"/>
    <mergeCell ref="C57:G57"/>
    <mergeCell ref="C58:G58"/>
    <mergeCell ref="C59:G59"/>
    <mergeCell ref="I51:M51"/>
    <mergeCell ref="I52:M52"/>
    <mergeCell ref="I73:M73"/>
    <mergeCell ref="I74:M74"/>
    <mergeCell ref="I50:M50"/>
    <mergeCell ref="I48:M48"/>
    <mergeCell ref="I49:M49"/>
    <mergeCell ref="I46:M46"/>
    <mergeCell ref="I47:M47"/>
    <mergeCell ref="I81:M81"/>
    <mergeCell ref="I80:M80"/>
    <mergeCell ref="I82:M82"/>
    <mergeCell ref="I83:M83"/>
    <mergeCell ref="C76:G76"/>
    <mergeCell ref="C75:G75"/>
    <mergeCell ref="I77:M77"/>
    <mergeCell ref="I76:M76"/>
    <mergeCell ref="I75:M75"/>
    <mergeCell ref="I78:M78"/>
    <mergeCell ref="I79:M79"/>
    <mergeCell ref="C91:G91"/>
    <mergeCell ref="C90:G90"/>
    <mergeCell ref="C93:G93"/>
    <mergeCell ref="C94:G94"/>
    <mergeCell ref="C84:G84"/>
    <mergeCell ref="C85:G85"/>
    <mergeCell ref="C83:G83"/>
    <mergeCell ref="C82:G82"/>
    <mergeCell ref="C81:G81"/>
    <mergeCell ref="C95:G95"/>
    <mergeCell ref="C87:G87"/>
    <mergeCell ref="C86:G86"/>
    <mergeCell ref="C92:G92"/>
    <mergeCell ref="I67:M67"/>
    <mergeCell ref="I68:M68"/>
    <mergeCell ref="C67:G67"/>
    <mergeCell ref="C66:G66"/>
    <mergeCell ref="C64:G64"/>
    <mergeCell ref="C65:G65"/>
    <mergeCell ref="I65:M65"/>
    <mergeCell ref="I66:M66"/>
    <mergeCell ref="I64:M64"/>
    <mergeCell ref="I125:M125"/>
    <mergeCell ref="I124:M124"/>
    <mergeCell ref="I127:M127"/>
    <mergeCell ref="I126:M126"/>
    <mergeCell ref="I122:M122"/>
    <mergeCell ref="I121:M121"/>
    <mergeCell ref="I123:M123"/>
    <mergeCell ref="I128:M128"/>
    <mergeCell ref="I129:M129"/>
    <mergeCell ref="I131:M131"/>
    <mergeCell ref="I132:M132"/>
    <mergeCell ref="I130:M130"/>
    <mergeCell ref="I139:M139"/>
    <mergeCell ref="I140:M140"/>
    <mergeCell ref="I141:M141"/>
    <mergeCell ref="I142:M142"/>
    <mergeCell ref="C137:G137"/>
    <mergeCell ref="C140:G140"/>
    <mergeCell ref="C139:G139"/>
    <mergeCell ref="C141:G141"/>
    <mergeCell ref="C142:G142"/>
    <mergeCell ref="C136:G136"/>
    <mergeCell ref="C135:G135"/>
    <mergeCell ref="I133:M133"/>
    <mergeCell ref="I134:M134"/>
    <mergeCell ref="I135:M135"/>
    <mergeCell ref="I136:M136"/>
    <mergeCell ref="C143:G143"/>
    <mergeCell ref="I144:M144"/>
    <mergeCell ref="I143:M143"/>
    <mergeCell ref="I118:M118"/>
    <mergeCell ref="I111:M111"/>
    <mergeCell ref="I112:M112"/>
    <mergeCell ref="I114:M114"/>
    <mergeCell ref="I115:M115"/>
    <mergeCell ref="I116:M116"/>
    <mergeCell ref="I117:M117"/>
    <mergeCell ref="C96:G96"/>
    <mergeCell ref="C99:G99"/>
    <mergeCell ref="C100:G100"/>
    <mergeCell ref="C97:G97"/>
    <mergeCell ref="C98:G98"/>
    <mergeCell ref="I119:M119"/>
    <mergeCell ref="I100:M100"/>
    <mergeCell ref="I39:M39"/>
    <mergeCell ref="I32:M32"/>
    <mergeCell ref="I38:M38"/>
    <mergeCell ref="I34:M34"/>
    <mergeCell ref="I35:M35"/>
    <mergeCell ref="I33:M33"/>
    <mergeCell ref="I37:M37"/>
    <mergeCell ref="I36:M36"/>
    <mergeCell ref="I24:M24"/>
    <mergeCell ref="I25:M25"/>
    <mergeCell ref="I28:M28"/>
    <mergeCell ref="I26:M26"/>
    <mergeCell ref="I27:M27"/>
    <mergeCell ref="I54:M54"/>
    <mergeCell ref="I23:M23"/>
    <mergeCell ref="I42:M42"/>
    <mergeCell ref="I41:M41"/>
    <mergeCell ref="I40:M40"/>
    <mergeCell ref="I53:M53"/>
    <mergeCell ref="I31:M31"/>
    <mergeCell ref="I29:M29"/>
    <mergeCell ref="C29:G29"/>
    <mergeCell ref="C25:G25"/>
    <mergeCell ref="C26:G26"/>
    <mergeCell ref="C27:G27"/>
    <mergeCell ref="C28:G28"/>
    <mergeCell ref="I30:M30"/>
    <mergeCell ref="C1:J1"/>
    <mergeCell ref="C2:G2"/>
    <mergeCell ref="H2:L2"/>
    <mergeCell ref="C23:G23"/>
    <mergeCell ref="C24:G24"/>
    <mergeCell ref="C30:G30"/>
    <mergeCell ref="I171:M171"/>
    <mergeCell ref="I172:M172"/>
    <mergeCell ref="I163:M163"/>
    <mergeCell ref="I164:M164"/>
    <mergeCell ref="I165:M165"/>
    <mergeCell ref="I166:M166"/>
    <mergeCell ref="I157:M157"/>
    <mergeCell ref="I158:M158"/>
    <mergeCell ref="I145:M145"/>
    <mergeCell ref="I146:M146"/>
    <mergeCell ref="I147:M147"/>
    <mergeCell ref="I148:M148"/>
    <mergeCell ref="I170:M170"/>
    <mergeCell ref="I168:M168"/>
    <mergeCell ref="I169:M169"/>
    <mergeCell ref="I178:M178"/>
    <mergeCell ref="I187:M187"/>
    <mergeCell ref="I188:M188"/>
    <mergeCell ref="I189:M189"/>
    <mergeCell ref="I190:M190"/>
    <mergeCell ref="I191:M191"/>
    <mergeCell ref="I192:M192"/>
    <mergeCell ref="I167:M167"/>
    <mergeCell ref="I183:M183"/>
    <mergeCell ref="I106:M106"/>
    <mergeCell ref="I108:M108"/>
    <mergeCell ref="I107:M107"/>
    <mergeCell ref="I113:M113"/>
    <mergeCell ref="I98:M98"/>
    <mergeCell ref="I99:M99"/>
    <mergeCell ref="I96:M96"/>
    <mergeCell ref="I97:M97"/>
    <mergeCell ref="I95:M95"/>
    <mergeCell ref="I101:M101"/>
    <mergeCell ref="I102:M102"/>
    <mergeCell ref="C101:G101"/>
    <mergeCell ref="C102:G102"/>
    <mergeCell ref="C103:G103"/>
    <mergeCell ref="I103:M103"/>
    <mergeCell ref="I104:M104"/>
    <mergeCell ref="C121:G121"/>
    <mergeCell ref="I120:M120"/>
    <mergeCell ref="C119:G119"/>
    <mergeCell ref="C117:G117"/>
    <mergeCell ref="C116:G116"/>
    <mergeCell ref="C120:G120"/>
    <mergeCell ref="C118:G118"/>
    <mergeCell ref="I179:M179"/>
    <mergeCell ref="I180:M180"/>
    <mergeCell ref="I109:M109"/>
    <mergeCell ref="I110:M110"/>
    <mergeCell ref="I105:M105"/>
    <mergeCell ref="C104:G104"/>
    <mergeCell ref="C105:G105"/>
    <mergeCell ref="C110:G110"/>
    <mergeCell ref="C109:G109"/>
    <mergeCell ref="C108:G108"/>
    <mergeCell ref="C107:G107"/>
    <mergeCell ref="C106:G106"/>
    <mergeCell ref="C111:G111"/>
    <mergeCell ref="C112:G112"/>
    <mergeCell ref="C113:G113"/>
    <mergeCell ref="C115:G115"/>
    <mergeCell ref="C114:G114"/>
    <mergeCell ref="C161:G161"/>
    <mergeCell ref="C156:G156"/>
    <mergeCell ref="C145:G145"/>
    <mergeCell ref="C144:G144"/>
    <mergeCell ref="C149:G149"/>
    <mergeCell ref="C150:G150"/>
    <mergeCell ref="C147:G147"/>
    <mergeCell ref="C148:G148"/>
    <mergeCell ref="C128:G128"/>
    <mergeCell ref="C129:G129"/>
    <mergeCell ref="C165:G165"/>
    <mergeCell ref="C166:G166"/>
    <mergeCell ref="C164:G164"/>
    <mergeCell ref="C151:G151"/>
    <mergeCell ref="C133:G133"/>
    <mergeCell ref="C162:G162"/>
    <mergeCell ref="C163:G163"/>
    <mergeCell ref="C158:G158"/>
    <mergeCell ref="C159:G159"/>
    <mergeCell ref="C134:G134"/>
    <mergeCell ref="C138:G138"/>
    <mergeCell ref="C157:G157"/>
    <mergeCell ref="C160:G160"/>
    <mergeCell ref="C154:G154"/>
    <mergeCell ref="C155:G155"/>
    <mergeCell ref="C153:G153"/>
    <mergeCell ref="C152:G152"/>
    <mergeCell ref="C174:G174"/>
    <mergeCell ref="C175:G175"/>
    <mergeCell ref="C127:G127"/>
    <mergeCell ref="C126:G126"/>
    <mergeCell ref="C122:G122"/>
    <mergeCell ref="C124:G124"/>
    <mergeCell ref="C123:G123"/>
    <mergeCell ref="C146:G146"/>
    <mergeCell ref="C130:G130"/>
    <mergeCell ref="C132:G132"/>
    <mergeCell ref="C131:G131"/>
    <mergeCell ref="C125:G125"/>
    <mergeCell ref="C193:G193"/>
    <mergeCell ref="C198:G198"/>
    <mergeCell ref="C199:G199"/>
    <mergeCell ref="C197:G197"/>
    <mergeCell ref="C200:G200"/>
    <mergeCell ref="C205:G205"/>
    <mergeCell ref="C204:G204"/>
    <mergeCell ref="I206:M206"/>
    <mergeCell ref="I207:M207"/>
    <mergeCell ref="I222:M222"/>
    <mergeCell ref="I209:M209"/>
    <mergeCell ref="I210:M210"/>
    <mergeCell ref="I208:M208"/>
    <mergeCell ref="C202:G202"/>
    <mergeCell ref="C203:G203"/>
    <mergeCell ref="I205:M205"/>
    <mergeCell ref="I212:M212"/>
    <mergeCell ref="I211:M211"/>
    <mergeCell ref="I213:M213"/>
    <mergeCell ref="I214:M214"/>
    <mergeCell ref="I199:M199"/>
    <mergeCell ref="I200:M200"/>
    <mergeCell ref="I195:M195"/>
    <mergeCell ref="I193:M193"/>
    <mergeCell ref="I194:M194"/>
    <mergeCell ref="I203:M203"/>
    <mergeCell ref="I204:M204"/>
    <mergeCell ref="I196:M196"/>
    <mergeCell ref="I197:M197"/>
    <mergeCell ref="I198:M198"/>
    <mergeCell ref="I202:M202"/>
    <mergeCell ref="I201:M201"/>
    <mergeCell ref="I184:M184"/>
    <mergeCell ref="I185:M185"/>
    <mergeCell ref="I174:M174"/>
    <mergeCell ref="I181:M181"/>
    <mergeCell ref="I182:M182"/>
    <mergeCell ref="I177:M177"/>
    <mergeCell ref="I176:M176"/>
    <mergeCell ref="I175:M175"/>
    <mergeCell ref="I186:M186"/>
    <mergeCell ref="I159:M159"/>
    <mergeCell ref="I150:M150"/>
    <mergeCell ref="I154:M154"/>
    <mergeCell ref="I155:M155"/>
    <mergeCell ref="I156:M156"/>
    <mergeCell ref="I153:M153"/>
    <mergeCell ref="I151:M151"/>
    <mergeCell ref="I152:M152"/>
    <mergeCell ref="I137:M137"/>
    <mergeCell ref="I138:M138"/>
    <mergeCell ref="I160:M160"/>
    <mergeCell ref="I173:M173"/>
    <mergeCell ref="I162:M162"/>
    <mergeCell ref="I161:M161"/>
    <mergeCell ref="I149:M14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350</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84:G184"/>
    <mergeCell ref="C178:G178"/>
    <mergeCell ref="C179:G179"/>
    <mergeCell ref="C180:G180"/>
    <mergeCell ref="C181:G181"/>
    <mergeCell ref="C182:G182"/>
    <mergeCell ref="C183:G183"/>
    <mergeCell ref="C176:G176"/>
    <mergeCell ref="C177:G177"/>
    <mergeCell ref="C171:G171"/>
    <mergeCell ref="C172:G172"/>
    <mergeCell ref="C168:G168"/>
    <mergeCell ref="C169:G169"/>
    <mergeCell ref="C187:G187"/>
    <mergeCell ref="C186:G186"/>
    <mergeCell ref="C237:G237"/>
    <mergeCell ref="C236:G236"/>
    <mergeCell ref="C218:G218"/>
    <mergeCell ref="C222:G222"/>
    <mergeCell ref="C219:G219"/>
    <mergeCell ref="C220:G220"/>
    <mergeCell ref="C194:G194"/>
    <mergeCell ref="C195:G195"/>
    <mergeCell ref="C167:G167"/>
    <mergeCell ref="C185:G185"/>
    <mergeCell ref="C189:G189"/>
    <mergeCell ref="C190:G190"/>
    <mergeCell ref="C188:G188"/>
    <mergeCell ref="C170:G170"/>
    <mergeCell ref="C173:G173"/>
    <mergeCell ref="C224:G224"/>
    <mergeCell ref="C221:G221"/>
    <mergeCell ref="C226:G226"/>
    <mergeCell ref="C225:G225"/>
    <mergeCell ref="C214:G214"/>
    <mergeCell ref="C215:G215"/>
    <mergeCell ref="C208:G208"/>
    <mergeCell ref="C206:G206"/>
    <mergeCell ref="C207:G207"/>
    <mergeCell ref="C227:G227"/>
    <mergeCell ref="C228:G228"/>
    <mergeCell ref="C230:G230"/>
    <mergeCell ref="C231:G231"/>
    <mergeCell ref="C243:G243"/>
    <mergeCell ref="C244:G244"/>
    <mergeCell ref="C245:G245"/>
    <mergeCell ref="C242:G242"/>
    <mergeCell ref="C248:G248"/>
    <mergeCell ref="C249:G249"/>
    <mergeCell ref="C246:G246"/>
    <mergeCell ref="C247:G247"/>
    <mergeCell ref="C232:G232"/>
    <mergeCell ref="C229:G229"/>
    <mergeCell ref="C196:G196"/>
    <mergeCell ref="C201:G201"/>
    <mergeCell ref="C191:G191"/>
    <mergeCell ref="C192:G192"/>
    <mergeCell ref="C209:G209"/>
    <mergeCell ref="C210:G210"/>
    <mergeCell ref="C233:G233"/>
    <mergeCell ref="C212:G212"/>
    <mergeCell ref="C213:G213"/>
    <mergeCell ref="C217:G217"/>
    <mergeCell ref="C216:G216"/>
    <mergeCell ref="C223:G223"/>
    <mergeCell ref="I236:M236"/>
    <mergeCell ref="I237:M237"/>
    <mergeCell ref="I232:M232"/>
    <mergeCell ref="I233:M233"/>
    <mergeCell ref="I215:M215"/>
    <mergeCell ref="I216:M216"/>
    <mergeCell ref="I217:M217"/>
    <mergeCell ref="I221:M221"/>
    <mergeCell ref="I218:M218"/>
    <mergeCell ref="C234:G234"/>
    <mergeCell ref="C235:G235"/>
    <mergeCell ref="C239:G239"/>
    <mergeCell ref="C240:G240"/>
    <mergeCell ref="C241:G241"/>
    <mergeCell ref="C211:G211"/>
    <mergeCell ref="I241:M241"/>
    <mergeCell ref="C238:G238"/>
    <mergeCell ref="I238:M238"/>
    <mergeCell ref="I234:M234"/>
    <mergeCell ref="I235:M235"/>
    <mergeCell ref="I247:M247"/>
    <mergeCell ref="I248:M248"/>
    <mergeCell ref="I249:M249"/>
    <mergeCell ref="I239:M239"/>
    <mergeCell ref="I240:M240"/>
    <mergeCell ref="I245:M245"/>
    <mergeCell ref="I246:M246"/>
    <mergeCell ref="I244:M244"/>
    <mergeCell ref="I243:M243"/>
    <mergeCell ref="I242:M242"/>
    <mergeCell ref="I227:M227"/>
    <mergeCell ref="I229:M229"/>
    <mergeCell ref="I231:M231"/>
    <mergeCell ref="I219:M219"/>
    <mergeCell ref="I220:M220"/>
    <mergeCell ref="I223:M223"/>
    <mergeCell ref="I224:M224"/>
    <mergeCell ref="I225:M225"/>
    <mergeCell ref="I226:M226"/>
    <mergeCell ref="I228:M228"/>
    <mergeCell ref="I230:M230"/>
    <mergeCell ref="I61:M61"/>
    <mergeCell ref="I62:M62"/>
    <mergeCell ref="I56:M56"/>
    <mergeCell ref="I57:M57"/>
    <mergeCell ref="I58:M58"/>
    <mergeCell ref="I59:M59"/>
    <mergeCell ref="I63:M63"/>
    <mergeCell ref="I60:M60"/>
    <mergeCell ref="I69:M69"/>
    <mergeCell ref="I70:M70"/>
    <mergeCell ref="I55:M55"/>
    <mergeCell ref="I72:M72"/>
    <mergeCell ref="I71:M71"/>
    <mergeCell ref="C43:G43"/>
    <mergeCell ref="C42:G42"/>
    <mergeCell ref="C39:G39"/>
    <mergeCell ref="C40:G40"/>
    <mergeCell ref="C41:G41"/>
    <mergeCell ref="I45:M45"/>
    <mergeCell ref="I43:M43"/>
    <mergeCell ref="I44:M44"/>
    <mergeCell ref="C44:G44"/>
    <mergeCell ref="C45:G45"/>
    <mergeCell ref="C72:G72"/>
    <mergeCell ref="C71:G71"/>
    <mergeCell ref="C73:G73"/>
    <mergeCell ref="C74:G74"/>
    <mergeCell ref="C77:G77"/>
    <mergeCell ref="C70:G70"/>
    <mergeCell ref="C69:G69"/>
    <mergeCell ref="C68:G68"/>
    <mergeCell ref="C78:G78"/>
    <mergeCell ref="C46:G46"/>
    <mergeCell ref="C47:G47"/>
    <mergeCell ref="C53:G53"/>
    <mergeCell ref="C52:G52"/>
    <mergeCell ref="C38:G38"/>
    <mergeCell ref="C50:G50"/>
    <mergeCell ref="C51:G51"/>
    <mergeCell ref="C48:G48"/>
    <mergeCell ref="C54:G54"/>
    <mergeCell ref="C56:G56"/>
    <mergeCell ref="C55:G55"/>
    <mergeCell ref="C49:G49"/>
    <mergeCell ref="I85:M85"/>
    <mergeCell ref="I84:M84"/>
    <mergeCell ref="C89:G89"/>
    <mergeCell ref="I89:M89"/>
    <mergeCell ref="I87:M87"/>
    <mergeCell ref="I88:M88"/>
    <mergeCell ref="C88:G88"/>
    <mergeCell ref="I92:M92"/>
    <mergeCell ref="I93:M93"/>
    <mergeCell ref="I94:M94"/>
    <mergeCell ref="I86:M86"/>
    <mergeCell ref="I91:M91"/>
    <mergeCell ref="I90:M90"/>
    <mergeCell ref="C79:G79"/>
    <mergeCell ref="C80:G80"/>
    <mergeCell ref="C32:G32"/>
    <mergeCell ref="C31:G31"/>
    <mergeCell ref="C35:G35"/>
    <mergeCell ref="C36:G36"/>
    <mergeCell ref="C34:G34"/>
    <mergeCell ref="C33:G33"/>
    <mergeCell ref="C37:G37"/>
    <mergeCell ref="C61:G61"/>
    <mergeCell ref="C62:G62"/>
    <mergeCell ref="C63:G63"/>
    <mergeCell ref="C60:G60"/>
    <mergeCell ref="C57:G57"/>
    <mergeCell ref="C58:G58"/>
    <mergeCell ref="C59:G59"/>
    <mergeCell ref="I51:M51"/>
    <mergeCell ref="I52:M52"/>
    <mergeCell ref="I73:M73"/>
    <mergeCell ref="I74:M74"/>
    <mergeCell ref="I50:M50"/>
    <mergeCell ref="I48:M48"/>
    <mergeCell ref="I49:M49"/>
    <mergeCell ref="I46:M46"/>
    <mergeCell ref="I47:M47"/>
    <mergeCell ref="I81:M81"/>
    <mergeCell ref="I80:M80"/>
    <mergeCell ref="I82:M82"/>
    <mergeCell ref="I83:M83"/>
    <mergeCell ref="C76:G76"/>
    <mergeCell ref="C75:G75"/>
    <mergeCell ref="I77:M77"/>
    <mergeCell ref="I76:M76"/>
    <mergeCell ref="I75:M75"/>
    <mergeCell ref="I78:M78"/>
    <mergeCell ref="I79:M79"/>
    <mergeCell ref="C91:G91"/>
    <mergeCell ref="C90:G90"/>
    <mergeCell ref="C93:G93"/>
    <mergeCell ref="C94:G94"/>
    <mergeCell ref="C84:G84"/>
    <mergeCell ref="C85:G85"/>
    <mergeCell ref="C83:G83"/>
    <mergeCell ref="C82:G82"/>
    <mergeCell ref="C81:G81"/>
    <mergeCell ref="C95:G95"/>
    <mergeCell ref="C87:G87"/>
    <mergeCell ref="C86:G86"/>
    <mergeCell ref="C92:G92"/>
    <mergeCell ref="I67:M67"/>
    <mergeCell ref="I68:M68"/>
    <mergeCell ref="C67:G67"/>
    <mergeCell ref="C66:G66"/>
    <mergeCell ref="C64:G64"/>
    <mergeCell ref="C65:G65"/>
    <mergeCell ref="I65:M65"/>
    <mergeCell ref="I66:M66"/>
    <mergeCell ref="I64:M64"/>
    <mergeCell ref="I125:M125"/>
    <mergeCell ref="I124:M124"/>
    <mergeCell ref="I127:M127"/>
    <mergeCell ref="I126:M126"/>
    <mergeCell ref="I122:M122"/>
    <mergeCell ref="I121:M121"/>
    <mergeCell ref="I123:M123"/>
    <mergeCell ref="I128:M128"/>
    <mergeCell ref="I129:M129"/>
    <mergeCell ref="I131:M131"/>
    <mergeCell ref="I132:M132"/>
    <mergeCell ref="I130:M130"/>
    <mergeCell ref="I139:M139"/>
    <mergeCell ref="I140:M140"/>
    <mergeCell ref="I141:M141"/>
    <mergeCell ref="I142:M142"/>
    <mergeCell ref="C137:G137"/>
    <mergeCell ref="C140:G140"/>
    <mergeCell ref="C139:G139"/>
    <mergeCell ref="C141:G141"/>
    <mergeCell ref="C142:G142"/>
    <mergeCell ref="C136:G136"/>
    <mergeCell ref="C135:G135"/>
    <mergeCell ref="I133:M133"/>
    <mergeCell ref="I134:M134"/>
    <mergeCell ref="I135:M135"/>
    <mergeCell ref="I136:M136"/>
    <mergeCell ref="C143:G143"/>
    <mergeCell ref="I144:M144"/>
    <mergeCell ref="I143:M143"/>
    <mergeCell ref="I118:M118"/>
    <mergeCell ref="I111:M111"/>
    <mergeCell ref="I112:M112"/>
    <mergeCell ref="I114:M114"/>
    <mergeCell ref="I115:M115"/>
    <mergeCell ref="I116:M116"/>
    <mergeCell ref="I117:M117"/>
    <mergeCell ref="C96:G96"/>
    <mergeCell ref="C99:G99"/>
    <mergeCell ref="C100:G100"/>
    <mergeCell ref="C97:G97"/>
    <mergeCell ref="C98:G98"/>
    <mergeCell ref="I119:M119"/>
    <mergeCell ref="I100:M100"/>
    <mergeCell ref="I39:M39"/>
    <mergeCell ref="I32:M32"/>
    <mergeCell ref="I38:M38"/>
    <mergeCell ref="I34:M34"/>
    <mergeCell ref="I35:M35"/>
    <mergeCell ref="I33:M33"/>
    <mergeCell ref="I37:M37"/>
    <mergeCell ref="I36:M36"/>
    <mergeCell ref="I24:M24"/>
    <mergeCell ref="I25:M25"/>
    <mergeCell ref="I28:M28"/>
    <mergeCell ref="I26:M26"/>
    <mergeCell ref="I27:M27"/>
    <mergeCell ref="I54:M54"/>
    <mergeCell ref="I23:M23"/>
    <mergeCell ref="I42:M42"/>
    <mergeCell ref="I41:M41"/>
    <mergeCell ref="I40:M40"/>
    <mergeCell ref="I53:M53"/>
    <mergeCell ref="I31:M31"/>
    <mergeCell ref="I29:M29"/>
    <mergeCell ref="C29:G29"/>
    <mergeCell ref="C25:G25"/>
    <mergeCell ref="C26:G26"/>
    <mergeCell ref="C27:G27"/>
    <mergeCell ref="C28:G28"/>
    <mergeCell ref="I30:M30"/>
    <mergeCell ref="C1:J1"/>
    <mergeCell ref="C2:G2"/>
    <mergeCell ref="H2:L2"/>
    <mergeCell ref="C23:G23"/>
    <mergeCell ref="C24:G24"/>
    <mergeCell ref="C30:G30"/>
    <mergeCell ref="I171:M171"/>
    <mergeCell ref="I172:M172"/>
    <mergeCell ref="I163:M163"/>
    <mergeCell ref="I164:M164"/>
    <mergeCell ref="I165:M165"/>
    <mergeCell ref="I166:M166"/>
    <mergeCell ref="I157:M157"/>
    <mergeCell ref="I158:M158"/>
    <mergeCell ref="I145:M145"/>
    <mergeCell ref="I146:M146"/>
    <mergeCell ref="I147:M147"/>
    <mergeCell ref="I148:M148"/>
    <mergeCell ref="I170:M170"/>
    <mergeCell ref="I168:M168"/>
    <mergeCell ref="I169:M169"/>
    <mergeCell ref="I178:M178"/>
    <mergeCell ref="I187:M187"/>
    <mergeCell ref="I188:M188"/>
    <mergeCell ref="I189:M189"/>
    <mergeCell ref="I190:M190"/>
    <mergeCell ref="I191:M191"/>
    <mergeCell ref="I192:M192"/>
    <mergeCell ref="I167:M167"/>
    <mergeCell ref="I183:M183"/>
    <mergeCell ref="I106:M106"/>
    <mergeCell ref="I108:M108"/>
    <mergeCell ref="I107:M107"/>
    <mergeCell ref="I113:M113"/>
    <mergeCell ref="I98:M98"/>
    <mergeCell ref="I99:M99"/>
    <mergeCell ref="I96:M96"/>
    <mergeCell ref="I97:M97"/>
    <mergeCell ref="I95:M95"/>
    <mergeCell ref="I101:M101"/>
    <mergeCell ref="I102:M102"/>
    <mergeCell ref="C101:G101"/>
    <mergeCell ref="C102:G102"/>
    <mergeCell ref="C103:G103"/>
    <mergeCell ref="I103:M103"/>
    <mergeCell ref="I104:M104"/>
    <mergeCell ref="C121:G121"/>
    <mergeCell ref="I120:M120"/>
    <mergeCell ref="C119:G119"/>
    <mergeCell ref="C117:G117"/>
    <mergeCell ref="C116:G116"/>
    <mergeCell ref="C120:G120"/>
    <mergeCell ref="C118:G118"/>
    <mergeCell ref="I179:M179"/>
    <mergeCell ref="I180:M180"/>
    <mergeCell ref="I109:M109"/>
    <mergeCell ref="I110:M110"/>
    <mergeCell ref="I105:M105"/>
    <mergeCell ref="C104:G104"/>
    <mergeCell ref="C105:G105"/>
    <mergeCell ref="C110:G110"/>
    <mergeCell ref="C109:G109"/>
    <mergeCell ref="C108:G108"/>
    <mergeCell ref="C107:G107"/>
    <mergeCell ref="C106:G106"/>
    <mergeCell ref="C111:G111"/>
    <mergeCell ref="C112:G112"/>
    <mergeCell ref="C113:G113"/>
    <mergeCell ref="C115:G115"/>
    <mergeCell ref="C114:G114"/>
    <mergeCell ref="C161:G161"/>
    <mergeCell ref="C156:G156"/>
    <mergeCell ref="C145:G145"/>
    <mergeCell ref="C144:G144"/>
    <mergeCell ref="C149:G149"/>
    <mergeCell ref="C150:G150"/>
    <mergeCell ref="C147:G147"/>
    <mergeCell ref="C148:G148"/>
    <mergeCell ref="C128:G128"/>
    <mergeCell ref="C129:G129"/>
    <mergeCell ref="C165:G165"/>
    <mergeCell ref="C166:G166"/>
    <mergeCell ref="C164:G164"/>
    <mergeCell ref="C151:G151"/>
    <mergeCell ref="C133:G133"/>
    <mergeCell ref="C162:G162"/>
    <mergeCell ref="C163:G163"/>
    <mergeCell ref="C158:G158"/>
    <mergeCell ref="C159:G159"/>
    <mergeCell ref="C134:G134"/>
    <mergeCell ref="C138:G138"/>
    <mergeCell ref="C157:G157"/>
    <mergeCell ref="C160:G160"/>
    <mergeCell ref="C154:G154"/>
    <mergeCell ref="C155:G155"/>
    <mergeCell ref="C153:G153"/>
    <mergeCell ref="C152:G152"/>
    <mergeCell ref="C174:G174"/>
    <mergeCell ref="C175:G175"/>
    <mergeCell ref="C127:G127"/>
    <mergeCell ref="C126:G126"/>
    <mergeCell ref="C122:G122"/>
    <mergeCell ref="C124:G124"/>
    <mergeCell ref="C123:G123"/>
    <mergeCell ref="C146:G146"/>
    <mergeCell ref="C130:G130"/>
    <mergeCell ref="C132:G132"/>
    <mergeCell ref="C131:G131"/>
    <mergeCell ref="C125:G125"/>
    <mergeCell ref="C193:G193"/>
    <mergeCell ref="C198:G198"/>
    <mergeCell ref="C199:G199"/>
    <mergeCell ref="C197:G197"/>
    <mergeCell ref="C200:G200"/>
    <mergeCell ref="C205:G205"/>
    <mergeCell ref="C204:G204"/>
    <mergeCell ref="I206:M206"/>
    <mergeCell ref="I207:M207"/>
    <mergeCell ref="I222:M222"/>
    <mergeCell ref="I209:M209"/>
    <mergeCell ref="I210:M210"/>
    <mergeCell ref="I208:M208"/>
    <mergeCell ref="C202:G202"/>
    <mergeCell ref="C203:G203"/>
    <mergeCell ref="I205:M205"/>
    <mergeCell ref="I212:M212"/>
    <mergeCell ref="I211:M211"/>
    <mergeCell ref="I213:M213"/>
    <mergeCell ref="I214:M214"/>
    <mergeCell ref="I199:M199"/>
    <mergeCell ref="I200:M200"/>
    <mergeCell ref="I195:M195"/>
    <mergeCell ref="I193:M193"/>
    <mergeCell ref="I194:M194"/>
    <mergeCell ref="I203:M203"/>
    <mergeCell ref="I204:M204"/>
    <mergeCell ref="I196:M196"/>
    <mergeCell ref="I197:M197"/>
    <mergeCell ref="I198:M198"/>
    <mergeCell ref="I202:M202"/>
    <mergeCell ref="I201:M201"/>
    <mergeCell ref="I184:M184"/>
    <mergeCell ref="I185:M185"/>
    <mergeCell ref="I174:M174"/>
    <mergeCell ref="I181:M181"/>
    <mergeCell ref="I182:M182"/>
    <mergeCell ref="I177:M177"/>
    <mergeCell ref="I176:M176"/>
    <mergeCell ref="I175:M175"/>
    <mergeCell ref="I186:M186"/>
    <mergeCell ref="I159:M159"/>
    <mergeCell ref="I150:M150"/>
    <mergeCell ref="I154:M154"/>
    <mergeCell ref="I155:M155"/>
    <mergeCell ref="I156:M156"/>
    <mergeCell ref="I153:M153"/>
    <mergeCell ref="I151:M151"/>
    <mergeCell ref="I152:M152"/>
    <mergeCell ref="I137:M137"/>
    <mergeCell ref="I138:M138"/>
    <mergeCell ref="I160:M160"/>
    <mergeCell ref="I173:M173"/>
    <mergeCell ref="I162:M162"/>
    <mergeCell ref="I161:M161"/>
    <mergeCell ref="I149:M14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351</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84:G184"/>
    <mergeCell ref="C178:G178"/>
    <mergeCell ref="C179:G179"/>
    <mergeCell ref="C180:G180"/>
    <mergeCell ref="C181:G181"/>
    <mergeCell ref="C182:G182"/>
    <mergeCell ref="C183:G183"/>
    <mergeCell ref="C176:G176"/>
    <mergeCell ref="C177:G177"/>
    <mergeCell ref="C171:G171"/>
    <mergeCell ref="C172:G172"/>
    <mergeCell ref="C168:G168"/>
    <mergeCell ref="C169:G169"/>
    <mergeCell ref="C187:G187"/>
    <mergeCell ref="C186:G186"/>
    <mergeCell ref="C237:G237"/>
    <mergeCell ref="C236:G236"/>
    <mergeCell ref="C218:G218"/>
    <mergeCell ref="C222:G222"/>
    <mergeCell ref="C219:G219"/>
    <mergeCell ref="C220:G220"/>
    <mergeCell ref="C194:G194"/>
    <mergeCell ref="C195:G195"/>
    <mergeCell ref="C167:G167"/>
    <mergeCell ref="C185:G185"/>
    <mergeCell ref="C189:G189"/>
    <mergeCell ref="C190:G190"/>
    <mergeCell ref="C188:G188"/>
    <mergeCell ref="C170:G170"/>
    <mergeCell ref="C173:G173"/>
    <mergeCell ref="C224:G224"/>
    <mergeCell ref="C221:G221"/>
    <mergeCell ref="C226:G226"/>
    <mergeCell ref="C225:G225"/>
    <mergeCell ref="C214:G214"/>
    <mergeCell ref="C215:G215"/>
    <mergeCell ref="C208:G208"/>
    <mergeCell ref="C206:G206"/>
    <mergeCell ref="C207:G207"/>
    <mergeCell ref="C227:G227"/>
    <mergeCell ref="C228:G228"/>
    <mergeCell ref="C230:G230"/>
    <mergeCell ref="C231:G231"/>
    <mergeCell ref="C243:G243"/>
    <mergeCell ref="C244:G244"/>
    <mergeCell ref="C245:G245"/>
    <mergeCell ref="C242:G242"/>
    <mergeCell ref="C248:G248"/>
    <mergeCell ref="C249:G249"/>
    <mergeCell ref="C246:G246"/>
    <mergeCell ref="C247:G247"/>
    <mergeCell ref="C232:G232"/>
    <mergeCell ref="C229:G229"/>
    <mergeCell ref="C196:G196"/>
    <mergeCell ref="C201:G201"/>
    <mergeCell ref="C191:G191"/>
    <mergeCell ref="C192:G192"/>
    <mergeCell ref="C209:G209"/>
    <mergeCell ref="C210:G210"/>
    <mergeCell ref="C233:G233"/>
    <mergeCell ref="C212:G212"/>
    <mergeCell ref="C213:G213"/>
    <mergeCell ref="C217:G217"/>
    <mergeCell ref="C216:G216"/>
    <mergeCell ref="C223:G223"/>
    <mergeCell ref="I236:M236"/>
    <mergeCell ref="I237:M237"/>
    <mergeCell ref="I232:M232"/>
    <mergeCell ref="I233:M233"/>
    <mergeCell ref="I215:M215"/>
    <mergeCell ref="I216:M216"/>
    <mergeCell ref="I217:M217"/>
    <mergeCell ref="I221:M221"/>
    <mergeCell ref="I218:M218"/>
    <mergeCell ref="C234:G234"/>
    <mergeCell ref="C235:G235"/>
    <mergeCell ref="C239:G239"/>
    <mergeCell ref="C240:G240"/>
    <mergeCell ref="C241:G241"/>
    <mergeCell ref="C211:G211"/>
    <mergeCell ref="I241:M241"/>
    <mergeCell ref="C238:G238"/>
    <mergeCell ref="I238:M238"/>
    <mergeCell ref="I234:M234"/>
    <mergeCell ref="I235:M235"/>
    <mergeCell ref="I247:M247"/>
    <mergeCell ref="I248:M248"/>
    <mergeCell ref="I249:M249"/>
    <mergeCell ref="I239:M239"/>
    <mergeCell ref="I240:M240"/>
    <mergeCell ref="I245:M245"/>
    <mergeCell ref="I246:M246"/>
    <mergeCell ref="I244:M244"/>
    <mergeCell ref="I243:M243"/>
    <mergeCell ref="I242:M242"/>
    <mergeCell ref="I227:M227"/>
    <mergeCell ref="I229:M229"/>
    <mergeCell ref="I231:M231"/>
    <mergeCell ref="I219:M219"/>
    <mergeCell ref="I220:M220"/>
    <mergeCell ref="I223:M223"/>
    <mergeCell ref="I224:M224"/>
    <mergeCell ref="I225:M225"/>
    <mergeCell ref="I226:M226"/>
    <mergeCell ref="I228:M228"/>
    <mergeCell ref="I230:M230"/>
    <mergeCell ref="I61:M61"/>
    <mergeCell ref="I62:M62"/>
    <mergeCell ref="I56:M56"/>
    <mergeCell ref="I57:M57"/>
    <mergeCell ref="I58:M58"/>
    <mergeCell ref="I59:M59"/>
    <mergeCell ref="I63:M63"/>
    <mergeCell ref="I60:M60"/>
    <mergeCell ref="I69:M69"/>
    <mergeCell ref="I70:M70"/>
    <mergeCell ref="I55:M55"/>
    <mergeCell ref="I72:M72"/>
    <mergeCell ref="I71:M71"/>
    <mergeCell ref="C43:G43"/>
    <mergeCell ref="C42:G42"/>
    <mergeCell ref="C39:G39"/>
    <mergeCell ref="C40:G40"/>
    <mergeCell ref="C41:G41"/>
    <mergeCell ref="I45:M45"/>
    <mergeCell ref="I43:M43"/>
    <mergeCell ref="I44:M44"/>
    <mergeCell ref="C44:G44"/>
    <mergeCell ref="C45:G45"/>
    <mergeCell ref="C72:G72"/>
    <mergeCell ref="C71:G71"/>
    <mergeCell ref="C73:G73"/>
    <mergeCell ref="C74:G74"/>
    <mergeCell ref="C77:G77"/>
    <mergeCell ref="C70:G70"/>
    <mergeCell ref="C69:G69"/>
    <mergeCell ref="C68:G68"/>
    <mergeCell ref="C78:G78"/>
    <mergeCell ref="C46:G46"/>
    <mergeCell ref="C47:G47"/>
    <mergeCell ref="C53:G53"/>
    <mergeCell ref="C52:G52"/>
    <mergeCell ref="C38:G38"/>
    <mergeCell ref="C50:G50"/>
    <mergeCell ref="C51:G51"/>
    <mergeCell ref="C48:G48"/>
    <mergeCell ref="C54:G54"/>
    <mergeCell ref="C56:G56"/>
    <mergeCell ref="C55:G55"/>
    <mergeCell ref="C49:G49"/>
    <mergeCell ref="I85:M85"/>
    <mergeCell ref="I84:M84"/>
    <mergeCell ref="C89:G89"/>
    <mergeCell ref="I89:M89"/>
    <mergeCell ref="I87:M87"/>
    <mergeCell ref="I88:M88"/>
    <mergeCell ref="C88:G88"/>
    <mergeCell ref="I92:M92"/>
    <mergeCell ref="I93:M93"/>
    <mergeCell ref="I94:M94"/>
    <mergeCell ref="I86:M86"/>
    <mergeCell ref="I91:M91"/>
    <mergeCell ref="I90:M90"/>
    <mergeCell ref="C79:G79"/>
    <mergeCell ref="C80:G80"/>
    <mergeCell ref="C32:G32"/>
    <mergeCell ref="C31:G31"/>
    <mergeCell ref="C35:G35"/>
    <mergeCell ref="C36:G36"/>
    <mergeCell ref="C34:G34"/>
    <mergeCell ref="C33:G33"/>
    <mergeCell ref="C37:G37"/>
    <mergeCell ref="C61:G61"/>
    <mergeCell ref="C62:G62"/>
    <mergeCell ref="C63:G63"/>
    <mergeCell ref="C60:G60"/>
    <mergeCell ref="C57:G57"/>
    <mergeCell ref="C58:G58"/>
    <mergeCell ref="C59:G59"/>
    <mergeCell ref="I51:M51"/>
    <mergeCell ref="I52:M52"/>
    <mergeCell ref="I73:M73"/>
    <mergeCell ref="I74:M74"/>
    <mergeCell ref="I50:M50"/>
    <mergeCell ref="I48:M48"/>
    <mergeCell ref="I49:M49"/>
    <mergeCell ref="I46:M46"/>
    <mergeCell ref="I47:M47"/>
    <mergeCell ref="I81:M81"/>
    <mergeCell ref="I80:M80"/>
    <mergeCell ref="I82:M82"/>
    <mergeCell ref="I83:M83"/>
    <mergeCell ref="C76:G76"/>
    <mergeCell ref="C75:G75"/>
    <mergeCell ref="I77:M77"/>
    <mergeCell ref="I76:M76"/>
    <mergeCell ref="I75:M75"/>
    <mergeCell ref="I78:M78"/>
    <mergeCell ref="I79:M79"/>
    <mergeCell ref="C91:G91"/>
    <mergeCell ref="C90:G90"/>
    <mergeCell ref="C93:G93"/>
    <mergeCell ref="C94:G94"/>
    <mergeCell ref="C84:G84"/>
    <mergeCell ref="C85:G85"/>
    <mergeCell ref="C83:G83"/>
    <mergeCell ref="C82:G82"/>
    <mergeCell ref="C81:G81"/>
    <mergeCell ref="C95:G95"/>
    <mergeCell ref="C87:G87"/>
    <mergeCell ref="C86:G86"/>
    <mergeCell ref="C92:G92"/>
    <mergeCell ref="I67:M67"/>
    <mergeCell ref="I68:M68"/>
    <mergeCell ref="C67:G67"/>
    <mergeCell ref="C66:G66"/>
    <mergeCell ref="C64:G64"/>
    <mergeCell ref="C65:G65"/>
    <mergeCell ref="I65:M65"/>
    <mergeCell ref="I66:M66"/>
    <mergeCell ref="I64:M64"/>
    <mergeCell ref="I125:M125"/>
    <mergeCell ref="I124:M124"/>
    <mergeCell ref="I127:M127"/>
    <mergeCell ref="I126:M126"/>
    <mergeCell ref="I122:M122"/>
    <mergeCell ref="I121:M121"/>
    <mergeCell ref="I123:M123"/>
    <mergeCell ref="I128:M128"/>
    <mergeCell ref="I129:M129"/>
    <mergeCell ref="I131:M131"/>
    <mergeCell ref="I132:M132"/>
    <mergeCell ref="I130:M130"/>
    <mergeCell ref="I139:M139"/>
    <mergeCell ref="I140:M140"/>
    <mergeCell ref="I141:M141"/>
    <mergeCell ref="I142:M142"/>
    <mergeCell ref="C137:G137"/>
    <mergeCell ref="C140:G140"/>
    <mergeCell ref="C139:G139"/>
    <mergeCell ref="C141:G141"/>
    <mergeCell ref="C142:G142"/>
    <mergeCell ref="C136:G136"/>
    <mergeCell ref="C135:G135"/>
    <mergeCell ref="I133:M133"/>
    <mergeCell ref="I134:M134"/>
    <mergeCell ref="I135:M135"/>
    <mergeCell ref="I136:M136"/>
    <mergeCell ref="C143:G143"/>
    <mergeCell ref="I144:M144"/>
    <mergeCell ref="I143:M143"/>
    <mergeCell ref="I118:M118"/>
    <mergeCell ref="I111:M111"/>
    <mergeCell ref="I112:M112"/>
    <mergeCell ref="I114:M114"/>
    <mergeCell ref="I115:M115"/>
    <mergeCell ref="I116:M116"/>
    <mergeCell ref="I117:M117"/>
    <mergeCell ref="C96:G96"/>
    <mergeCell ref="C99:G99"/>
    <mergeCell ref="C100:G100"/>
    <mergeCell ref="C97:G97"/>
    <mergeCell ref="C98:G98"/>
    <mergeCell ref="I119:M119"/>
    <mergeCell ref="I100:M100"/>
    <mergeCell ref="I39:M39"/>
    <mergeCell ref="I32:M32"/>
    <mergeCell ref="I38:M38"/>
    <mergeCell ref="I34:M34"/>
    <mergeCell ref="I35:M35"/>
    <mergeCell ref="I33:M33"/>
    <mergeCell ref="I37:M37"/>
    <mergeCell ref="I36:M36"/>
    <mergeCell ref="I24:M24"/>
    <mergeCell ref="I25:M25"/>
    <mergeCell ref="I28:M28"/>
    <mergeCell ref="I26:M26"/>
    <mergeCell ref="I27:M27"/>
    <mergeCell ref="I54:M54"/>
    <mergeCell ref="I23:M23"/>
    <mergeCell ref="I42:M42"/>
    <mergeCell ref="I41:M41"/>
    <mergeCell ref="I40:M40"/>
    <mergeCell ref="I53:M53"/>
    <mergeCell ref="I31:M31"/>
    <mergeCell ref="I29:M29"/>
    <mergeCell ref="C29:G29"/>
    <mergeCell ref="C25:G25"/>
    <mergeCell ref="C26:G26"/>
    <mergeCell ref="C27:G27"/>
    <mergeCell ref="C28:G28"/>
    <mergeCell ref="I30:M30"/>
    <mergeCell ref="C1:J1"/>
    <mergeCell ref="C2:G2"/>
    <mergeCell ref="H2:L2"/>
    <mergeCell ref="C23:G23"/>
    <mergeCell ref="C24:G24"/>
    <mergeCell ref="C30:G30"/>
    <mergeCell ref="I171:M171"/>
    <mergeCell ref="I172:M172"/>
    <mergeCell ref="I163:M163"/>
    <mergeCell ref="I164:M164"/>
    <mergeCell ref="I165:M165"/>
    <mergeCell ref="I166:M166"/>
    <mergeCell ref="I157:M157"/>
    <mergeCell ref="I158:M158"/>
    <mergeCell ref="I145:M145"/>
    <mergeCell ref="I146:M146"/>
    <mergeCell ref="I147:M147"/>
    <mergeCell ref="I148:M148"/>
    <mergeCell ref="I170:M170"/>
    <mergeCell ref="I168:M168"/>
    <mergeCell ref="I169:M169"/>
    <mergeCell ref="I178:M178"/>
    <mergeCell ref="I187:M187"/>
    <mergeCell ref="I188:M188"/>
    <mergeCell ref="I189:M189"/>
    <mergeCell ref="I190:M190"/>
    <mergeCell ref="I191:M191"/>
    <mergeCell ref="I192:M192"/>
    <mergeCell ref="I167:M167"/>
    <mergeCell ref="I183:M183"/>
    <mergeCell ref="I106:M106"/>
    <mergeCell ref="I108:M108"/>
    <mergeCell ref="I107:M107"/>
    <mergeCell ref="I113:M113"/>
    <mergeCell ref="I98:M98"/>
    <mergeCell ref="I99:M99"/>
    <mergeCell ref="I96:M96"/>
    <mergeCell ref="I97:M97"/>
    <mergeCell ref="I95:M95"/>
    <mergeCell ref="I101:M101"/>
    <mergeCell ref="I102:M102"/>
    <mergeCell ref="C101:G101"/>
    <mergeCell ref="C102:G102"/>
    <mergeCell ref="C103:G103"/>
    <mergeCell ref="I103:M103"/>
    <mergeCell ref="I104:M104"/>
    <mergeCell ref="C121:G121"/>
    <mergeCell ref="I120:M120"/>
    <mergeCell ref="C119:G119"/>
    <mergeCell ref="C117:G117"/>
    <mergeCell ref="C116:G116"/>
    <mergeCell ref="C120:G120"/>
    <mergeCell ref="C118:G118"/>
    <mergeCell ref="I179:M179"/>
    <mergeCell ref="I180:M180"/>
    <mergeCell ref="I109:M109"/>
    <mergeCell ref="I110:M110"/>
    <mergeCell ref="I105:M105"/>
    <mergeCell ref="C104:G104"/>
    <mergeCell ref="C105:G105"/>
    <mergeCell ref="C110:G110"/>
    <mergeCell ref="C109:G109"/>
    <mergeCell ref="C108:G108"/>
    <mergeCell ref="C107:G107"/>
    <mergeCell ref="C106:G106"/>
    <mergeCell ref="C111:G111"/>
    <mergeCell ref="C112:G112"/>
    <mergeCell ref="C113:G113"/>
    <mergeCell ref="C115:G115"/>
    <mergeCell ref="C114:G114"/>
    <mergeCell ref="C161:G161"/>
    <mergeCell ref="C156:G156"/>
    <mergeCell ref="C145:G145"/>
    <mergeCell ref="C144:G144"/>
    <mergeCell ref="C149:G149"/>
    <mergeCell ref="C150:G150"/>
    <mergeCell ref="C147:G147"/>
    <mergeCell ref="C148:G148"/>
    <mergeCell ref="C128:G128"/>
    <mergeCell ref="C129:G129"/>
    <mergeCell ref="C165:G165"/>
    <mergeCell ref="C166:G166"/>
    <mergeCell ref="C164:G164"/>
    <mergeCell ref="C151:G151"/>
    <mergeCell ref="C133:G133"/>
    <mergeCell ref="C162:G162"/>
    <mergeCell ref="C163:G163"/>
    <mergeCell ref="C158:G158"/>
    <mergeCell ref="C159:G159"/>
    <mergeCell ref="C134:G134"/>
    <mergeCell ref="C138:G138"/>
    <mergeCell ref="C157:G157"/>
    <mergeCell ref="C160:G160"/>
    <mergeCell ref="C154:G154"/>
    <mergeCell ref="C155:G155"/>
    <mergeCell ref="C153:G153"/>
    <mergeCell ref="C152:G152"/>
    <mergeCell ref="C174:G174"/>
    <mergeCell ref="C175:G175"/>
    <mergeCell ref="C127:G127"/>
    <mergeCell ref="C126:G126"/>
    <mergeCell ref="C122:G122"/>
    <mergeCell ref="C124:G124"/>
    <mergeCell ref="C123:G123"/>
    <mergeCell ref="C146:G146"/>
    <mergeCell ref="C130:G130"/>
    <mergeCell ref="C132:G132"/>
    <mergeCell ref="C131:G131"/>
    <mergeCell ref="C125:G125"/>
    <mergeCell ref="C193:G193"/>
    <mergeCell ref="C198:G198"/>
    <mergeCell ref="C199:G199"/>
    <mergeCell ref="C197:G197"/>
    <mergeCell ref="C200:G200"/>
    <mergeCell ref="C205:G205"/>
    <mergeCell ref="C204:G204"/>
    <mergeCell ref="I206:M206"/>
    <mergeCell ref="I207:M207"/>
    <mergeCell ref="I222:M222"/>
    <mergeCell ref="I209:M209"/>
    <mergeCell ref="I210:M210"/>
    <mergeCell ref="I208:M208"/>
    <mergeCell ref="C202:G202"/>
    <mergeCell ref="C203:G203"/>
    <mergeCell ref="I205:M205"/>
    <mergeCell ref="I212:M212"/>
    <mergeCell ref="I211:M211"/>
    <mergeCell ref="I213:M213"/>
    <mergeCell ref="I214:M214"/>
    <mergeCell ref="I199:M199"/>
    <mergeCell ref="I200:M200"/>
    <mergeCell ref="I195:M195"/>
    <mergeCell ref="I193:M193"/>
    <mergeCell ref="I194:M194"/>
    <mergeCell ref="I203:M203"/>
    <mergeCell ref="I204:M204"/>
    <mergeCell ref="I196:M196"/>
    <mergeCell ref="I197:M197"/>
    <mergeCell ref="I198:M198"/>
    <mergeCell ref="I202:M202"/>
    <mergeCell ref="I201:M201"/>
    <mergeCell ref="I184:M184"/>
    <mergeCell ref="I185:M185"/>
    <mergeCell ref="I174:M174"/>
    <mergeCell ref="I181:M181"/>
    <mergeCell ref="I182:M182"/>
    <mergeCell ref="I177:M177"/>
    <mergeCell ref="I176:M176"/>
    <mergeCell ref="I175:M175"/>
    <mergeCell ref="I186:M186"/>
    <mergeCell ref="I159:M159"/>
    <mergeCell ref="I150:M150"/>
    <mergeCell ref="I154:M154"/>
    <mergeCell ref="I155:M155"/>
    <mergeCell ref="I156:M156"/>
    <mergeCell ref="I153:M153"/>
    <mergeCell ref="I151:M151"/>
    <mergeCell ref="I152:M152"/>
    <mergeCell ref="I137:M137"/>
    <mergeCell ref="I138:M138"/>
    <mergeCell ref="I160:M160"/>
    <mergeCell ref="I173:M173"/>
    <mergeCell ref="I162:M162"/>
    <mergeCell ref="I161:M161"/>
    <mergeCell ref="I149:M14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352</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84:G84"/>
    <mergeCell ref="C85:G85"/>
    <mergeCell ref="C83:G83"/>
    <mergeCell ref="C82:G82"/>
    <mergeCell ref="C88:G88"/>
    <mergeCell ref="C87:G87"/>
    <mergeCell ref="C77:G77"/>
    <mergeCell ref="C78:G78"/>
    <mergeCell ref="C89:G89"/>
    <mergeCell ref="C79:G79"/>
    <mergeCell ref="C80:G80"/>
    <mergeCell ref="C76:G76"/>
    <mergeCell ref="C81:G81"/>
    <mergeCell ref="C86:G86"/>
    <mergeCell ref="C46:G46"/>
    <mergeCell ref="C47:G47"/>
    <mergeCell ref="C53:G53"/>
    <mergeCell ref="C52:G52"/>
    <mergeCell ref="C50:G50"/>
    <mergeCell ref="C51:G51"/>
    <mergeCell ref="C48:G48"/>
    <mergeCell ref="C49:G49"/>
    <mergeCell ref="C38:G38"/>
    <mergeCell ref="C32:G32"/>
    <mergeCell ref="C31:G31"/>
    <mergeCell ref="C35:G35"/>
    <mergeCell ref="C36:G36"/>
    <mergeCell ref="C34:G34"/>
    <mergeCell ref="C33:G33"/>
    <mergeCell ref="C37:G37"/>
    <mergeCell ref="C43:G43"/>
    <mergeCell ref="C42:G42"/>
    <mergeCell ref="C39:G39"/>
    <mergeCell ref="C40:G40"/>
    <mergeCell ref="C41:G41"/>
    <mergeCell ref="C44:G44"/>
    <mergeCell ref="C45:G45"/>
    <mergeCell ref="C91:G91"/>
    <mergeCell ref="C90:G90"/>
    <mergeCell ref="C93:G93"/>
    <mergeCell ref="C94:G94"/>
    <mergeCell ref="C95:G95"/>
    <mergeCell ref="C92:G92"/>
    <mergeCell ref="C68:G68"/>
    <mergeCell ref="C67:G67"/>
    <mergeCell ref="C66:G66"/>
    <mergeCell ref="C72:G72"/>
    <mergeCell ref="C71:G71"/>
    <mergeCell ref="C73:G73"/>
    <mergeCell ref="C74:G74"/>
    <mergeCell ref="C70:G70"/>
    <mergeCell ref="C69:G69"/>
    <mergeCell ref="C75:G75"/>
    <mergeCell ref="C63:G63"/>
    <mergeCell ref="C64:G64"/>
    <mergeCell ref="C65:G65"/>
    <mergeCell ref="I127:M127"/>
    <mergeCell ref="I128:M128"/>
    <mergeCell ref="I125:M125"/>
    <mergeCell ref="I124:M124"/>
    <mergeCell ref="I126:M126"/>
    <mergeCell ref="I122:M122"/>
    <mergeCell ref="I121:M121"/>
    <mergeCell ref="I123:M123"/>
    <mergeCell ref="I119:M119"/>
    <mergeCell ref="I120:M120"/>
    <mergeCell ref="I106:M106"/>
    <mergeCell ref="I108:M108"/>
    <mergeCell ref="I107:M107"/>
    <mergeCell ref="I109:M109"/>
    <mergeCell ref="I101:M101"/>
    <mergeCell ref="I102:M102"/>
    <mergeCell ref="I103:M103"/>
    <mergeCell ref="I104:M104"/>
    <mergeCell ref="I105:M105"/>
    <mergeCell ref="I94:M94"/>
    <mergeCell ref="I100:M100"/>
    <mergeCell ref="I98:M98"/>
    <mergeCell ref="I99:M99"/>
    <mergeCell ref="I96:M96"/>
    <mergeCell ref="I97:M97"/>
    <mergeCell ref="I95:M95"/>
    <mergeCell ref="I111:M111"/>
    <mergeCell ref="I110:M110"/>
    <mergeCell ref="I118:M118"/>
    <mergeCell ref="I112:M112"/>
    <mergeCell ref="I114:M114"/>
    <mergeCell ref="I115:M115"/>
    <mergeCell ref="I116:M116"/>
    <mergeCell ref="I117:M117"/>
    <mergeCell ref="I113:M113"/>
    <mergeCell ref="I178:M178"/>
    <mergeCell ref="I179:M179"/>
    <mergeCell ref="I180:M180"/>
    <mergeCell ref="I181:M181"/>
    <mergeCell ref="I184:M184"/>
    <mergeCell ref="I185:M185"/>
    <mergeCell ref="I187:M187"/>
    <mergeCell ref="I186:M186"/>
    <mergeCell ref="I188:M188"/>
    <mergeCell ref="I189:M189"/>
    <mergeCell ref="I190:M190"/>
    <mergeCell ref="I191:M191"/>
    <mergeCell ref="I192:M192"/>
    <mergeCell ref="I183:M183"/>
    <mergeCell ref="I182:M182"/>
    <mergeCell ref="I212:M212"/>
    <mergeCell ref="I213:M213"/>
    <mergeCell ref="I206:M206"/>
    <mergeCell ref="I207:M207"/>
    <mergeCell ref="I209:M209"/>
    <mergeCell ref="I210:M210"/>
    <mergeCell ref="I208:M208"/>
    <mergeCell ref="I205:M205"/>
    <mergeCell ref="I211:M211"/>
    <mergeCell ref="I195:M195"/>
    <mergeCell ref="I196:M196"/>
    <mergeCell ref="I197:M197"/>
    <mergeCell ref="I198:M198"/>
    <mergeCell ref="I202:M202"/>
    <mergeCell ref="I201:M201"/>
    <mergeCell ref="I214:M214"/>
    <mergeCell ref="I199:M199"/>
    <mergeCell ref="I200:M200"/>
    <mergeCell ref="I193:M193"/>
    <mergeCell ref="I194:M194"/>
    <mergeCell ref="I203:M203"/>
    <mergeCell ref="I204:M204"/>
    <mergeCell ref="I167:M167"/>
    <mergeCell ref="I159:M159"/>
    <mergeCell ref="I160:M160"/>
    <mergeCell ref="I162:M162"/>
    <mergeCell ref="I161:M161"/>
    <mergeCell ref="I137:M137"/>
    <mergeCell ref="I138:M138"/>
    <mergeCell ref="I134:M134"/>
    <mergeCell ref="I135:M135"/>
    <mergeCell ref="I136:M136"/>
    <mergeCell ref="I144:M144"/>
    <mergeCell ref="I143:M143"/>
    <mergeCell ref="I171:M171"/>
    <mergeCell ref="I172:M172"/>
    <mergeCell ref="I149:M149"/>
    <mergeCell ref="I163:M163"/>
    <mergeCell ref="I164:M164"/>
    <mergeCell ref="I165:M165"/>
    <mergeCell ref="I166:M166"/>
    <mergeCell ref="I157:M157"/>
    <mergeCell ref="I158:M158"/>
    <mergeCell ref="I145:M145"/>
    <mergeCell ref="I146:M146"/>
    <mergeCell ref="I147:M147"/>
    <mergeCell ref="I148:M148"/>
    <mergeCell ref="I170:M170"/>
    <mergeCell ref="I168:M168"/>
    <mergeCell ref="I169:M169"/>
    <mergeCell ref="I150:M150"/>
    <mergeCell ref="I154:M154"/>
    <mergeCell ref="I151:M151"/>
    <mergeCell ref="I152:M152"/>
    <mergeCell ref="I174:M174"/>
    <mergeCell ref="I177:M177"/>
    <mergeCell ref="I176:M176"/>
    <mergeCell ref="I175:M175"/>
    <mergeCell ref="I155:M155"/>
    <mergeCell ref="I156:M156"/>
    <mergeCell ref="I153:M153"/>
    <mergeCell ref="I173:M173"/>
    <mergeCell ref="I217:M217"/>
    <mergeCell ref="I221:M221"/>
    <mergeCell ref="I218:M218"/>
    <mergeCell ref="I219:M219"/>
    <mergeCell ref="I220:M220"/>
    <mergeCell ref="I227:M227"/>
    <mergeCell ref="I229:M229"/>
    <mergeCell ref="I228:M228"/>
    <mergeCell ref="I216:M216"/>
    <mergeCell ref="I223:M223"/>
    <mergeCell ref="I222:M222"/>
    <mergeCell ref="I224:M224"/>
    <mergeCell ref="I225:M225"/>
    <mergeCell ref="I231:M231"/>
    <mergeCell ref="I230:M230"/>
    <mergeCell ref="I89:M89"/>
    <mergeCell ref="I87:M87"/>
    <mergeCell ref="I88:M88"/>
    <mergeCell ref="I92:M92"/>
    <mergeCell ref="I93:M93"/>
    <mergeCell ref="I91:M91"/>
    <mergeCell ref="I90:M90"/>
    <mergeCell ref="I236:M236"/>
    <mergeCell ref="I237:M237"/>
    <mergeCell ref="I232:M232"/>
    <mergeCell ref="I215:M215"/>
    <mergeCell ref="I238:M238"/>
    <mergeCell ref="I235:M235"/>
    <mergeCell ref="I226:M226"/>
    <mergeCell ref="C214:G214"/>
    <mergeCell ref="C215:G215"/>
    <mergeCell ref="C208:G208"/>
    <mergeCell ref="C206:G206"/>
    <mergeCell ref="C207:G207"/>
    <mergeCell ref="C227:G227"/>
    <mergeCell ref="C228:G228"/>
    <mergeCell ref="C230:G230"/>
    <mergeCell ref="C231:G231"/>
    <mergeCell ref="C232:G232"/>
    <mergeCell ref="C229:G229"/>
    <mergeCell ref="C209:G209"/>
    <mergeCell ref="C210:G210"/>
    <mergeCell ref="C242:G242"/>
    <mergeCell ref="C239:G239"/>
    <mergeCell ref="C240:G240"/>
    <mergeCell ref="C241:G241"/>
    <mergeCell ref="C243:G243"/>
    <mergeCell ref="C244:G244"/>
    <mergeCell ref="C245:G245"/>
    <mergeCell ref="C248:G248"/>
    <mergeCell ref="C249:G249"/>
    <mergeCell ref="C246:G246"/>
    <mergeCell ref="C247:G247"/>
    <mergeCell ref="C194:G194"/>
    <mergeCell ref="C198:G198"/>
    <mergeCell ref="C197:G197"/>
    <mergeCell ref="C187:G187"/>
    <mergeCell ref="C189:G189"/>
    <mergeCell ref="C190:G190"/>
    <mergeCell ref="C188:G188"/>
    <mergeCell ref="C191:G191"/>
    <mergeCell ref="C192:G192"/>
    <mergeCell ref="C193:G193"/>
    <mergeCell ref="C184:G184"/>
    <mergeCell ref="C178:G178"/>
    <mergeCell ref="C179:G179"/>
    <mergeCell ref="C180:G180"/>
    <mergeCell ref="C181:G181"/>
    <mergeCell ref="C182:G182"/>
    <mergeCell ref="C183:G183"/>
    <mergeCell ref="C186:G186"/>
    <mergeCell ref="C185:G185"/>
    <mergeCell ref="C172:G172"/>
    <mergeCell ref="C173:G173"/>
    <mergeCell ref="C226:G226"/>
    <mergeCell ref="C225:G225"/>
    <mergeCell ref="C223:G223"/>
    <mergeCell ref="C174:G174"/>
    <mergeCell ref="C175:G175"/>
    <mergeCell ref="C176:G176"/>
    <mergeCell ref="C177:G177"/>
    <mergeCell ref="C171:G171"/>
    <mergeCell ref="C168:G168"/>
    <mergeCell ref="C169:G169"/>
    <mergeCell ref="C167:G167"/>
    <mergeCell ref="C170:G170"/>
    <mergeCell ref="C199:G199"/>
    <mergeCell ref="C200:G200"/>
    <mergeCell ref="C205:G205"/>
    <mergeCell ref="C204:G204"/>
    <mergeCell ref="C202:G202"/>
    <mergeCell ref="C203:G203"/>
    <mergeCell ref="C220:G220"/>
    <mergeCell ref="C221:G221"/>
    <mergeCell ref="C212:G212"/>
    <mergeCell ref="C213:G213"/>
    <mergeCell ref="C217:G217"/>
    <mergeCell ref="C216:G216"/>
    <mergeCell ref="C211:G211"/>
    <mergeCell ref="C133:G133"/>
    <mergeCell ref="C134:G134"/>
    <mergeCell ref="C127:G127"/>
    <mergeCell ref="C126:G126"/>
    <mergeCell ref="C122:G122"/>
    <mergeCell ref="C124:G124"/>
    <mergeCell ref="C123:G123"/>
    <mergeCell ref="C130:G130"/>
    <mergeCell ref="C132:G132"/>
    <mergeCell ref="C131:G131"/>
    <mergeCell ref="C135:G135"/>
    <mergeCell ref="C121:G121"/>
    <mergeCell ref="C119:G119"/>
    <mergeCell ref="C117:G117"/>
    <mergeCell ref="C116:G116"/>
    <mergeCell ref="C120:G120"/>
    <mergeCell ref="C118:G118"/>
    <mergeCell ref="C125:G125"/>
    <mergeCell ref="C110:G110"/>
    <mergeCell ref="C109:G109"/>
    <mergeCell ref="C108:G108"/>
    <mergeCell ref="C107:G107"/>
    <mergeCell ref="C106:G106"/>
    <mergeCell ref="C111:G111"/>
    <mergeCell ref="C112:G112"/>
    <mergeCell ref="C113:G113"/>
    <mergeCell ref="C115:G115"/>
    <mergeCell ref="C114:G114"/>
    <mergeCell ref="C145:G145"/>
    <mergeCell ref="C144:G144"/>
    <mergeCell ref="C149:G149"/>
    <mergeCell ref="C150:G150"/>
    <mergeCell ref="C147:G147"/>
    <mergeCell ref="C148:G148"/>
    <mergeCell ref="C151:G151"/>
    <mergeCell ref="C146:G146"/>
    <mergeCell ref="C137:G137"/>
    <mergeCell ref="C140:G140"/>
    <mergeCell ref="C139:G139"/>
    <mergeCell ref="C141:G141"/>
    <mergeCell ref="C142:G142"/>
    <mergeCell ref="C136:G136"/>
    <mergeCell ref="C143:G143"/>
    <mergeCell ref="C138:G138"/>
    <mergeCell ref="C128:G128"/>
    <mergeCell ref="C129:G129"/>
    <mergeCell ref="C158:G158"/>
    <mergeCell ref="C159:G159"/>
    <mergeCell ref="C154:G154"/>
    <mergeCell ref="C155:G155"/>
    <mergeCell ref="C153:G153"/>
    <mergeCell ref="C152:G152"/>
    <mergeCell ref="C196:G196"/>
    <mergeCell ref="C201:G201"/>
    <mergeCell ref="C234:G234"/>
    <mergeCell ref="C235:G235"/>
    <mergeCell ref="C237:G237"/>
    <mergeCell ref="C218:G218"/>
    <mergeCell ref="C222:G222"/>
    <mergeCell ref="C219:G219"/>
    <mergeCell ref="C195:G195"/>
    <mergeCell ref="C224:G224"/>
    <mergeCell ref="C233:G233"/>
    <mergeCell ref="C236:G236"/>
    <mergeCell ref="C238:G238"/>
    <mergeCell ref="I233:M233"/>
    <mergeCell ref="I234:M234"/>
    <mergeCell ref="I239:M239"/>
    <mergeCell ref="I240:M240"/>
    <mergeCell ref="I243:M243"/>
    <mergeCell ref="I242:M242"/>
    <mergeCell ref="I241:M241"/>
    <mergeCell ref="I247:M247"/>
    <mergeCell ref="I248:M248"/>
    <mergeCell ref="I249:M249"/>
    <mergeCell ref="I245:M245"/>
    <mergeCell ref="I246:M246"/>
    <mergeCell ref="I244:M244"/>
    <mergeCell ref="I72:M72"/>
    <mergeCell ref="I73:M73"/>
    <mergeCell ref="I84:M84"/>
    <mergeCell ref="I81:M81"/>
    <mergeCell ref="I82:M82"/>
    <mergeCell ref="I83:M83"/>
    <mergeCell ref="I80:M80"/>
    <mergeCell ref="I77:M77"/>
    <mergeCell ref="I78:M78"/>
    <mergeCell ref="I79:M79"/>
    <mergeCell ref="I76:M76"/>
    <mergeCell ref="I75:M75"/>
    <mergeCell ref="I67:M67"/>
    <mergeCell ref="I68:M68"/>
    <mergeCell ref="I65:M65"/>
    <mergeCell ref="I66:M66"/>
    <mergeCell ref="I63:M63"/>
    <mergeCell ref="I69:M69"/>
    <mergeCell ref="I70:M70"/>
    <mergeCell ref="I71:M71"/>
    <mergeCell ref="I85:M85"/>
    <mergeCell ref="I86:M86"/>
    <mergeCell ref="I74:M74"/>
    <mergeCell ref="I64:M64"/>
    <mergeCell ref="C57:G57"/>
    <mergeCell ref="C58:G58"/>
    <mergeCell ref="C54:G54"/>
    <mergeCell ref="C56:G56"/>
    <mergeCell ref="C55:G55"/>
    <mergeCell ref="C61:G61"/>
    <mergeCell ref="C62:G62"/>
    <mergeCell ref="C60:G60"/>
    <mergeCell ref="C59:G59"/>
    <mergeCell ref="C23:G23"/>
    <mergeCell ref="C24:G24"/>
    <mergeCell ref="C29:G29"/>
    <mergeCell ref="C25:G25"/>
    <mergeCell ref="C26:G26"/>
    <mergeCell ref="C27:G27"/>
    <mergeCell ref="C28:G28"/>
    <mergeCell ref="C1:J1"/>
    <mergeCell ref="C2:G2"/>
    <mergeCell ref="C30:G30"/>
    <mergeCell ref="C103:G103"/>
    <mergeCell ref="C104:G104"/>
    <mergeCell ref="C105:G105"/>
    <mergeCell ref="C96:G96"/>
    <mergeCell ref="C99:G99"/>
    <mergeCell ref="C100:G100"/>
    <mergeCell ref="C97:G97"/>
    <mergeCell ref="C98:G98"/>
    <mergeCell ref="C101:G101"/>
    <mergeCell ref="C102:G102"/>
    <mergeCell ref="I132:M132"/>
    <mergeCell ref="I133:M133"/>
    <mergeCell ref="I129:M129"/>
    <mergeCell ref="I131:M131"/>
    <mergeCell ref="I130:M130"/>
    <mergeCell ref="I139:M139"/>
    <mergeCell ref="I140:M140"/>
    <mergeCell ref="I141:M141"/>
    <mergeCell ref="I142:M142"/>
    <mergeCell ref="I28:M28"/>
    <mergeCell ref="I29:M29"/>
    <mergeCell ref="I32:M32"/>
    <mergeCell ref="I24:M24"/>
    <mergeCell ref="I25:M25"/>
    <mergeCell ref="I26:M26"/>
    <mergeCell ref="I27:M27"/>
    <mergeCell ref="I31:M31"/>
    <mergeCell ref="I30:M30"/>
    <mergeCell ref="I61:M61"/>
    <mergeCell ref="I62:M62"/>
    <mergeCell ref="I56:M56"/>
    <mergeCell ref="I57:M57"/>
    <mergeCell ref="I58:M58"/>
    <mergeCell ref="I59:M59"/>
    <mergeCell ref="I60:M60"/>
    <mergeCell ref="I48:M48"/>
    <mergeCell ref="I49:M49"/>
    <mergeCell ref="I46:M46"/>
    <mergeCell ref="I47:M47"/>
    <mergeCell ref="I39:M39"/>
    <mergeCell ref="I38:M38"/>
    <mergeCell ref="I34:M34"/>
    <mergeCell ref="I35:M35"/>
    <mergeCell ref="I33:M33"/>
    <mergeCell ref="I37:M37"/>
    <mergeCell ref="I36:M36"/>
    <mergeCell ref="I43:M43"/>
    <mergeCell ref="I42:M42"/>
    <mergeCell ref="I41:M41"/>
    <mergeCell ref="I40:M40"/>
    <mergeCell ref="I55:M55"/>
    <mergeCell ref="I45:M45"/>
    <mergeCell ref="I44:M44"/>
    <mergeCell ref="I51:M51"/>
    <mergeCell ref="I52:M52"/>
    <mergeCell ref="I50:M50"/>
    <mergeCell ref="I54:M54"/>
    <mergeCell ref="I53:M53"/>
    <mergeCell ref="I23:M23"/>
    <mergeCell ref="H2:L2"/>
    <mergeCell ref="C161:G161"/>
    <mergeCell ref="C160:G160"/>
    <mergeCell ref="C156:G156"/>
    <mergeCell ref="C165:G165"/>
    <mergeCell ref="C166:G166"/>
    <mergeCell ref="C164:G164"/>
    <mergeCell ref="C162:G162"/>
    <mergeCell ref="C163:G163"/>
    <mergeCell ref="C157:G157"/>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353</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46:M146"/>
    <mergeCell ref="I147:M147"/>
    <mergeCell ref="I138:M138"/>
    <mergeCell ref="I139:M139"/>
    <mergeCell ref="I140:M140"/>
    <mergeCell ref="I141:M141"/>
    <mergeCell ref="I137:M137"/>
    <mergeCell ref="I134:M134"/>
    <mergeCell ref="I135:M135"/>
    <mergeCell ref="I136:M136"/>
    <mergeCell ref="I143:M143"/>
    <mergeCell ref="I149:M149"/>
    <mergeCell ref="I148:M148"/>
    <mergeCell ref="I142:M142"/>
    <mergeCell ref="I109:M109"/>
    <mergeCell ref="I101:M101"/>
    <mergeCell ref="I102:M102"/>
    <mergeCell ref="I103:M103"/>
    <mergeCell ref="I104:M104"/>
    <mergeCell ref="I105:M105"/>
    <mergeCell ref="I183:M183"/>
    <mergeCell ref="I182:M182"/>
    <mergeCell ref="I192:M192"/>
    <mergeCell ref="I195:M195"/>
    <mergeCell ref="I196:M196"/>
    <mergeCell ref="I197:M197"/>
    <mergeCell ref="I163:M163"/>
    <mergeCell ref="I164:M164"/>
    <mergeCell ref="I157:M157"/>
    <mergeCell ref="I158:M158"/>
    <mergeCell ref="I154:M154"/>
    <mergeCell ref="I155:M155"/>
    <mergeCell ref="I156:M156"/>
    <mergeCell ref="I178:M178"/>
    <mergeCell ref="I177:M177"/>
    <mergeCell ref="I173:M173"/>
    <mergeCell ref="I132:M132"/>
    <mergeCell ref="I129:M129"/>
    <mergeCell ref="I131:M131"/>
    <mergeCell ref="I130:M130"/>
    <mergeCell ref="I144:M144"/>
    <mergeCell ref="I145:M145"/>
    <mergeCell ref="I150:M150"/>
    <mergeCell ref="I151:M151"/>
    <mergeCell ref="I152:M152"/>
    <mergeCell ref="I153:M153"/>
    <mergeCell ref="I133:M133"/>
    <mergeCell ref="I176:M176"/>
    <mergeCell ref="I175:M175"/>
    <mergeCell ref="I179:M179"/>
    <mergeCell ref="I180:M180"/>
    <mergeCell ref="I181:M181"/>
    <mergeCell ref="I184:M184"/>
    <mergeCell ref="I185:M185"/>
    <mergeCell ref="I186:M186"/>
    <mergeCell ref="I174:M174"/>
    <mergeCell ref="I212:M212"/>
    <mergeCell ref="I206:M206"/>
    <mergeCell ref="I207:M207"/>
    <mergeCell ref="I209:M209"/>
    <mergeCell ref="I210:M210"/>
    <mergeCell ref="I208:M208"/>
    <mergeCell ref="I211:M211"/>
    <mergeCell ref="I205:M205"/>
    <mergeCell ref="I202:M202"/>
    <mergeCell ref="I203:M203"/>
    <mergeCell ref="I204:M204"/>
    <mergeCell ref="I199:M199"/>
    <mergeCell ref="I200:M200"/>
    <mergeCell ref="I193:M193"/>
    <mergeCell ref="I194:M194"/>
    <mergeCell ref="I187:M187"/>
    <mergeCell ref="I188:M188"/>
    <mergeCell ref="I189:M189"/>
    <mergeCell ref="I190:M190"/>
    <mergeCell ref="I191:M191"/>
    <mergeCell ref="I198:M198"/>
    <mergeCell ref="I201:M201"/>
    <mergeCell ref="I221:M221"/>
    <mergeCell ref="I223:M223"/>
    <mergeCell ref="I222:M222"/>
    <mergeCell ref="I224:M224"/>
    <mergeCell ref="I225:M225"/>
    <mergeCell ref="I213:M213"/>
    <mergeCell ref="I214:M214"/>
    <mergeCell ref="I217:M217"/>
    <mergeCell ref="I218:M218"/>
    <mergeCell ref="I219:M219"/>
    <mergeCell ref="I220:M220"/>
    <mergeCell ref="I216:M216"/>
    <mergeCell ref="I215:M215"/>
    <mergeCell ref="C202:G202"/>
    <mergeCell ref="C203:G203"/>
    <mergeCell ref="C198:G198"/>
    <mergeCell ref="C201:G201"/>
    <mergeCell ref="C209:G209"/>
    <mergeCell ref="C210:G210"/>
    <mergeCell ref="C194:G194"/>
    <mergeCell ref="C197:G197"/>
    <mergeCell ref="C190:G190"/>
    <mergeCell ref="C193:G193"/>
    <mergeCell ref="C196:G196"/>
    <mergeCell ref="C195:G195"/>
    <mergeCell ref="C191:G191"/>
    <mergeCell ref="C192:G192"/>
    <mergeCell ref="C187:G187"/>
    <mergeCell ref="C186:G186"/>
    <mergeCell ref="C184:G184"/>
    <mergeCell ref="C179:G179"/>
    <mergeCell ref="C180:G180"/>
    <mergeCell ref="C181:G181"/>
    <mergeCell ref="C182:G182"/>
    <mergeCell ref="C183:G183"/>
    <mergeCell ref="C185:G185"/>
    <mergeCell ref="C171:G171"/>
    <mergeCell ref="C168:G168"/>
    <mergeCell ref="C169:G169"/>
    <mergeCell ref="C167:G167"/>
    <mergeCell ref="C170:G170"/>
    <mergeCell ref="C178:G178"/>
    <mergeCell ref="C172:G172"/>
    <mergeCell ref="C173:G173"/>
    <mergeCell ref="C174:G174"/>
    <mergeCell ref="C175:G175"/>
    <mergeCell ref="C176:G176"/>
    <mergeCell ref="C177:G177"/>
    <mergeCell ref="C199:G199"/>
    <mergeCell ref="C200:G200"/>
    <mergeCell ref="C205:G205"/>
    <mergeCell ref="C204:G204"/>
    <mergeCell ref="I78:M78"/>
    <mergeCell ref="I79:M79"/>
    <mergeCell ref="C75:G75"/>
    <mergeCell ref="I84:M84"/>
    <mergeCell ref="I81:M81"/>
    <mergeCell ref="I82:M82"/>
    <mergeCell ref="I83:M83"/>
    <mergeCell ref="I80:M80"/>
    <mergeCell ref="I77:M77"/>
    <mergeCell ref="I76:M76"/>
    <mergeCell ref="I75:M75"/>
    <mergeCell ref="I85:M85"/>
    <mergeCell ref="I86:M86"/>
    <mergeCell ref="C116:G116"/>
    <mergeCell ref="C102:G102"/>
    <mergeCell ref="C74:G74"/>
    <mergeCell ref="I127:M127"/>
    <mergeCell ref="I128:M128"/>
    <mergeCell ref="I126:M126"/>
    <mergeCell ref="C118:G118"/>
    <mergeCell ref="C128:G128"/>
    <mergeCell ref="I74:M74"/>
    <mergeCell ref="I118:M118"/>
    <mergeCell ref="I112:M112"/>
    <mergeCell ref="I114:M114"/>
    <mergeCell ref="I115:M115"/>
    <mergeCell ref="I116:M116"/>
    <mergeCell ref="I117:M117"/>
    <mergeCell ref="I113:M113"/>
    <mergeCell ref="I125:M125"/>
    <mergeCell ref="C125:G125"/>
    <mergeCell ref="C110:G110"/>
    <mergeCell ref="C109:G109"/>
    <mergeCell ref="C108:G108"/>
    <mergeCell ref="C107:G107"/>
    <mergeCell ref="C106:G106"/>
    <mergeCell ref="C111:G111"/>
    <mergeCell ref="C112:G112"/>
    <mergeCell ref="C113:G113"/>
    <mergeCell ref="C115:G115"/>
    <mergeCell ref="C114:G114"/>
    <mergeCell ref="C100:G100"/>
    <mergeCell ref="C101:G101"/>
    <mergeCell ref="C119:G119"/>
    <mergeCell ref="C117:G117"/>
    <mergeCell ref="C103:G103"/>
    <mergeCell ref="C104:G104"/>
    <mergeCell ref="C105:G105"/>
    <mergeCell ref="C99:G99"/>
    <mergeCell ref="C98:G98"/>
    <mergeCell ref="I91:M91"/>
    <mergeCell ref="I90:M90"/>
    <mergeCell ref="C133:G133"/>
    <mergeCell ref="C134:G134"/>
    <mergeCell ref="C132:G132"/>
    <mergeCell ref="C135:G135"/>
    <mergeCell ref="C127:G127"/>
    <mergeCell ref="C126:G126"/>
    <mergeCell ref="C130:G130"/>
    <mergeCell ref="C131:G131"/>
    <mergeCell ref="C129:G129"/>
    <mergeCell ref="I124:M124"/>
    <mergeCell ref="C124:G124"/>
    <mergeCell ref="C122:G122"/>
    <mergeCell ref="C121:G121"/>
    <mergeCell ref="C123:G123"/>
    <mergeCell ref="C120:G120"/>
    <mergeCell ref="C96:G96"/>
    <mergeCell ref="C97:G97"/>
    <mergeCell ref="C223:G223"/>
    <mergeCell ref="C220:G220"/>
    <mergeCell ref="C221:G221"/>
    <mergeCell ref="C222:G222"/>
    <mergeCell ref="C212:G212"/>
    <mergeCell ref="C213:G213"/>
    <mergeCell ref="C217:G217"/>
    <mergeCell ref="C216:G216"/>
    <mergeCell ref="C215:G215"/>
    <mergeCell ref="C218:G218"/>
    <mergeCell ref="C219:G219"/>
    <mergeCell ref="C224:G224"/>
    <mergeCell ref="I227:M227"/>
    <mergeCell ref="I226:M226"/>
    <mergeCell ref="C214:G214"/>
    <mergeCell ref="C208:G208"/>
    <mergeCell ref="C206:G206"/>
    <mergeCell ref="C207:G207"/>
    <mergeCell ref="C211:G211"/>
    <mergeCell ref="C239:G239"/>
    <mergeCell ref="C240:G240"/>
    <mergeCell ref="C242:G242"/>
    <mergeCell ref="C243:G243"/>
    <mergeCell ref="C244:G244"/>
    <mergeCell ref="C245:G245"/>
    <mergeCell ref="C248:G248"/>
    <mergeCell ref="C249:G249"/>
    <mergeCell ref="C246:G246"/>
    <mergeCell ref="C247:G247"/>
    <mergeCell ref="C189:G189"/>
    <mergeCell ref="C188:G188"/>
    <mergeCell ref="C226:G226"/>
    <mergeCell ref="C225:G225"/>
    <mergeCell ref="C234:G234"/>
    <mergeCell ref="C235:G235"/>
    <mergeCell ref="I233:M233"/>
    <mergeCell ref="I234:M234"/>
    <mergeCell ref="I247:M247"/>
    <mergeCell ref="I248:M248"/>
    <mergeCell ref="I249:M249"/>
    <mergeCell ref="I245:M245"/>
    <mergeCell ref="I246:M246"/>
    <mergeCell ref="I244:M244"/>
    <mergeCell ref="C48:G48"/>
    <mergeCell ref="C49:G49"/>
    <mergeCell ref="C46:G46"/>
    <mergeCell ref="C47:G47"/>
    <mergeCell ref="C53:G53"/>
    <mergeCell ref="C52:G52"/>
    <mergeCell ref="C50:G50"/>
    <mergeCell ref="C51:G51"/>
    <mergeCell ref="C45:G45"/>
    <mergeCell ref="C88:G88"/>
    <mergeCell ref="C89:G89"/>
    <mergeCell ref="C91:G91"/>
    <mergeCell ref="C90:G90"/>
    <mergeCell ref="C93:G93"/>
    <mergeCell ref="C94:G94"/>
    <mergeCell ref="C95:G95"/>
    <mergeCell ref="C92:G92"/>
    <mergeCell ref="C79:G79"/>
    <mergeCell ref="C80:G80"/>
    <mergeCell ref="C82:G82"/>
    <mergeCell ref="C81:G81"/>
    <mergeCell ref="C84:G84"/>
    <mergeCell ref="C85:G85"/>
    <mergeCell ref="C83:G83"/>
    <mergeCell ref="C87:G87"/>
    <mergeCell ref="C77:G77"/>
    <mergeCell ref="C78:G78"/>
    <mergeCell ref="C86:G86"/>
    <mergeCell ref="C43:G43"/>
    <mergeCell ref="C42:G42"/>
    <mergeCell ref="C41:G41"/>
    <mergeCell ref="C44:G44"/>
    <mergeCell ref="C63:G63"/>
    <mergeCell ref="C64:G64"/>
    <mergeCell ref="C65:G65"/>
    <mergeCell ref="C61:G61"/>
    <mergeCell ref="C62:G62"/>
    <mergeCell ref="C60:G60"/>
    <mergeCell ref="C57:G57"/>
    <mergeCell ref="C58:G58"/>
    <mergeCell ref="C54:G54"/>
    <mergeCell ref="C56:G56"/>
    <mergeCell ref="C55:G55"/>
    <mergeCell ref="C59:G59"/>
    <mergeCell ref="I58:M58"/>
    <mergeCell ref="I59:M59"/>
    <mergeCell ref="I65:M65"/>
    <mergeCell ref="I63:M63"/>
    <mergeCell ref="I64:M64"/>
    <mergeCell ref="I61:M61"/>
    <mergeCell ref="I62:M62"/>
    <mergeCell ref="I57:M57"/>
    <mergeCell ref="I60:M60"/>
    <mergeCell ref="I122:M122"/>
    <mergeCell ref="I121:M121"/>
    <mergeCell ref="I123:M123"/>
    <mergeCell ref="I119:M119"/>
    <mergeCell ref="I120:M120"/>
    <mergeCell ref="I106:M106"/>
    <mergeCell ref="I108:M108"/>
    <mergeCell ref="I107:M107"/>
    <mergeCell ref="I111:M111"/>
    <mergeCell ref="I110:M110"/>
    <mergeCell ref="I89:M89"/>
    <mergeCell ref="I87:M87"/>
    <mergeCell ref="I88:M88"/>
    <mergeCell ref="I69:M69"/>
    <mergeCell ref="I70:M70"/>
    <mergeCell ref="I56:M56"/>
    <mergeCell ref="I55:M55"/>
    <mergeCell ref="C38:G38"/>
    <mergeCell ref="C39:G39"/>
    <mergeCell ref="C40:G40"/>
    <mergeCell ref="I39:M39"/>
    <mergeCell ref="I38:M38"/>
    <mergeCell ref="I40:M40"/>
    <mergeCell ref="C23:G23"/>
    <mergeCell ref="C24:G24"/>
    <mergeCell ref="C25:G25"/>
    <mergeCell ref="C26:G26"/>
    <mergeCell ref="C27:G27"/>
    <mergeCell ref="C1:J1"/>
    <mergeCell ref="C2:G2"/>
    <mergeCell ref="H2:L2"/>
    <mergeCell ref="C32:G32"/>
    <mergeCell ref="C31:G31"/>
    <mergeCell ref="C35:G35"/>
    <mergeCell ref="C36:G36"/>
    <mergeCell ref="C34:G34"/>
    <mergeCell ref="C33:G33"/>
    <mergeCell ref="C37:G37"/>
    <mergeCell ref="C30:G30"/>
    <mergeCell ref="I26:M26"/>
    <mergeCell ref="I27:M27"/>
    <mergeCell ref="I31:M31"/>
    <mergeCell ref="I30:M30"/>
    <mergeCell ref="I34:M34"/>
    <mergeCell ref="I35:M35"/>
    <mergeCell ref="I33:M33"/>
    <mergeCell ref="I37:M37"/>
    <mergeCell ref="I36:M36"/>
    <mergeCell ref="C29:G29"/>
    <mergeCell ref="C28:G28"/>
    <mergeCell ref="I28:M28"/>
    <mergeCell ref="I29:M29"/>
    <mergeCell ref="I32:M32"/>
    <mergeCell ref="I24:M24"/>
    <mergeCell ref="I25:M25"/>
    <mergeCell ref="I23:M23"/>
    <mergeCell ref="I92:M92"/>
    <mergeCell ref="I93:M93"/>
    <mergeCell ref="I94:M94"/>
    <mergeCell ref="I100:M100"/>
    <mergeCell ref="I98:M98"/>
    <mergeCell ref="I99:M99"/>
    <mergeCell ref="I96:M96"/>
    <mergeCell ref="I97:M97"/>
    <mergeCell ref="I95:M95"/>
    <mergeCell ref="C232:G232"/>
    <mergeCell ref="C233:G233"/>
    <mergeCell ref="C237:G237"/>
    <mergeCell ref="C238:G238"/>
    <mergeCell ref="C227:G227"/>
    <mergeCell ref="C228:G228"/>
    <mergeCell ref="C230:G230"/>
    <mergeCell ref="C231:G231"/>
    <mergeCell ref="C229:G229"/>
    <mergeCell ref="C241:G241"/>
    <mergeCell ref="C236:G236"/>
    <mergeCell ref="I229:M229"/>
    <mergeCell ref="I228:M228"/>
    <mergeCell ref="I231:M231"/>
    <mergeCell ref="I230:M230"/>
    <mergeCell ref="I236:M236"/>
    <mergeCell ref="I232:M232"/>
    <mergeCell ref="I235:M235"/>
    <mergeCell ref="I237:M237"/>
    <mergeCell ref="I238:M238"/>
    <mergeCell ref="I239:M239"/>
    <mergeCell ref="I240:M240"/>
    <mergeCell ref="I243:M243"/>
    <mergeCell ref="I242:M242"/>
    <mergeCell ref="I241:M241"/>
    <mergeCell ref="C76:G76"/>
    <mergeCell ref="C68:G68"/>
    <mergeCell ref="C67:G67"/>
    <mergeCell ref="C66:G66"/>
    <mergeCell ref="C72:G72"/>
    <mergeCell ref="C73:G73"/>
    <mergeCell ref="C69:G69"/>
    <mergeCell ref="C71:G71"/>
    <mergeCell ref="C70:G70"/>
    <mergeCell ref="I72:M72"/>
    <mergeCell ref="I73:M73"/>
    <mergeCell ref="I67:M67"/>
    <mergeCell ref="I68:M68"/>
    <mergeCell ref="I66:M66"/>
    <mergeCell ref="I71:M71"/>
    <mergeCell ref="I45:M45"/>
    <mergeCell ref="I44:M44"/>
    <mergeCell ref="I51:M51"/>
    <mergeCell ref="I52:M52"/>
    <mergeCell ref="I54:M54"/>
    <mergeCell ref="I53:M53"/>
    <mergeCell ref="I48:M48"/>
    <mergeCell ref="I49:M49"/>
    <mergeCell ref="I46:M46"/>
    <mergeCell ref="I47:M47"/>
    <mergeCell ref="I43:M43"/>
    <mergeCell ref="I42:M42"/>
    <mergeCell ref="I41:M41"/>
    <mergeCell ref="I50:M50"/>
    <mergeCell ref="C149:G149"/>
    <mergeCell ref="C158:G158"/>
    <mergeCell ref="C154:G154"/>
    <mergeCell ref="C155:G155"/>
    <mergeCell ref="C153:G153"/>
    <mergeCell ref="C152:G152"/>
    <mergeCell ref="C156:G156"/>
    <mergeCell ref="C157:G157"/>
    <mergeCell ref="I165:M165"/>
    <mergeCell ref="I166:M166"/>
    <mergeCell ref="C145:G145"/>
    <mergeCell ref="C144:G144"/>
    <mergeCell ref="C147:G147"/>
    <mergeCell ref="C148:G148"/>
    <mergeCell ref="C146:G146"/>
    <mergeCell ref="C163:G163"/>
    <mergeCell ref="I167:M167"/>
    <mergeCell ref="I168:M168"/>
    <mergeCell ref="I159:M159"/>
    <mergeCell ref="I160:M160"/>
    <mergeCell ref="I162:M162"/>
    <mergeCell ref="I161:M161"/>
    <mergeCell ref="I171:M171"/>
    <mergeCell ref="I172:M172"/>
    <mergeCell ref="I170:M170"/>
    <mergeCell ref="I169:M169"/>
    <mergeCell ref="C142:G142"/>
    <mergeCell ref="C143:G143"/>
    <mergeCell ref="C150:G150"/>
    <mergeCell ref="C151:G151"/>
    <mergeCell ref="C137:G137"/>
    <mergeCell ref="C140:G140"/>
    <mergeCell ref="C139:G139"/>
    <mergeCell ref="C141:G141"/>
    <mergeCell ref="C136:G136"/>
    <mergeCell ref="C138:G138"/>
    <mergeCell ref="C159:G159"/>
    <mergeCell ref="C161:G161"/>
    <mergeCell ref="C160:G160"/>
    <mergeCell ref="C165:G165"/>
    <mergeCell ref="C166:G166"/>
    <mergeCell ref="C164:G164"/>
    <mergeCell ref="C162:G162"/>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354</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46:M146"/>
    <mergeCell ref="I147:M147"/>
    <mergeCell ref="I138:M138"/>
    <mergeCell ref="I139:M139"/>
    <mergeCell ref="I140:M140"/>
    <mergeCell ref="I141:M141"/>
    <mergeCell ref="I137:M137"/>
    <mergeCell ref="I134:M134"/>
    <mergeCell ref="I135:M135"/>
    <mergeCell ref="I136:M136"/>
    <mergeCell ref="I143:M143"/>
    <mergeCell ref="I149:M149"/>
    <mergeCell ref="I148:M148"/>
    <mergeCell ref="I142:M142"/>
    <mergeCell ref="I109:M109"/>
    <mergeCell ref="I101:M101"/>
    <mergeCell ref="I102:M102"/>
    <mergeCell ref="I103:M103"/>
    <mergeCell ref="I104:M104"/>
    <mergeCell ref="I105:M105"/>
    <mergeCell ref="I183:M183"/>
    <mergeCell ref="I182:M182"/>
    <mergeCell ref="I192:M192"/>
    <mergeCell ref="I195:M195"/>
    <mergeCell ref="I196:M196"/>
    <mergeCell ref="I197:M197"/>
    <mergeCell ref="I163:M163"/>
    <mergeCell ref="I164:M164"/>
    <mergeCell ref="I157:M157"/>
    <mergeCell ref="I158:M158"/>
    <mergeCell ref="I154:M154"/>
    <mergeCell ref="I155:M155"/>
    <mergeCell ref="I156:M156"/>
    <mergeCell ref="I178:M178"/>
    <mergeCell ref="I177:M177"/>
    <mergeCell ref="I173:M173"/>
    <mergeCell ref="I132:M132"/>
    <mergeCell ref="I129:M129"/>
    <mergeCell ref="I131:M131"/>
    <mergeCell ref="I130:M130"/>
    <mergeCell ref="I144:M144"/>
    <mergeCell ref="I145:M145"/>
    <mergeCell ref="I150:M150"/>
    <mergeCell ref="I151:M151"/>
    <mergeCell ref="I152:M152"/>
    <mergeCell ref="I153:M153"/>
    <mergeCell ref="I133:M133"/>
    <mergeCell ref="I176:M176"/>
    <mergeCell ref="I175:M175"/>
    <mergeCell ref="I179:M179"/>
    <mergeCell ref="I180:M180"/>
    <mergeCell ref="I181:M181"/>
    <mergeCell ref="I184:M184"/>
    <mergeCell ref="I185:M185"/>
    <mergeCell ref="I186:M186"/>
    <mergeCell ref="I174:M174"/>
    <mergeCell ref="I212:M212"/>
    <mergeCell ref="I206:M206"/>
    <mergeCell ref="I207:M207"/>
    <mergeCell ref="I209:M209"/>
    <mergeCell ref="I210:M210"/>
    <mergeCell ref="I208:M208"/>
    <mergeCell ref="I211:M211"/>
    <mergeCell ref="I205:M205"/>
    <mergeCell ref="I202:M202"/>
    <mergeCell ref="I203:M203"/>
    <mergeCell ref="I204:M204"/>
    <mergeCell ref="I199:M199"/>
    <mergeCell ref="I200:M200"/>
    <mergeCell ref="I193:M193"/>
    <mergeCell ref="I194:M194"/>
    <mergeCell ref="I187:M187"/>
    <mergeCell ref="I188:M188"/>
    <mergeCell ref="I189:M189"/>
    <mergeCell ref="I190:M190"/>
    <mergeCell ref="I191:M191"/>
    <mergeCell ref="I198:M198"/>
    <mergeCell ref="I201:M201"/>
    <mergeCell ref="I221:M221"/>
    <mergeCell ref="I223:M223"/>
    <mergeCell ref="I222:M222"/>
    <mergeCell ref="I224:M224"/>
    <mergeCell ref="I225:M225"/>
    <mergeCell ref="I213:M213"/>
    <mergeCell ref="I214:M214"/>
    <mergeCell ref="I217:M217"/>
    <mergeCell ref="I218:M218"/>
    <mergeCell ref="I219:M219"/>
    <mergeCell ref="I220:M220"/>
    <mergeCell ref="I216:M216"/>
    <mergeCell ref="I215:M215"/>
    <mergeCell ref="C202:G202"/>
    <mergeCell ref="C203:G203"/>
    <mergeCell ref="C198:G198"/>
    <mergeCell ref="C201:G201"/>
    <mergeCell ref="C209:G209"/>
    <mergeCell ref="C210:G210"/>
    <mergeCell ref="C194:G194"/>
    <mergeCell ref="C197:G197"/>
    <mergeCell ref="C190:G190"/>
    <mergeCell ref="C193:G193"/>
    <mergeCell ref="C196:G196"/>
    <mergeCell ref="C195:G195"/>
    <mergeCell ref="C191:G191"/>
    <mergeCell ref="C192:G192"/>
    <mergeCell ref="C187:G187"/>
    <mergeCell ref="C186:G186"/>
    <mergeCell ref="C184:G184"/>
    <mergeCell ref="C179:G179"/>
    <mergeCell ref="C180:G180"/>
    <mergeCell ref="C181:G181"/>
    <mergeCell ref="C182:G182"/>
    <mergeCell ref="C183:G183"/>
    <mergeCell ref="C185:G185"/>
    <mergeCell ref="C171:G171"/>
    <mergeCell ref="C168:G168"/>
    <mergeCell ref="C169:G169"/>
    <mergeCell ref="C167:G167"/>
    <mergeCell ref="C170:G170"/>
    <mergeCell ref="C178:G178"/>
    <mergeCell ref="C172:G172"/>
    <mergeCell ref="C173:G173"/>
    <mergeCell ref="C174:G174"/>
    <mergeCell ref="C175:G175"/>
    <mergeCell ref="C176:G176"/>
    <mergeCell ref="C177:G177"/>
    <mergeCell ref="C199:G199"/>
    <mergeCell ref="C200:G200"/>
    <mergeCell ref="C205:G205"/>
    <mergeCell ref="C204:G204"/>
    <mergeCell ref="I78:M78"/>
    <mergeCell ref="I79:M79"/>
    <mergeCell ref="C75:G75"/>
    <mergeCell ref="I84:M84"/>
    <mergeCell ref="I81:M81"/>
    <mergeCell ref="I82:M82"/>
    <mergeCell ref="I83:M83"/>
    <mergeCell ref="I80:M80"/>
    <mergeCell ref="I77:M77"/>
    <mergeCell ref="I76:M76"/>
    <mergeCell ref="I75:M75"/>
    <mergeCell ref="I85:M85"/>
    <mergeCell ref="I86:M86"/>
    <mergeCell ref="C116:G116"/>
    <mergeCell ref="C102:G102"/>
    <mergeCell ref="C74:G74"/>
    <mergeCell ref="I127:M127"/>
    <mergeCell ref="I128:M128"/>
    <mergeCell ref="I126:M126"/>
    <mergeCell ref="C118:G118"/>
    <mergeCell ref="C128:G128"/>
    <mergeCell ref="I74:M74"/>
    <mergeCell ref="I118:M118"/>
    <mergeCell ref="I112:M112"/>
    <mergeCell ref="I114:M114"/>
    <mergeCell ref="I115:M115"/>
    <mergeCell ref="I116:M116"/>
    <mergeCell ref="I117:M117"/>
    <mergeCell ref="I113:M113"/>
    <mergeCell ref="I125:M125"/>
    <mergeCell ref="C125:G125"/>
    <mergeCell ref="C110:G110"/>
    <mergeCell ref="C109:G109"/>
    <mergeCell ref="C108:G108"/>
    <mergeCell ref="C107:G107"/>
    <mergeCell ref="C106:G106"/>
    <mergeCell ref="C111:G111"/>
    <mergeCell ref="C112:G112"/>
    <mergeCell ref="C113:G113"/>
    <mergeCell ref="C115:G115"/>
    <mergeCell ref="C114:G114"/>
    <mergeCell ref="C100:G100"/>
    <mergeCell ref="C101:G101"/>
    <mergeCell ref="C119:G119"/>
    <mergeCell ref="C117:G117"/>
    <mergeCell ref="C103:G103"/>
    <mergeCell ref="C104:G104"/>
    <mergeCell ref="C105:G105"/>
    <mergeCell ref="C99:G99"/>
    <mergeCell ref="C98:G98"/>
    <mergeCell ref="I91:M91"/>
    <mergeCell ref="I90:M90"/>
    <mergeCell ref="C133:G133"/>
    <mergeCell ref="C134:G134"/>
    <mergeCell ref="C132:G132"/>
    <mergeCell ref="C135:G135"/>
    <mergeCell ref="C127:G127"/>
    <mergeCell ref="C126:G126"/>
    <mergeCell ref="C130:G130"/>
    <mergeCell ref="C131:G131"/>
    <mergeCell ref="C129:G129"/>
    <mergeCell ref="I124:M124"/>
    <mergeCell ref="C124:G124"/>
    <mergeCell ref="C122:G122"/>
    <mergeCell ref="C121:G121"/>
    <mergeCell ref="C123:G123"/>
    <mergeCell ref="C120:G120"/>
    <mergeCell ref="C96:G96"/>
    <mergeCell ref="C97:G97"/>
    <mergeCell ref="C223:G223"/>
    <mergeCell ref="C220:G220"/>
    <mergeCell ref="C221:G221"/>
    <mergeCell ref="C222:G222"/>
    <mergeCell ref="C212:G212"/>
    <mergeCell ref="C213:G213"/>
    <mergeCell ref="C217:G217"/>
    <mergeCell ref="C216:G216"/>
    <mergeCell ref="C215:G215"/>
    <mergeCell ref="C218:G218"/>
    <mergeCell ref="C219:G219"/>
    <mergeCell ref="C224:G224"/>
    <mergeCell ref="I227:M227"/>
    <mergeCell ref="I226:M226"/>
    <mergeCell ref="C214:G214"/>
    <mergeCell ref="C208:G208"/>
    <mergeCell ref="C206:G206"/>
    <mergeCell ref="C207:G207"/>
    <mergeCell ref="C211:G211"/>
    <mergeCell ref="C239:G239"/>
    <mergeCell ref="C240:G240"/>
    <mergeCell ref="C242:G242"/>
    <mergeCell ref="C243:G243"/>
    <mergeCell ref="C244:G244"/>
    <mergeCell ref="C245:G245"/>
    <mergeCell ref="C248:G248"/>
    <mergeCell ref="C249:G249"/>
    <mergeCell ref="C246:G246"/>
    <mergeCell ref="C247:G247"/>
    <mergeCell ref="C189:G189"/>
    <mergeCell ref="C188:G188"/>
    <mergeCell ref="C226:G226"/>
    <mergeCell ref="C225:G225"/>
    <mergeCell ref="C234:G234"/>
    <mergeCell ref="C235:G235"/>
    <mergeCell ref="I233:M233"/>
    <mergeCell ref="I234:M234"/>
    <mergeCell ref="I247:M247"/>
    <mergeCell ref="I248:M248"/>
    <mergeCell ref="I249:M249"/>
    <mergeCell ref="I245:M245"/>
    <mergeCell ref="I246:M246"/>
    <mergeCell ref="I244:M244"/>
    <mergeCell ref="C48:G48"/>
    <mergeCell ref="C49:G49"/>
    <mergeCell ref="C46:G46"/>
    <mergeCell ref="C47:G47"/>
    <mergeCell ref="C53:G53"/>
    <mergeCell ref="C52:G52"/>
    <mergeCell ref="C50:G50"/>
    <mergeCell ref="C51:G51"/>
    <mergeCell ref="C45:G45"/>
    <mergeCell ref="C88:G88"/>
    <mergeCell ref="C89:G89"/>
    <mergeCell ref="C91:G91"/>
    <mergeCell ref="C90:G90"/>
    <mergeCell ref="C93:G93"/>
    <mergeCell ref="C94:G94"/>
    <mergeCell ref="C95:G95"/>
    <mergeCell ref="C92:G92"/>
    <mergeCell ref="C79:G79"/>
    <mergeCell ref="C80:G80"/>
    <mergeCell ref="C82:G82"/>
    <mergeCell ref="C81:G81"/>
    <mergeCell ref="C84:G84"/>
    <mergeCell ref="C85:G85"/>
    <mergeCell ref="C83:G83"/>
    <mergeCell ref="C87:G87"/>
    <mergeCell ref="C77:G77"/>
    <mergeCell ref="C78:G78"/>
    <mergeCell ref="C86:G86"/>
    <mergeCell ref="C43:G43"/>
    <mergeCell ref="C42:G42"/>
    <mergeCell ref="C41:G41"/>
    <mergeCell ref="C44:G44"/>
    <mergeCell ref="C63:G63"/>
    <mergeCell ref="C64:G64"/>
    <mergeCell ref="C65:G65"/>
    <mergeCell ref="C61:G61"/>
    <mergeCell ref="C62:G62"/>
    <mergeCell ref="C60:G60"/>
    <mergeCell ref="C57:G57"/>
    <mergeCell ref="C58:G58"/>
    <mergeCell ref="C54:G54"/>
    <mergeCell ref="C56:G56"/>
    <mergeCell ref="C55:G55"/>
    <mergeCell ref="C59:G59"/>
    <mergeCell ref="I58:M58"/>
    <mergeCell ref="I59:M59"/>
    <mergeCell ref="I65:M65"/>
    <mergeCell ref="I63:M63"/>
    <mergeCell ref="I64:M64"/>
    <mergeCell ref="I61:M61"/>
    <mergeCell ref="I62:M62"/>
    <mergeCell ref="I57:M57"/>
    <mergeCell ref="I60:M60"/>
    <mergeCell ref="I122:M122"/>
    <mergeCell ref="I121:M121"/>
    <mergeCell ref="I123:M123"/>
    <mergeCell ref="I119:M119"/>
    <mergeCell ref="I120:M120"/>
    <mergeCell ref="I106:M106"/>
    <mergeCell ref="I108:M108"/>
    <mergeCell ref="I107:M107"/>
    <mergeCell ref="I111:M111"/>
    <mergeCell ref="I110:M110"/>
    <mergeCell ref="I89:M89"/>
    <mergeCell ref="I87:M87"/>
    <mergeCell ref="I88:M88"/>
    <mergeCell ref="I69:M69"/>
    <mergeCell ref="I70:M70"/>
    <mergeCell ref="I56:M56"/>
    <mergeCell ref="I55:M55"/>
    <mergeCell ref="C38:G38"/>
    <mergeCell ref="C39:G39"/>
    <mergeCell ref="C40:G40"/>
    <mergeCell ref="I39:M39"/>
    <mergeCell ref="I38:M38"/>
    <mergeCell ref="I40:M40"/>
    <mergeCell ref="C23:G23"/>
    <mergeCell ref="C24:G24"/>
    <mergeCell ref="C25:G25"/>
    <mergeCell ref="C26:G26"/>
    <mergeCell ref="C27:G27"/>
    <mergeCell ref="C1:J1"/>
    <mergeCell ref="C2:G2"/>
    <mergeCell ref="H2:L2"/>
    <mergeCell ref="C32:G32"/>
    <mergeCell ref="C31:G31"/>
    <mergeCell ref="C35:G35"/>
    <mergeCell ref="C36:G36"/>
    <mergeCell ref="C34:G34"/>
    <mergeCell ref="C33:G33"/>
    <mergeCell ref="C37:G37"/>
    <mergeCell ref="C30:G30"/>
    <mergeCell ref="I26:M26"/>
    <mergeCell ref="I27:M27"/>
    <mergeCell ref="I31:M31"/>
    <mergeCell ref="I30:M30"/>
    <mergeCell ref="I34:M34"/>
    <mergeCell ref="I35:M35"/>
    <mergeCell ref="I33:M33"/>
    <mergeCell ref="I37:M37"/>
    <mergeCell ref="I36:M36"/>
    <mergeCell ref="C29:G29"/>
    <mergeCell ref="C28:G28"/>
    <mergeCell ref="I28:M28"/>
    <mergeCell ref="I29:M29"/>
    <mergeCell ref="I32:M32"/>
    <mergeCell ref="I24:M24"/>
    <mergeCell ref="I25:M25"/>
    <mergeCell ref="I23:M23"/>
    <mergeCell ref="I92:M92"/>
    <mergeCell ref="I93:M93"/>
    <mergeCell ref="I94:M94"/>
    <mergeCell ref="I100:M100"/>
    <mergeCell ref="I98:M98"/>
    <mergeCell ref="I99:M99"/>
    <mergeCell ref="I96:M96"/>
    <mergeCell ref="I97:M97"/>
    <mergeCell ref="I95:M95"/>
    <mergeCell ref="C232:G232"/>
    <mergeCell ref="C233:G233"/>
    <mergeCell ref="C237:G237"/>
    <mergeCell ref="C238:G238"/>
    <mergeCell ref="C227:G227"/>
    <mergeCell ref="C228:G228"/>
    <mergeCell ref="C230:G230"/>
    <mergeCell ref="C231:G231"/>
    <mergeCell ref="C229:G229"/>
    <mergeCell ref="C241:G241"/>
    <mergeCell ref="C236:G236"/>
    <mergeCell ref="I229:M229"/>
    <mergeCell ref="I228:M228"/>
    <mergeCell ref="I231:M231"/>
    <mergeCell ref="I230:M230"/>
    <mergeCell ref="I236:M236"/>
    <mergeCell ref="I232:M232"/>
    <mergeCell ref="I235:M235"/>
    <mergeCell ref="I237:M237"/>
    <mergeCell ref="I238:M238"/>
    <mergeCell ref="I239:M239"/>
    <mergeCell ref="I240:M240"/>
    <mergeCell ref="I243:M243"/>
    <mergeCell ref="I242:M242"/>
    <mergeCell ref="I241:M241"/>
    <mergeCell ref="C76:G76"/>
    <mergeCell ref="C68:G68"/>
    <mergeCell ref="C67:G67"/>
    <mergeCell ref="C66:G66"/>
    <mergeCell ref="C72:G72"/>
    <mergeCell ref="C73:G73"/>
    <mergeCell ref="C69:G69"/>
    <mergeCell ref="C71:G71"/>
    <mergeCell ref="C70:G70"/>
    <mergeCell ref="I72:M72"/>
    <mergeCell ref="I73:M73"/>
    <mergeCell ref="I67:M67"/>
    <mergeCell ref="I68:M68"/>
    <mergeCell ref="I66:M66"/>
    <mergeCell ref="I71:M71"/>
    <mergeCell ref="I45:M45"/>
    <mergeCell ref="I44:M44"/>
    <mergeCell ref="I51:M51"/>
    <mergeCell ref="I52:M52"/>
    <mergeCell ref="I54:M54"/>
    <mergeCell ref="I53:M53"/>
    <mergeCell ref="I48:M48"/>
    <mergeCell ref="I49:M49"/>
    <mergeCell ref="I46:M46"/>
    <mergeCell ref="I47:M47"/>
    <mergeCell ref="I43:M43"/>
    <mergeCell ref="I42:M42"/>
    <mergeCell ref="I41:M41"/>
    <mergeCell ref="I50:M50"/>
    <mergeCell ref="C149:G149"/>
    <mergeCell ref="C158:G158"/>
    <mergeCell ref="C154:G154"/>
    <mergeCell ref="C155:G155"/>
    <mergeCell ref="C153:G153"/>
    <mergeCell ref="C152:G152"/>
    <mergeCell ref="C156:G156"/>
    <mergeCell ref="C157:G157"/>
    <mergeCell ref="I165:M165"/>
    <mergeCell ref="I166:M166"/>
    <mergeCell ref="C145:G145"/>
    <mergeCell ref="C144:G144"/>
    <mergeCell ref="C147:G147"/>
    <mergeCell ref="C148:G148"/>
    <mergeCell ref="C146:G146"/>
    <mergeCell ref="C163:G163"/>
    <mergeCell ref="I167:M167"/>
    <mergeCell ref="I168:M168"/>
    <mergeCell ref="I159:M159"/>
    <mergeCell ref="I160:M160"/>
    <mergeCell ref="I162:M162"/>
    <mergeCell ref="I161:M161"/>
    <mergeCell ref="I171:M171"/>
    <mergeCell ref="I172:M172"/>
    <mergeCell ref="I170:M170"/>
    <mergeCell ref="I169:M169"/>
    <mergeCell ref="C142:G142"/>
    <mergeCell ref="C143:G143"/>
    <mergeCell ref="C150:G150"/>
    <mergeCell ref="C151:G151"/>
    <mergeCell ref="C137:G137"/>
    <mergeCell ref="C140:G140"/>
    <mergeCell ref="C139:G139"/>
    <mergeCell ref="C141:G141"/>
    <mergeCell ref="C136:G136"/>
    <mergeCell ref="C138:G138"/>
    <mergeCell ref="C159:G159"/>
    <mergeCell ref="C161:G161"/>
    <mergeCell ref="C160:G160"/>
    <mergeCell ref="C165:G165"/>
    <mergeCell ref="C166:G166"/>
    <mergeCell ref="C164:G164"/>
    <mergeCell ref="C162:G162"/>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355</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46:M146"/>
    <mergeCell ref="I147:M147"/>
    <mergeCell ref="I138:M138"/>
    <mergeCell ref="I139:M139"/>
    <mergeCell ref="I140:M140"/>
    <mergeCell ref="I141:M141"/>
    <mergeCell ref="I137:M137"/>
    <mergeCell ref="I134:M134"/>
    <mergeCell ref="I135:M135"/>
    <mergeCell ref="I136:M136"/>
    <mergeCell ref="I143:M143"/>
    <mergeCell ref="I149:M149"/>
    <mergeCell ref="I148:M148"/>
    <mergeCell ref="I142:M142"/>
    <mergeCell ref="I109:M109"/>
    <mergeCell ref="I101:M101"/>
    <mergeCell ref="I102:M102"/>
    <mergeCell ref="I103:M103"/>
    <mergeCell ref="I104:M104"/>
    <mergeCell ref="I105:M105"/>
    <mergeCell ref="I183:M183"/>
    <mergeCell ref="I182:M182"/>
    <mergeCell ref="I192:M192"/>
    <mergeCell ref="I195:M195"/>
    <mergeCell ref="I196:M196"/>
    <mergeCell ref="I197:M197"/>
    <mergeCell ref="I163:M163"/>
    <mergeCell ref="I164:M164"/>
    <mergeCell ref="I157:M157"/>
    <mergeCell ref="I158:M158"/>
    <mergeCell ref="I154:M154"/>
    <mergeCell ref="I155:M155"/>
    <mergeCell ref="I156:M156"/>
    <mergeCell ref="I178:M178"/>
    <mergeCell ref="I177:M177"/>
    <mergeCell ref="I173:M173"/>
    <mergeCell ref="I132:M132"/>
    <mergeCell ref="I129:M129"/>
    <mergeCell ref="I131:M131"/>
    <mergeCell ref="I130:M130"/>
    <mergeCell ref="I144:M144"/>
    <mergeCell ref="I145:M145"/>
    <mergeCell ref="I150:M150"/>
    <mergeCell ref="I151:M151"/>
    <mergeCell ref="I152:M152"/>
    <mergeCell ref="I153:M153"/>
    <mergeCell ref="I133:M133"/>
    <mergeCell ref="I176:M176"/>
    <mergeCell ref="I175:M175"/>
    <mergeCell ref="I179:M179"/>
    <mergeCell ref="I180:M180"/>
    <mergeCell ref="I181:M181"/>
    <mergeCell ref="I184:M184"/>
    <mergeCell ref="I185:M185"/>
    <mergeCell ref="I186:M186"/>
    <mergeCell ref="I174:M174"/>
    <mergeCell ref="I212:M212"/>
    <mergeCell ref="I206:M206"/>
    <mergeCell ref="I207:M207"/>
    <mergeCell ref="I209:M209"/>
    <mergeCell ref="I210:M210"/>
    <mergeCell ref="I208:M208"/>
    <mergeCell ref="I211:M211"/>
    <mergeCell ref="I205:M205"/>
    <mergeCell ref="I202:M202"/>
    <mergeCell ref="I203:M203"/>
    <mergeCell ref="I204:M204"/>
    <mergeCell ref="I199:M199"/>
    <mergeCell ref="I200:M200"/>
    <mergeCell ref="I193:M193"/>
    <mergeCell ref="I194:M194"/>
    <mergeCell ref="I187:M187"/>
    <mergeCell ref="I188:M188"/>
    <mergeCell ref="I189:M189"/>
    <mergeCell ref="I190:M190"/>
    <mergeCell ref="I191:M191"/>
    <mergeCell ref="I198:M198"/>
    <mergeCell ref="I201:M201"/>
    <mergeCell ref="I221:M221"/>
    <mergeCell ref="I223:M223"/>
    <mergeCell ref="I222:M222"/>
    <mergeCell ref="I224:M224"/>
    <mergeCell ref="I225:M225"/>
    <mergeCell ref="I213:M213"/>
    <mergeCell ref="I214:M214"/>
    <mergeCell ref="I217:M217"/>
    <mergeCell ref="I218:M218"/>
    <mergeCell ref="I219:M219"/>
    <mergeCell ref="I220:M220"/>
    <mergeCell ref="I216:M216"/>
    <mergeCell ref="I215:M215"/>
    <mergeCell ref="C202:G202"/>
    <mergeCell ref="C203:G203"/>
    <mergeCell ref="C198:G198"/>
    <mergeCell ref="C201:G201"/>
    <mergeCell ref="C209:G209"/>
    <mergeCell ref="C210:G210"/>
    <mergeCell ref="C194:G194"/>
    <mergeCell ref="C197:G197"/>
    <mergeCell ref="C190:G190"/>
    <mergeCell ref="C193:G193"/>
    <mergeCell ref="C196:G196"/>
    <mergeCell ref="C195:G195"/>
    <mergeCell ref="C191:G191"/>
    <mergeCell ref="C192:G192"/>
    <mergeCell ref="C187:G187"/>
    <mergeCell ref="C186:G186"/>
    <mergeCell ref="C184:G184"/>
    <mergeCell ref="C179:G179"/>
    <mergeCell ref="C180:G180"/>
    <mergeCell ref="C181:G181"/>
    <mergeCell ref="C182:G182"/>
    <mergeCell ref="C183:G183"/>
    <mergeCell ref="C185:G185"/>
    <mergeCell ref="C171:G171"/>
    <mergeCell ref="C168:G168"/>
    <mergeCell ref="C169:G169"/>
    <mergeCell ref="C167:G167"/>
    <mergeCell ref="C170:G170"/>
    <mergeCell ref="C178:G178"/>
    <mergeCell ref="C172:G172"/>
    <mergeCell ref="C173:G173"/>
    <mergeCell ref="C174:G174"/>
    <mergeCell ref="C175:G175"/>
    <mergeCell ref="C176:G176"/>
    <mergeCell ref="C177:G177"/>
    <mergeCell ref="C199:G199"/>
    <mergeCell ref="C200:G200"/>
    <mergeCell ref="C205:G205"/>
    <mergeCell ref="C204:G204"/>
    <mergeCell ref="I78:M78"/>
    <mergeCell ref="I79:M79"/>
    <mergeCell ref="C75:G75"/>
    <mergeCell ref="I84:M84"/>
    <mergeCell ref="I81:M81"/>
    <mergeCell ref="I82:M82"/>
    <mergeCell ref="I83:M83"/>
    <mergeCell ref="I80:M80"/>
    <mergeCell ref="I77:M77"/>
    <mergeCell ref="I76:M76"/>
    <mergeCell ref="I75:M75"/>
    <mergeCell ref="I85:M85"/>
    <mergeCell ref="I86:M86"/>
    <mergeCell ref="C116:G116"/>
    <mergeCell ref="C102:G102"/>
    <mergeCell ref="C74:G74"/>
    <mergeCell ref="I127:M127"/>
    <mergeCell ref="I128:M128"/>
    <mergeCell ref="I126:M126"/>
    <mergeCell ref="C118:G118"/>
    <mergeCell ref="C128:G128"/>
    <mergeCell ref="I74:M74"/>
    <mergeCell ref="I118:M118"/>
    <mergeCell ref="I112:M112"/>
    <mergeCell ref="I114:M114"/>
    <mergeCell ref="I115:M115"/>
    <mergeCell ref="I116:M116"/>
    <mergeCell ref="I117:M117"/>
    <mergeCell ref="I113:M113"/>
    <mergeCell ref="I125:M125"/>
    <mergeCell ref="C125:G125"/>
    <mergeCell ref="C110:G110"/>
    <mergeCell ref="C109:G109"/>
    <mergeCell ref="C108:G108"/>
    <mergeCell ref="C107:G107"/>
    <mergeCell ref="C106:G106"/>
    <mergeCell ref="C111:G111"/>
    <mergeCell ref="C112:G112"/>
    <mergeCell ref="C113:G113"/>
    <mergeCell ref="C115:G115"/>
    <mergeCell ref="C114:G114"/>
    <mergeCell ref="C100:G100"/>
    <mergeCell ref="C101:G101"/>
    <mergeCell ref="C119:G119"/>
    <mergeCell ref="C117:G117"/>
    <mergeCell ref="C103:G103"/>
    <mergeCell ref="C104:G104"/>
    <mergeCell ref="C105:G105"/>
    <mergeCell ref="C99:G99"/>
    <mergeCell ref="C98:G98"/>
    <mergeCell ref="I91:M91"/>
    <mergeCell ref="I90:M90"/>
    <mergeCell ref="C133:G133"/>
    <mergeCell ref="C134:G134"/>
    <mergeCell ref="C132:G132"/>
    <mergeCell ref="C135:G135"/>
    <mergeCell ref="C127:G127"/>
    <mergeCell ref="C126:G126"/>
    <mergeCell ref="C130:G130"/>
    <mergeCell ref="C131:G131"/>
    <mergeCell ref="C129:G129"/>
    <mergeCell ref="I124:M124"/>
    <mergeCell ref="C124:G124"/>
    <mergeCell ref="C122:G122"/>
    <mergeCell ref="C121:G121"/>
    <mergeCell ref="C123:G123"/>
    <mergeCell ref="C120:G120"/>
    <mergeCell ref="C96:G96"/>
    <mergeCell ref="C97:G97"/>
    <mergeCell ref="C223:G223"/>
    <mergeCell ref="C220:G220"/>
    <mergeCell ref="C221:G221"/>
    <mergeCell ref="C222:G222"/>
    <mergeCell ref="C212:G212"/>
    <mergeCell ref="C213:G213"/>
    <mergeCell ref="C217:G217"/>
    <mergeCell ref="C216:G216"/>
    <mergeCell ref="C215:G215"/>
    <mergeCell ref="C218:G218"/>
    <mergeCell ref="C219:G219"/>
    <mergeCell ref="C224:G224"/>
    <mergeCell ref="I227:M227"/>
    <mergeCell ref="I226:M226"/>
    <mergeCell ref="C214:G214"/>
    <mergeCell ref="C208:G208"/>
    <mergeCell ref="C206:G206"/>
    <mergeCell ref="C207:G207"/>
    <mergeCell ref="C211:G211"/>
    <mergeCell ref="C239:G239"/>
    <mergeCell ref="C240:G240"/>
    <mergeCell ref="C242:G242"/>
    <mergeCell ref="C243:G243"/>
    <mergeCell ref="C244:G244"/>
    <mergeCell ref="C245:G245"/>
    <mergeCell ref="C248:G248"/>
    <mergeCell ref="C249:G249"/>
    <mergeCell ref="C246:G246"/>
    <mergeCell ref="C247:G247"/>
    <mergeCell ref="C189:G189"/>
    <mergeCell ref="C188:G188"/>
    <mergeCell ref="C226:G226"/>
    <mergeCell ref="C225:G225"/>
    <mergeCell ref="C234:G234"/>
    <mergeCell ref="C235:G235"/>
    <mergeCell ref="I233:M233"/>
    <mergeCell ref="I234:M234"/>
    <mergeCell ref="I247:M247"/>
    <mergeCell ref="I248:M248"/>
    <mergeCell ref="I249:M249"/>
    <mergeCell ref="I245:M245"/>
    <mergeCell ref="I246:M246"/>
    <mergeCell ref="I244:M244"/>
    <mergeCell ref="C48:G48"/>
    <mergeCell ref="C49:G49"/>
    <mergeCell ref="C46:G46"/>
    <mergeCell ref="C47:G47"/>
    <mergeCell ref="C53:G53"/>
    <mergeCell ref="C52:G52"/>
    <mergeCell ref="C50:G50"/>
    <mergeCell ref="C51:G51"/>
    <mergeCell ref="C45:G45"/>
    <mergeCell ref="C88:G88"/>
    <mergeCell ref="C89:G89"/>
    <mergeCell ref="C91:G91"/>
    <mergeCell ref="C90:G90"/>
    <mergeCell ref="C93:G93"/>
    <mergeCell ref="C94:G94"/>
    <mergeCell ref="C95:G95"/>
    <mergeCell ref="C92:G92"/>
    <mergeCell ref="C79:G79"/>
    <mergeCell ref="C80:G80"/>
    <mergeCell ref="C82:G82"/>
    <mergeCell ref="C81:G81"/>
    <mergeCell ref="C84:G84"/>
    <mergeCell ref="C85:G85"/>
    <mergeCell ref="C83:G83"/>
    <mergeCell ref="C87:G87"/>
    <mergeCell ref="C77:G77"/>
    <mergeCell ref="C78:G78"/>
    <mergeCell ref="C86:G86"/>
    <mergeCell ref="C43:G43"/>
    <mergeCell ref="C42:G42"/>
    <mergeCell ref="C41:G41"/>
    <mergeCell ref="C44:G44"/>
    <mergeCell ref="C63:G63"/>
    <mergeCell ref="C64:G64"/>
    <mergeCell ref="C65:G65"/>
    <mergeCell ref="C61:G61"/>
    <mergeCell ref="C62:G62"/>
    <mergeCell ref="C60:G60"/>
    <mergeCell ref="C57:G57"/>
    <mergeCell ref="C58:G58"/>
    <mergeCell ref="C54:G54"/>
    <mergeCell ref="C56:G56"/>
    <mergeCell ref="C55:G55"/>
    <mergeCell ref="C59:G59"/>
    <mergeCell ref="I58:M58"/>
    <mergeCell ref="I59:M59"/>
    <mergeCell ref="I65:M65"/>
    <mergeCell ref="I63:M63"/>
    <mergeCell ref="I64:M64"/>
    <mergeCell ref="I61:M61"/>
    <mergeCell ref="I62:M62"/>
    <mergeCell ref="I57:M57"/>
    <mergeCell ref="I60:M60"/>
    <mergeCell ref="I122:M122"/>
    <mergeCell ref="I121:M121"/>
    <mergeCell ref="I123:M123"/>
    <mergeCell ref="I119:M119"/>
    <mergeCell ref="I120:M120"/>
    <mergeCell ref="I106:M106"/>
    <mergeCell ref="I108:M108"/>
    <mergeCell ref="I107:M107"/>
    <mergeCell ref="I111:M111"/>
    <mergeCell ref="I110:M110"/>
    <mergeCell ref="I89:M89"/>
    <mergeCell ref="I87:M87"/>
    <mergeCell ref="I88:M88"/>
    <mergeCell ref="I69:M69"/>
    <mergeCell ref="I70:M70"/>
    <mergeCell ref="I56:M56"/>
    <mergeCell ref="I55:M55"/>
    <mergeCell ref="C38:G38"/>
    <mergeCell ref="C39:G39"/>
    <mergeCell ref="C40:G40"/>
    <mergeCell ref="I39:M39"/>
    <mergeCell ref="I38:M38"/>
    <mergeCell ref="I40:M40"/>
    <mergeCell ref="C23:G23"/>
    <mergeCell ref="C24:G24"/>
    <mergeCell ref="C25:G25"/>
    <mergeCell ref="C26:G26"/>
    <mergeCell ref="C27:G27"/>
    <mergeCell ref="C1:J1"/>
    <mergeCell ref="C2:G2"/>
    <mergeCell ref="H2:L2"/>
    <mergeCell ref="C32:G32"/>
    <mergeCell ref="C31:G31"/>
    <mergeCell ref="C35:G35"/>
    <mergeCell ref="C36:G36"/>
    <mergeCell ref="C34:G34"/>
    <mergeCell ref="C33:G33"/>
    <mergeCell ref="C37:G37"/>
    <mergeCell ref="C30:G30"/>
    <mergeCell ref="I26:M26"/>
    <mergeCell ref="I27:M27"/>
    <mergeCell ref="I31:M31"/>
    <mergeCell ref="I30:M30"/>
    <mergeCell ref="I34:M34"/>
    <mergeCell ref="I35:M35"/>
    <mergeCell ref="I33:M33"/>
    <mergeCell ref="I37:M37"/>
    <mergeCell ref="I36:M36"/>
    <mergeCell ref="C29:G29"/>
    <mergeCell ref="C28:G28"/>
    <mergeCell ref="I28:M28"/>
    <mergeCell ref="I29:M29"/>
    <mergeCell ref="I32:M32"/>
    <mergeCell ref="I24:M24"/>
    <mergeCell ref="I25:M25"/>
    <mergeCell ref="I23:M23"/>
    <mergeCell ref="I92:M92"/>
    <mergeCell ref="I93:M93"/>
    <mergeCell ref="I94:M94"/>
    <mergeCell ref="I100:M100"/>
    <mergeCell ref="I98:M98"/>
    <mergeCell ref="I99:M99"/>
    <mergeCell ref="I96:M96"/>
    <mergeCell ref="I97:M97"/>
    <mergeCell ref="I95:M95"/>
    <mergeCell ref="C232:G232"/>
    <mergeCell ref="C233:G233"/>
    <mergeCell ref="C237:G237"/>
    <mergeCell ref="C238:G238"/>
    <mergeCell ref="C227:G227"/>
    <mergeCell ref="C228:G228"/>
    <mergeCell ref="C230:G230"/>
    <mergeCell ref="C231:G231"/>
    <mergeCell ref="C229:G229"/>
    <mergeCell ref="C241:G241"/>
    <mergeCell ref="C236:G236"/>
    <mergeCell ref="I229:M229"/>
    <mergeCell ref="I228:M228"/>
    <mergeCell ref="I231:M231"/>
    <mergeCell ref="I230:M230"/>
    <mergeCell ref="I236:M236"/>
    <mergeCell ref="I232:M232"/>
    <mergeCell ref="I235:M235"/>
    <mergeCell ref="I237:M237"/>
    <mergeCell ref="I238:M238"/>
    <mergeCell ref="I239:M239"/>
    <mergeCell ref="I240:M240"/>
    <mergeCell ref="I243:M243"/>
    <mergeCell ref="I242:M242"/>
    <mergeCell ref="I241:M241"/>
    <mergeCell ref="C76:G76"/>
    <mergeCell ref="C68:G68"/>
    <mergeCell ref="C67:G67"/>
    <mergeCell ref="C66:G66"/>
    <mergeCell ref="C72:G72"/>
    <mergeCell ref="C73:G73"/>
    <mergeCell ref="C69:G69"/>
    <mergeCell ref="C71:G71"/>
    <mergeCell ref="C70:G70"/>
    <mergeCell ref="I72:M72"/>
    <mergeCell ref="I73:M73"/>
    <mergeCell ref="I67:M67"/>
    <mergeCell ref="I68:M68"/>
    <mergeCell ref="I66:M66"/>
    <mergeCell ref="I71:M71"/>
    <mergeCell ref="I45:M45"/>
    <mergeCell ref="I44:M44"/>
    <mergeCell ref="I51:M51"/>
    <mergeCell ref="I52:M52"/>
    <mergeCell ref="I54:M54"/>
    <mergeCell ref="I53:M53"/>
    <mergeCell ref="I48:M48"/>
    <mergeCell ref="I49:M49"/>
    <mergeCell ref="I46:M46"/>
    <mergeCell ref="I47:M47"/>
    <mergeCell ref="I43:M43"/>
    <mergeCell ref="I42:M42"/>
    <mergeCell ref="I41:M41"/>
    <mergeCell ref="I50:M50"/>
    <mergeCell ref="C149:G149"/>
    <mergeCell ref="C158:G158"/>
    <mergeCell ref="C154:G154"/>
    <mergeCell ref="C155:G155"/>
    <mergeCell ref="C153:G153"/>
    <mergeCell ref="C152:G152"/>
    <mergeCell ref="C156:G156"/>
    <mergeCell ref="C157:G157"/>
    <mergeCell ref="I165:M165"/>
    <mergeCell ref="I166:M166"/>
    <mergeCell ref="C145:G145"/>
    <mergeCell ref="C144:G144"/>
    <mergeCell ref="C147:G147"/>
    <mergeCell ref="C148:G148"/>
    <mergeCell ref="C146:G146"/>
    <mergeCell ref="C163:G163"/>
    <mergeCell ref="I167:M167"/>
    <mergeCell ref="I168:M168"/>
    <mergeCell ref="I159:M159"/>
    <mergeCell ref="I160:M160"/>
    <mergeCell ref="I162:M162"/>
    <mergeCell ref="I161:M161"/>
    <mergeCell ref="I171:M171"/>
    <mergeCell ref="I172:M172"/>
    <mergeCell ref="I170:M170"/>
    <mergeCell ref="I169:M169"/>
    <mergeCell ref="C142:G142"/>
    <mergeCell ref="C143:G143"/>
    <mergeCell ref="C150:G150"/>
    <mergeCell ref="C151:G151"/>
    <mergeCell ref="C137:G137"/>
    <mergeCell ref="C140:G140"/>
    <mergeCell ref="C139:G139"/>
    <mergeCell ref="C141:G141"/>
    <mergeCell ref="C136:G136"/>
    <mergeCell ref="C138:G138"/>
    <mergeCell ref="C159:G159"/>
    <mergeCell ref="C161:G161"/>
    <mergeCell ref="C160:G160"/>
    <mergeCell ref="C165:G165"/>
    <mergeCell ref="C166:G166"/>
    <mergeCell ref="C164:G164"/>
    <mergeCell ref="C162:G162"/>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356</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46:M146"/>
    <mergeCell ref="I147:M147"/>
    <mergeCell ref="I138:M138"/>
    <mergeCell ref="I139:M139"/>
    <mergeCell ref="I140:M140"/>
    <mergeCell ref="I141:M141"/>
    <mergeCell ref="I137:M137"/>
    <mergeCell ref="I134:M134"/>
    <mergeCell ref="I135:M135"/>
    <mergeCell ref="I136:M136"/>
    <mergeCell ref="I143:M143"/>
    <mergeCell ref="I149:M149"/>
    <mergeCell ref="I148:M148"/>
    <mergeCell ref="I142:M142"/>
    <mergeCell ref="I109:M109"/>
    <mergeCell ref="I101:M101"/>
    <mergeCell ref="I102:M102"/>
    <mergeCell ref="I103:M103"/>
    <mergeCell ref="I104:M104"/>
    <mergeCell ref="I105:M105"/>
    <mergeCell ref="I183:M183"/>
    <mergeCell ref="I182:M182"/>
    <mergeCell ref="I192:M192"/>
    <mergeCell ref="I195:M195"/>
    <mergeCell ref="I196:M196"/>
    <mergeCell ref="I197:M197"/>
    <mergeCell ref="I163:M163"/>
    <mergeCell ref="I164:M164"/>
    <mergeCell ref="I157:M157"/>
    <mergeCell ref="I158:M158"/>
    <mergeCell ref="I154:M154"/>
    <mergeCell ref="I155:M155"/>
    <mergeCell ref="I156:M156"/>
    <mergeCell ref="I178:M178"/>
    <mergeCell ref="I177:M177"/>
    <mergeCell ref="I173:M173"/>
    <mergeCell ref="I132:M132"/>
    <mergeCell ref="I129:M129"/>
    <mergeCell ref="I131:M131"/>
    <mergeCell ref="I130:M130"/>
    <mergeCell ref="I144:M144"/>
    <mergeCell ref="I145:M145"/>
    <mergeCell ref="I150:M150"/>
    <mergeCell ref="I151:M151"/>
    <mergeCell ref="I152:M152"/>
    <mergeCell ref="I153:M153"/>
    <mergeCell ref="I133:M133"/>
    <mergeCell ref="I176:M176"/>
    <mergeCell ref="I175:M175"/>
    <mergeCell ref="I179:M179"/>
    <mergeCell ref="I180:M180"/>
    <mergeCell ref="I181:M181"/>
    <mergeCell ref="I184:M184"/>
    <mergeCell ref="I185:M185"/>
    <mergeCell ref="I186:M186"/>
    <mergeCell ref="I174:M174"/>
    <mergeCell ref="I212:M212"/>
    <mergeCell ref="I206:M206"/>
    <mergeCell ref="I207:M207"/>
    <mergeCell ref="I209:M209"/>
    <mergeCell ref="I210:M210"/>
    <mergeCell ref="I208:M208"/>
    <mergeCell ref="I211:M211"/>
    <mergeCell ref="I205:M205"/>
    <mergeCell ref="I202:M202"/>
    <mergeCell ref="I203:M203"/>
    <mergeCell ref="I204:M204"/>
    <mergeCell ref="I199:M199"/>
    <mergeCell ref="I200:M200"/>
    <mergeCell ref="I193:M193"/>
    <mergeCell ref="I194:M194"/>
    <mergeCell ref="I187:M187"/>
    <mergeCell ref="I188:M188"/>
    <mergeCell ref="I189:M189"/>
    <mergeCell ref="I190:M190"/>
    <mergeCell ref="I191:M191"/>
    <mergeCell ref="I198:M198"/>
    <mergeCell ref="I201:M201"/>
    <mergeCell ref="I221:M221"/>
    <mergeCell ref="I223:M223"/>
    <mergeCell ref="I222:M222"/>
    <mergeCell ref="I224:M224"/>
    <mergeCell ref="I225:M225"/>
    <mergeCell ref="I213:M213"/>
    <mergeCell ref="I214:M214"/>
    <mergeCell ref="I217:M217"/>
    <mergeCell ref="I218:M218"/>
    <mergeCell ref="I219:M219"/>
    <mergeCell ref="I220:M220"/>
    <mergeCell ref="I216:M216"/>
    <mergeCell ref="I215:M215"/>
    <mergeCell ref="C202:G202"/>
    <mergeCell ref="C203:G203"/>
    <mergeCell ref="C198:G198"/>
    <mergeCell ref="C201:G201"/>
    <mergeCell ref="C209:G209"/>
    <mergeCell ref="C210:G210"/>
    <mergeCell ref="C194:G194"/>
    <mergeCell ref="C197:G197"/>
    <mergeCell ref="C190:G190"/>
    <mergeCell ref="C193:G193"/>
    <mergeCell ref="C196:G196"/>
    <mergeCell ref="C195:G195"/>
    <mergeCell ref="C191:G191"/>
    <mergeCell ref="C192:G192"/>
    <mergeCell ref="C187:G187"/>
    <mergeCell ref="C186:G186"/>
    <mergeCell ref="C184:G184"/>
    <mergeCell ref="C179:G179"/>
    <mergeCell ref="C180:G180"/>
    <mergeCell ref="C181:G181"/>
    <mergeCell ref="C182:G182"/>
    <mergeCell ref="C183:G183"/>
    <mergeCell ref="C185:G185"/>
    <mergeCell ref="C171:G171"/>
    <mergeCell ref="C168:G168"/>
    <mergeCell ref="C169:G169"/>
    <mergeCell ref="C167:G167"/>
    <mergeCell ref="C170:G170"/>
    <mergeCell ref="C178:G178"/>
    <mergeCell ref="C172:G172"/>
    <mergeCell ref="C173:G173"/>
    <mergeCell ref="C174:G174"/>
    <mergeCell ref="C175:G175"/>
    <mergeCell ref="C176:G176"/>
    <mergeCell ref="C177:G177"/>
    <mergeCell ref="C199:G199"/>
    <mergeCell ref="C200:G200"/>
    <mergeCell ref="C205:G205"/>
    <mergeCell ref="C204:G204"/>
    <mergeCell ref="I78:M78"/>
    <mergeCell ref="I79:M79"/>
    <mergeCell ref="C75:G75"/>
    <mergeCell ref="I84:M84"/>
    <mergeCell ref="I81:M81"/>
    <mergeCell ref="I82:M82"/>
    <mergeCell ref="I83:M83"/>
    <mergeCell ref="I80:M80"/>
    <mergeCell ref="I77:M77"/>
    <mergeCell ref="I76:M76"/>
    <mergeCell ref="I75:M75"/>
    <mergeCell ref="I85:M85"/>
    <mergeCell ref="I86:M86"/>
    <mergeCell ref="C116:G116"/>
    <mergeCell ref="C102:G102"/>
    <mergeCell ref="C74:G74"/>
    <mergeCell ref="I127:M127"/>
    <mergeCell ref="I128:M128"/>
    <mergeCell ref="I126:M126"/>
    <mergeCell ref="C118:G118"/>
    <mergeCell ref="C128:G128"/>
    <mergeCell ref="I74:M74"/>
    <mergeCell ref="I118:M118"/>
    <mergeCell ref="I112:M112"/>
    <mergeCell ref="I114:M114"/>
    <mergeCell ref="I115:M115"/>
    <mergeCell ref="I116:M116"/>
    <mergeCell ref="I117:M117"/>
    <mergeCell ref="I113:M113"/>
    <mergeCell ref="I125:M125"/>
    <mergeCell ref="C125:G125"/>
    <mergeCell ref="C110:G110"/>
    <mergeCell ref="C109:G109"/>
    <mergeCell ref="C108:G108"/>
    <mergeCell ref="C107:G107"/>
    <mergeCell ref="C106:G106"/>
    <mergeCell ref="C111:G111"/>
    <mergeCell ref="C112:G112"/>
    <mergeCell ref="C113:G113"/>
    <mergeCell ref="C115:G115"/>
    <mergeCell ref="C114:G114"/>
    <mergeCell ref="C100:G100"/>
    <mergeCell ref="C101:G101"/>
    <mergeCell ref="C119:G119"/>
    <mergeCell ref="C117:G117"/>
    <mergeCell ref="C103:G103"/>
    <mergeCell ref="C104:G104"/>
    <mergeCell ref="C105:G105"/>
    <mergeCell ref="C99:G99"/>
    <mergeCell ref="C98:G98"/>
    <mergeCell ref="I91:M91"/>
    <mergeCell ref="I90:M90"/>
    <mergeCell ref="C133:G133"/>
    <mergeCell ref="C134:G134"/>
    <mergeCell ref="C132:G132"/>
    <mergeCell ref="C135:G135"/>
    <mergeCell ref="C127:G127"/>
    <mergeCell ref="C126:G126"/>
    <mergeCell ref="C130:G130"/>
    <mergeCell ref="C131:G131"/>
    <mergeCell ref="C129:G129"/>
    <mergeCell ref="I124:M124"/>
    <mergeCell ref="C124:G124"/>
    <mergeCell ref="C122:G122"/>
    <mergeCell ref="C121:G121"/>
    <mergeCell ref="C123:G123"/>
    <mergeCell ref="C120:G120"/>
    <mergeCell ref="C96:G96"/>
    <mergeCell ref="C97:G97"/>
    <mergeCell ref="C223:G223"/>
    <mergeCell ref="C220:G220"/>
    <mergeCell ref="C221:G221"/>
    <mergeCell ref="C222:G222"/>
    <mergeCell ref="C212:G212"/>
    <mergeCell ref="C213:G213"/>
    <mergeCell ref="C217:G217"/>
    <mergeCell ref="C216:G216"/>
    <mergeCell ref="C215:G215"/>
    <mergeCell ref="C218:G218"/>
    <mergeCell ref="C219:G219"/>
    <mergeCell ref="C224:G224"/>
    <mergeCell ref="I227:M227"/>
    <mergeCell ref="I226:M226"/>
    <mergeCell ref="C214:G214"/>
    <mergeCell ref="C208:G208"/>
    <mergeCell ref="C206:G206"/>
    <mergeCell ref="C207:G207"/>
    <mergeCell ref="C211:G211"/>
    <mergeCell ref="C239:G239"/>
    <mergeCell ref="C240:G240"/>
    <mergeCell ref="C242:G242"/>
    <mergeCell ref="C243:G243"/>
    <mergeCell ref="C244:G244"/>
    <mergeCell ref="C245:G245"/>
    <mergeCell ref="C248:G248"/>
    <mergeCell ref="C249:G249"/>
    <mergeCell ref="C246:G246"/>
    <mergeCell ref="C247:G247"/>
    <mergeCell ref="C189:G189"/>
    <mergeCell ref="C188:G188"/>
    <mergeCell ref="C226:G226"/>
    <mergeCell ref="C225:G225"/>
    <mergeCell ref="C234:G234"/>
    <mergeCell ref="C235:G235"/>
    <mergeCell ref="I233:M233"/>
    <mergeCell ref="I234:M234"/>
    <mergeCell ref="I247:M247"/>
    <mergeCell ref="I248:M248"/>
    <mergeCell ref="I249:M249"/>
    <mergeCell ref="I245:M245"/>
    <mergeCell ref="I246:M246"/>
    <mergeCell ref="I244:M244"/>
    <mergeCell ref="C48:G48"/>
    <mergeCell ref="C49:G49"/>
    <mergeCell ref="C46:G46"/>
    <mergeCell ref="C47:G47"/>
    <mergeCell ref="C53:G53"/>
    <mergeCell ref="C52:G52"/>
    <mergeCell ref="C50:G50"/>
    <mergeCell ref="C51:G51"/>
    <mergeCell ref="C45:G45"/>
    <mergeCell ref="C88:G88"/>
    <mergeCell ref="C89:G89"/>
    <mergeCell ref="C91:G91"/>
    <mergeCell ref="C90:G90"/>
    <mergeCell ref="C93:G93"/>
    <mergeCell ref="C94:G94"/>
    <mergeCell ref="C95:G95"/>
    <mergeCell ref="C92:G92"/>
    <mergeCell ref="C79:G79"/>
    <mergeCell ref="C80:G80"/>
    <mergeCell ref="C82:G82"/>
    <mergeCell ref="C81:G81"/>
    <mergeCell ref="C84:G84"/>
    <mergeCell ref="C85:G85"/>
    <mergeCell ref="C83:G83"/>
    <mergeCell ref="C87:G87"/>
    <mergeCell ref="C77:G77"/>
    <mergeCell ref="C78:G78"/>
    <mergeCell ref="C86:G86"/>
    <mergeCell ref="C43:G43"/>
    <mergeCell ref="C42:G42"/>
    <mergeCell ref="C41:G41"/>
    <mergeCell ref="C44:G44"/>
    <mergeCell ref="C63:G63"/>
    <mergeCell ref="C64:G64"/>
    <mergeCell ref="C65:G65"/>
    <mergeCell ref="C61:G61"/>
    <mergeCell ref="C62:G62"/>
    <mergeCell ref="C60:G60"/>
    <mergeCell ref="C57:G57"/>
    <mergeCell ref="C58:G58"/>
    <mergeCell ref="C54:G54"/>
    <mergeCell ref="C56:G56"/>
    <mergeCell ref="C55:G55"/>
    <mergeCell ref="C59:G59"/>
    <mergeCell ref="I58:M58"/>
    <mergeCell ref="I59:M59"/>
    <mergeCell ref="I65:M65"/>
    <mergeCell ref="I63:M63"/>
    <mergeCell ref="I64:M64"/>
    <mergeCell ref="I61:M61"/>
    <mergeCell ref="I62:M62"/>
    <mergeCell ref="I57:M57"/>
    <mergeCell ref="I60:M60"/>
    <mergeCell ref="I122:M122"/>
    <mergeCell ref="I121:M121"/>
    <mergeCell ref="I123:M123"/>
    <mergeCell ref="I119:M119"/>
    <mergeCell ref="I120:M120"/>
    <mergeCell ref="I106:M106"/>
    <mergeCell ref="I108:M108"/>
    <mergeCell ref="I107:M107"/>
    <mergeCell ref="I111:M111"/>
    <mergeCell ref="I110:M110"/>
    <mergeCell ref="I89:M89"/>
    <mergeCell ref="I87:M87"/>
    <mergeCell ref="I88:M88"/>
    <mergeCell ref="I69:M69"/>
    <mergeCell ref="I70:M70"/>
    <mergeCell ref="I56:M56"/>
    <mergeCell ref="I55:M55"/>
    <mergeCell ref="C38:G38"/>
    <mergeCell ref="C39:G39"/>
    <mergeCell ref="C40:G40"/>
    <mergeCell ref="I39:M39"/>
    <mergeCell ref="I38:M38"/>
    <mergeCell ref="I40:M40"/>
    <mergeCell ref="C23:G23"/>
    <mergeCell ref="C24:G24"/>
    <mergeCell ref="C25:G25"/>
    <mergeCell ref="C26:G26"/>
    <mergeCell ref="C27:G27"/>
    <mergeCell ref="C1:J1"/>
    <mergeCell ref="C2:G2"/>
    <mergeCell ref="H2:L2"/>
    <mergeCell ref="C32:G32"/>
    <mergeCell ref="C31:G31"/>
    <mergeCell ref="C35:G35"/>
    <mergeCell ref="C36:G36"/>
    <mergeCell ref="C34:G34"/>
    <mergeCell ref="C33:G33"/>
    <mergeCell ref="C37:G37"/>
    <mergeCell ref="C30:G30"/>
    <mergeCell ref="I26:M26"/>
    <mergeCell ref="I27:M27"/>
    <mergeCell ref="I31:M31"/>
    <mergeCell ref="I30:M30"/>
    <mergeCell ref="I34:M34"/>
    <mergeCell ref="I35:M35"/>
    <mergeCell ref="I33:M33"/>
    <mergeCell ref="I37:M37"/>
    <mergeCell ref="I36:M36"/>
    <mergeCell ref="C29:G29"/>
    <mergeCell ref="C28:G28"/>
    <mergeCell ref="I28:M28"/>
    <mergeCell ref="I29:M29"/>
    <mergeCell ref="I32:M32"/>
    <mergeCell ref="I24:M24"/>
    <mergeCell ref="I25:M25"/>
    <mergeCell ref="I23:M23"/>
    <mergeCell ref="I92:M92"/>
    <mergeCell ref="I93:M93"/>
    <mergeCell ref="I94:M94"/>
    <mergeCell ref="I100:M100"/>
    <mergeCell ref="I98:M98"/>
    <mergeCell ref="I99:M99"/>
    <mergeCell ref="I96:M96"/>
    <mergeCell ref="I97:M97"/>
    <mergeCell ref="I95:M95"/>
    <mergeCell ref="C232:G232"/>
    <mergeCell ref="C233:G233"/>
    <mergeCell ref="C237:G237"/>
    <mergeCell ref="C238:G238"/>
    <mergeCell ref="C227:G227"/>
    <mergeCell ref="C228:G228"/>
    <mergeCell ref="C230:G230"/>
    <mergeCell ref="C231:G231"/>
    <mergeCell ref="C229:G229"/>
    <mergeCell ref="C241:G241"/>
    <mergeCell ref="C236:G236"/>
    <mergeCell ref="I229:M229"/>
    <mergeCell ref="I228:M228"/>
    <mergeCell ref="I231:M231"/>
    <mergeCell ref="I230:M230"/>
    <mergeCell ref="I236:M236"/>
    <mergeCell ref="I232:M232"/>
    <mergeCell ref="I235:M235"/>
    <mergeCell ref="I237:M237"/>
    <mergeCell ref="I238:M238"/>
    <mergeCell ref="I239:M239"/>
    <mergeCell ref="I240:M240"/>
    <mergeCell ref="I243:M243"/>
    <mergeCell ref="I242:M242"/>
    <mergeCell ref="I241:M241"/>
    <mergeCell ref="C76:G76"/>
    <mergeCell ref="C68:G68"/>
    <mergeCell ref="C67:G67"/>
    <mergeCell ref="C66:G66"/>
    <mergeCell ref="C72:G72"/>
    <mergeCell ref="C73:G73"/>
    <mergeCell ref="C69:G69"/>
    <mergeCell ref="C71:G71"/>
    <mergeCell ref="C70:G70"/>
    <mergeCell ref="I72:M72"/>
    <mergeCell ref="I73:M73"/>
    <mergeCell ref="I67:M67"/>
    <mergeCell ref="I68:M68"/>
    <mergeCell ref="I66:M66"/>
    <mergeCell ref="I71:M71"/>
    <mergeCell ref="I45:M45"/>
    <mergeCell ref="I44:M44"/>
    <mergeCell ref="I51:M51"/>
    <mergeCell ref="I52:M52"/>
    <mergeCell ref="I54:M54"/>
    <mergeCell ref="I53:M53"/>
    <mergeCell ref="I48:M48"/>
    <mergeCell ref="I49:M49"/>
    <mergeCell ref="I46:M46"/>
    <mergeCell ref="I47:M47"/>
    <mergeCell ref="I43:M43"/>
    <mergeCell ref="I42:M42"/>
    <mergeCell ref="I41:M41"/>
    <mergeCell ref="I50:M50"/>
    <mergeCell ref="C149:G149"/>
    <mergeCell ref="C158:G158"/>
    <mergeCell ref="C154:G154"/>
    <mergeCell ref="C155:G155"/>
    <mergeCell ref="C153:G153"/>
    <mergeCell ref="C152:G152"/>
    <mergeCell ref="C156:G156"/>
    <mergeCell ref="C157:G157"/>
    <mergeCell ref="I165:M165"/>
    <mergeCell ref="I166:M166"/>
    <mergeCell ref="C145:G145"/>
    <mergeCell ref="C144:G144"/>
    <mergeCell ref="C147:G147"/>
    <mergeCell ref="C148:G148"/>
    <mergeCell ref="C146:G146"/>
    <mergeCell ref="C163:G163"/>
    <mergeCell ref="I167:M167"/>
    <mergeCell ref="I168:M168"/>
    <mergeCell ref="I159:M159"/>
    <mergeCell ref="I160:M160"/>
    <mergeCell ref="I162:M162"/>
    <mergeCell ref="I161:M161"/>
    <mergeCell ref="I171:M171"/>
    <mergeCell ref="I172:M172"/>
    <mergeCell ref="I170:M170"/>
    <mergeCell ref="I169:M169"/>
    <mergeCell ref="C142:G142"/>
    <mergeCell ref="C143:G143"/>
    <mergeCell ref="C150:G150"/>
    <mergeCell ref="C151:G151"/>
    <mergeCell ref="C137:G137"/>
    <mergeCell ref="C140:G140"/>
    <mergeCell ref="C139:G139"/>
    <mergeCell ref="C141:G141"/>
    <mergeCell ref="C136:G136"/>
    <mergeCell ref="C138:G138"/>
    <mergeCell ref="C159:G159"/>
    <mergeCell ref="C161:G161"/>
    <mergeCell ref="C160:G160"/>
    <mergeCell ref="C165:G165"/>
    <mergeCell ref="C166:G166"/>
    <mergeCell ref="C164:G164"/>
    <mergeCell ref="C162:G162"/>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357</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09:M109"/>
    <mergeCell ref="I112:M112"/>
    <mergeCell ref="I111:M111"/>
    <mergeCell ref="I110:M110"/>
    <mergeCell ref="I116:M116"/>
    <mergeCell ref="I117:M117"/>
    <mergeCell ref="I118:M118"/>
    <mergeCell ref="I125:M125"/>
    <mergeCell ref="I124:M124"/>
    <mergeCell ref="I122:M122"/>
    <mergeCell ref="I121:M121"/>
    <mergeCell ref="I123:M123"/>
    <mergeCell ref="I119:M119"/>
    <mergeCell ref="I120:M120"/>
    <mergeCell ref="I106:M106"/>
    <mergeCell ref="I108:M108"/>
    <mergeCell ref="I107:M107"/>
    <mergeCell ref="I135:M135"/>
    <mergeCell ref="I102:M102"/>
    <mergeCell ref="I103:M103"/>
    <mergeCell ref="I104:M104"/>
    <mergeCell ref="I105:M105"/>
    <mergeCell ref="I133:M133"/>
    <mergeCell ref="I113:M113"/>
    <mergeCell ref="C99:G99"/>
    <mergeCell ref="C98:G98"/>
    <mergeCell ref="I98:M98"/>
    <mergeCell ref="I99:M99"/>
    <mergeCell ref="I101:M101"/>
    <mergeCell ref="C102:G102"/>
    <mergeCell ref="C100:G100"/>
    <mergeCell ref="C101:G101"/>
    <mergeCell ref="C103:G103"/>
    <mergeCell ref="C104:G104"/>
    <mergeCell ref="C105:G105"/>
    <mergeCell ref="I100:M100"/>
    <mergeCell ref="I128:M128"/>
    <mergeCell ref="C128:G128"/>
    <mergeCell ref="C130:G130"/>
    <mergeCell ref="C129:G129"/>
    <mergeCell ref="C124:G124"/>
    <mergeCell ref="C122:G122"/>
    <mergeCell ref="C123:G123"/>
    <mergeCell ref="C121:G121"/>
    <mergeCell ref="C120:G120"/>
    <mergeCell ref="I129:M129"/>
    <mergeCell ref="I130:M130"/>
    <mergeCell ref="C116:G116"/>
    <mergeCell ref="I127:M127"/>
    <mergeCell ref="I126:M126"/>
    <mergeCell ref="C125:G125"/>
    <mergeCell ref="C117:G117"/>
    <mergeCell ref="I81:M81"/>
    <mergeCell ref="I80:M80"/>
    <mergeCell ref="C79:G79"/>
    <mergeCell ref="C80:G80"/>
    <mergeCell ref="C82:G82"/>
    <mergeCell ref="C81:G81"/>
    <mergeCell ref="C83:G83"/>
    <mergeCell ref="I77:M77"/>
    <mergeCell ref="I76:M76"/>
    <mergeCell ref="C77:G77"/>
    <mergeCell ref="C78:G78"/>
    <mergeCell ref="C76:G76"/>
    <mergeCell ref="I115:M115"/>
    <mergeCell ref="C115:G115"/>
    <mergeCell ref="C114:G114"/>
    <mergeCell ref="C118:G118"/>
    <mergeCell ref="C119:G119"/>
    <mergeCell ref="I131:M131"/>
    <mergeCell ref="C133:G133"/>
    <mergeCell ref="C134:G134"/>
    <mergeCell ref="C132:G132"/>
    <mergeCell ref="C135:G135"/>
    <mergeCell ref="C131:G131"/>
    <mergeCell ref="C127:G127"/>
    <mergeCell ref="C126:G126"/>
    <mergeCell ref="I91:M91"/>
    <mergeCell ref="C91:G91"/>
    <mergeCell ref="C90:G90"/>
    <mergeCell ref="C93:G93"/>
    <mergeCell ref="C92:G92"/>
    <mergeCell ref="I84:M84"/>
    <mergeCell ref="I85:M85"/>
    <mergeCell ref="I90:M90"/>
    <mergeCell ref="C97:G97"/>
    <mergeCell ref="C88:G88"/>
    <mergeCell ref="C89:G89"/>
    <mergeCell ref="I97:M97"/>
    <mergeCell ref="C94:G94"/>
    <mergeCell ref="C95:G95"/>
    <mergeCell ref="C84:G84"/>
    <mergeCell ref="C85:G85"/>
    <mergeCell ref="C87:G87"/>
    <mergeCell ref="C86:G86"/>
    <mergeCell ref="I89:M89"/>
    <mergeCell ref="I87:M87"/>
    <mergeCell ref="I88:M88"/>
    <mergeCell ref="I92:M92"/>
    <mergeCell ref="I93:M93"/>
    <mergeCell ref="C96:G96"/>
    <mergeCell ref="I96:M96"/>
    <mergeCell ref="I94:M94"/>
    <mergeCell ref="I95:M95"/>
    <mergeCell ref="I212:M212"/>
    <mergeCell ref="I207:M207"/>
    <mergeCell ref="I209:M209"/>
    <mergeCell ref="I210:M210"/>
    <mergeCell ref="I208:M208"/>
    <mergeCell ref="I211:M211"/>
    <mergeCell ref="I204:M204"/>
    <mergeCell ref="C212:G212"/>
    <mergeCell ref="C211:G211"/>
    <mergeCell ref="I206:M206"/>
    <mergeCell ref="I205:M205"/>
    <mergeCell ref="C209:G209"/>
    <mergeCell ref="C210:G210"/>
    <mergeCell ref="C213:G213"/>
    <mergeCell ref="C208:G208"/>
    <mergeCell ref="C207:G207"/>
    <mergeCell ref="I202:M202"/>
    <mergeCell ref="I203:M203"/>
    <mergeCell ref="C202:G202"/>
    <mergeCell ref="C203:G203"/>
    <mergeCell ref="C204:G204"/>
    <mergeCell ref="I213:M213"/>
    <mergeCell ref="I214:M214"/>
    <mergeCell ref="I217:M217"/>
    <mergeCell ref="I218:M218"/>
    <mergeCell ref="I219:M219"/>
    <mergeCell ref="I220:M220"/>
    <mergeCell ref="I216:M216"/>
    <mergeCell ref="I215:M215"/>
    <mergeCell ref="C198:G198"/>
    <mergeCell ref="C197:G197"/>
    <mergeCell ref="C193:G193"/>
    <mergeCell ref="C196:G196"/>
    <mergeCell ref="C195:G195"/>
    <mergeCell ref="C191:G191"/>
    <mergeCell ref="C192:G192"/>
    <mergeCell ref="C199:G199"/>
    <mergeCell ref="C200:G200"/>
    <mergeCell ref="I197:M197"/>
    <mergeCell ref="I199:M199"/>
    <mergeCell ref="I200:M200"/>
    <mergeCell ref="I198:M198"/>
    <mergeCell ref="I201:M201"/>
    <mergeCell ref="C201:G201"/>
    <mergeCell ref="C194:G194"/>
    <mergeCell ref="C217:G217"/>
    <mergeCell ref="C216:G216"/>
    <mergeCell ref="C215:G215"/>
    <mergeCell ref="C218:G218"/>
    <mergeCell ref="C219:G219"/>
    <mergeCell ref="C214:G214"/>
    <mergeCell ref="C205:G205"/>
    <mergeCell ref="C206:G206"/>
    <mergeCell ref="C48:G48"/>
    <mergeCell ref="C49:G49"/>
    <mergeCell ref="C47:G47"/>
    <mergeCell ref="C53:G53"/>
    <mergeCell ref="C52:G52"/>
    <mergeCell ref="C50:G50"/>
    <mergeCell ref="C51:G51"/>
    <mergeCell ref="C54:G54"/>
    <mergeCell ref="C46:G46"/>
    <mergeCell ref="C45:G45"/>
    <mergeCell ref="C43:G43"/>
    <mergeCell ref="C42:G42"/>
    <mergeCell ref="C41:G41"/>
    <mergeCell ref="C44:G44"/>
    <mergeCell ref="C38:G38"/>
    <mergeCell ref="I37:M37"/>
    <mergeCell ref="I36:M36"/>
    <mergeCell ref="I28:M28"/>
    <mergeCell ref="I29:M29"/>
    <mergeCell ref="I26:M26"/>
    <mergeCell ref="I27:M27"/>
    <mergeCell ref="I31:M31"/>
    <mergeCell ref="I30:M30"/>
    <mergeCell ref="I34:M34"/>
    <mergeCell ref="I35:M35"/>
    <mergeCell ref="I33:M33"/>
    <mergeCell ref="I32:M32"/>
    <mergeCell ref="I24:M24"/>
    <mergeCell ref="I25:M25"/>
    <mergeCell ref="I23:M23"/>
    <mergeCell ref="C23:G23"/>
    <mergeCell ref="C24:G24"/>
    <mergeCell ref="C25:G25"/>
    <mergeCell ref="C26:G26"/>
    <mergeCell ref="C1:J1"/>
    <mergeCell ref="C2:G2"/>
    <mergeCell ref="H2:L2"/>
    <mergeCell ref="C71:G71"/>
    <mergeCell ref="C70:G70"/>
    <mergeCell ref="C65:G65"/>
    <mergeCell ref="C68:G68"/>
    <mergeCell ref="C67:G67"/>
    <mergeCell ref="C66:G66"/>
    <mergeCell ref="C72:G72"/>
    <mergeCell ref="C73:G73"/>
    <mergeCell ref="C69:G69"/>
    <mergeCell ref="I55:M55"/>
    <mergeCell ref="I51:M51"/>
    <mergeCell ref="I52:M52"/>
    <mergeCell ref="I54:M54"/>
    <mergeCell ref="I53:M53"/>
    <mergeCell ref="C57:G57"/>
    <mergeCell ref="C56:G56"/>
    <mergeCell ref="C55:G55"/>
    <mergeCell ref="I58:M58"/>
    <mergeCell ref="I59:M59"/>
    <mergeCell ref="I57:M57"/>
    <mergeCell ref="I56:M56"/>
    <mergeCell ref="I43:M43"/>
    <mergeCell ref="I42:M42"/>
    <mergeCell ref="C39:G39"/>
    <mergeCell ref="C40:G40"/>
    <mergeCell ref="I39:M39"/>
    <mergeCell ref="I38:M38"/>
    <mergeCell ref="I40:M40"/>
    <mergeCell ref="I45:M45"/>
    <mergeCell ref="I44:M44"/>
    <mergeCell ref="I41:M41"/>
    <mergeCell ref="I78:M78"/>
    <mergeCell ref="I79:M79"/>
    <mergeCell ref="C75:G75"/>
    <mergeCell ref="I82:M82"/>
    <mergeCell ref="I83:M83"/>
    <mergeCell ref="I86:M86"/>
    <mergeCell ref="C74:G74"/>
    <mergeCell ref="I65:M65"/>
    <mergeCell ref="I69:M69"/>
    <mergeCell ref="I67:M67"/>
    <mergeCell ref="I68:M68"/>
    <mergeCell ref="I66:M66"/>
    <mergeCell ref="C29:G29"/>
    <mergeCell ref="C28:G28"/>
    <mergeCell ref="C63:G63"/>
    <mergeCell ref="C64:G64"/>
    <mergeCell ref="C61:G61"/>
    <mergeCell ref="C62:G62"/>
    <mergeCell ref="C60:G60"/>
    <mergeCell ref="C58:G58"/>
    <mergeCell ref="C59:G59"/>
    <mergeCell ref="I70:M70"/>
    <mergeCell ref="I72:M72"/>
    <mergeCell ref="I71:M71"/>
    <mergeCell ref="I75:M75"/>
    <mergeCell ref="I74:M74"/>
    <mergeCell ref="I63:M63"/>
    <mergeCell ref="I64:M64"/>
    <mergeCell ref="I61:M61"/>
    <mergeCell ref="I62:M62"/>
    <mergeCell ref="I60:M60"/>
    <mergeCell ref="I73:M73"/>
    <mergeCell ref="I48:M48"/>
    <mergeCell ref="I49:M49"/>
    <mergeCell ref="I46:M46"/>
    <mergeCell ref="I47:M47"/>
    <mergeCell ref="I50:M50"/>
    <mergeCell ref="C149:G149"/>
    <mergeCell ref="C145:G145"/>
    <mergeCell ref="C147:G147"/>
    <mergeCell ref="C148:G148"/>
    <mergeCell ref="C146:G146"/>
    <mergeCell ref="C150:G150"/>
    <mergeCell ref="C158:G158"/>
    <mergeCell ref="C159:G159"/>
    <mergeCell ref="C154:G154"/>
    <mergeCell ref="C155:G155"/>
    <mergeCell ref="C153:G153"/>
    <mergeCell ref="C152:G152"/>
    <mergeCell ref="C156:G156"/>
    <mergeCell ref="C157:G157"/>
    <mergeCell ref="C151:G151"/>
    <mergeCell ref="C176:G176"/>
    <mergeCell ref="C177:G177"/>
    <mergeCell ref="C179:G179"/>
    <mergeCell ref="C171:G171"/>
    <mergeCell ref="C168:G168"/>
    <mergeCell ref="C169:G169"/>
    <mergeCell ref="C167:G167"/>
    <mergeCell ref="C170:G170"/>
    <mergeCell ref="C178:G178"/>
    <mergeCell ref="C182:G182"/>
    <mergeCell ref="C183:G183"/>
    <mergeCell ref="C172:G172"/>
    <mergeCell ref="C173:G173"/>
    <mergeCell ref="C174:G174"/>
    <mergeCell ref="C175:G175"/>
    <mergeCell ref="C189:G189"/>
    <mergeCell ref="C188:G188"/>
    <mergeCell ref="C190:G190"/>
    <mergeCell ref="C187:G187"/>
    <mergeCell ref="C186:G186"/>
    <mergeCell ref="C184:G184"/>
    <mergeCell ref="C180:G180"/>
    <mergeCell ref="C181:G181"/>
    <mergeCell ref="C185:G185"/>
    <mergeCell ref="C163:G163"/>
    <mergeCell ref="C161:G161"/>
    <mergeCell ref="C160:G160"/>
    <mergeCell ref="C162:G162"/>
    <mergeCell ref="C165:G165"/>
    <mergeCell ref="C166:G166"/>
    <mergeCell ref="C164:G164"/>
    <mergeCell ref="I146:M146"/>
    <mergeCell ref="I147:M147"/>
    <mergeCell ref="I138:M138"/>
    <mergeCell ref="I139:M139"/>
    <mergeCell ref="I140:M140"/>
    <mergeCell ref="I137:M137"/>
    <mergeCell ref="I136:M136"/>
    <mergeCell ref="I141:M141"/>
    <mergeCell ref="I143:M143"/>
    <mergeCell ref="I142:M142"/>
    <mergeCell ref="C142:G142"/>
    <mergeCell ref="C143:G143"/>
    <mergeCell ref="C137:G137"/>
    <mergeCell ref="C136:G136"/>
    <mergeCell ref="I182:M182"/>
    <mergeCell ref="I178:M178"/>
    <mergeCell ref="I134:M134"/>
    <mergeCell ref="I132:M132"/>
    <mergeCell ref="I144:M144"/>
    <mergeCell ref="I145:M145"/>
    <mergeCell ref="C144:G144"/>
    <mergeCell ref="I150:M150"/>
    <mergeCell ref="I151:M151"/>
    <mergeCell ref="I171:M171"/>
    <mergeCell ref="I172:M172"/>
    <mergeCell ref="C140:G140"/>
    <mergeCell ref="C141:G141"/>
    <mergeCell ref="C139:G139"/>
    <mergeCell ref="C138:G138"/>
    <mergeCell ref="I149:M149"/>
    <mergeCell ref="I163:M163"/>
    <mergeCell ref="I157:M157"/>
    <mergeCell ref="I158:M158"/>
    <mergeCell ref="I154:M154"/>
    <mergeCell ref="I155:M155"/>
    <mergeCell ref="I156:M156"/>
    <mergeCell ref="I189:M189"/>
    <mergeCell ref="I190:M190"/>
    <mergeCell ref="I174:M174"/>
    <mergeCell ref="I170:M170"/>
    <mergeCell ref="I148:M148"/>
    <mergeCell ref="I192:M192"/>
    <mergeCell ref="I195:M195"/>
    <mergeCell ref="I196:M196"/>
    <mergeCell ref="I164:M164"/>
    <mergeCell ref="I181:M181"/>
    <mergeCell ref="I191:M191"/>
    <mergeCell ref="I169:M169"/>
    <mergeCell ref="I152:M152"/>
    <mergeCell ref="I153:M153"/>
    <mergeCell ref="I176:M176"/>
    <mergeCell ref="I175:M175"/>
    <mergeCell ref="I179:M179"/>
    <mergeCell ref="I180:M180"/>
    <mergeCell ref="I183:M183"/>
    <mergeCell ref="I184:M184"/>
    <mergeCell ref="I185:M185"/>
    <mergeCell ref="I186:M186"/>
    <mergeCell ref="I193:M193"/>
    <mergeCell ref="I194:M194"/>
    <mergeCell ref="I187:M187"/>
    <mergeCell ref="I188:M188"/>
    <mergeCell ref="C111:G111"/>
    <mergeCell ref="C112:G112"/>
    <mergeCell ref="I114:M114"/>
    <mergeCell ref="C110:G110"/>
    <mergeCell ref="C109:G109"/>
    <mergeCell ref="C108:G108"/>
    <mergeCell ref="C107:G107"/>
    <mergeCell ref="C106:G106"/>
    <mergeCell ref="C113:G113"/>
    <mergeCell ref="C31:G31"/>
    <mergeCell ref="C30:G30"/>
    <mergeCell ref="C27:G27"/>
    <mergeCell ref="C32:G32"/>
    <mergeCell ref="C35:G35"/>
    <mergeCell ref="C36:G36"/>
    <mergeCell ref="C34:G34"/>
    <mergeCell ref="C33:G33"/>
    <mergeCell ref="C37:G37"/>
    <mergeCell ref="C239:G239"/>
    <mergeCell ref="C237:G237"/>
    <mergeCell ref="C238:G238"/>
    <mergeCell ref="C230:G230"/>
    <mergeCell ref="C231:G231"/>
    <mergeCell ref="C242:G242"/>
    <mergeCell ref="C241:G241"/>
    <mergeCell ref="C221:G221"/>
    <mergeCell ref="C222:G222"/>
    <mergeCell ref="C240:G240"/>
    <mergeCell ref="C243:G243"/>
    <mergeCell ref="C244:G244"/>
    <mergeCell ref="C232:G232"/>
    <mergeCell ref="C229:G229"/>
    <mergeCell ref="C236:G236"/>
    <mergeCell ref="I225:M225"/>
    <mergeCell ref="I227:M227"/>
    <mergeCell ref="I226:M226"/>
    <mergeCell ref="I229:M229"/>
    <mergeCell ref="I228:M228"/>
    <mergeCell ref="I231:M231"/>
    <mergeCell ref="I230:M230"/>
    <mergeCell ref="I232:M232"/>
    <mergeCell ref="I221:M221"/>
    <mergeCell ref="I223:M223"/>
    <mergeCell ref="I222:M222"/>
    <mergeCell ref="I224:M224"/>
    <mergeCell ref="C223:G223"/>
    <mergeCell ref="C220:G220"/>
    <mergeCell ref="C224:G224"/>
    <mergeCell ref="C226:G226"/>
    <mergeCell ref="C225:G225"/>
    <mergeCell ref="C245:G245"/>
    <mergeCell ref="I245:M245"/>
    <mergeCell ref="I244:M244"/>
    <mergeCell ref="I243:M243"/>
    <mergeCell ref="C248:G248"/>
    <mergeCell ref="C249:G249"/>
    <mergeCell ref="C246:G246"/>
    <mergeCell ref="C247:G247"/>
    <mergeCell ref="I247:M247"/>
    <mergeCell ref="I248:M248"/>
    <mergeCell ref="I249:M249"/>
    <mergeCell ref="I246:M246"/>
    <mergeCell ref="C227:G227"/>
    <mergeCell ref="C228:G228"/>
    <mergeCell ref="I237:M237"/>
    <mergeCell ref="I238:M238"/>
    <mergeCell ref="I239:M239"/>
    <mergeCell ref="I240:M240"/>
    <mergeCell ref="I242:M242"/>
    <mergeCell ref="I241:M241"/>
    <mergeCell ref="C234:G234"/>
    <mergeCell ref="C235:G235"/>
    <mergeCell ref="I233:M233"/>
    <mergeCell ref="I234:M234"/>
    <mergeCell ref="C233:G233"/>
    <mergeCell ref="I236:M236"/>
    <mergeCell ref="I235:M235"/>
    <mergeCell ref="I160:M160"/>
    <mergeCell ref="I162:M162"/>
    <mergeCell ref="I161:M161"/>
    <mergeCell ref="I177:M177"/>
    <mergeCell ref="I173:M173"/>
    <mergeCell ref="I165:M165"/>
    <mergeCell ref="I166:M166"/>
    <mergeCell ref="I167:M167"/>
    <mergeCell ref="I168:M168"/>
    <mergeCell ref="I159:M15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358</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09:M109"/>
    <mergeCell ref="I112:M112"/>
    <mergeCell ref="I111:M111"/>
    <mergeCell ref="I110:M110"/>
    <mergeCell ref="I116:M116"/>
    <mergeCell ref="I117:M117"/>
    <mergeCell ref="I118:M118"/>
    <mergeCell ref="I125:M125"/>
    <mergeCell ref="I124:M124"/>
    <mergeCell ref="I122:M122"/>
    <mergeCell ref="I121:M121"/>
    <mergeCell ref="I123:M123"/>
    <mergeCell ref="I119:M119"/>
    <mergeCell ref="I120:M120"/>
    <mergeCell ref="I106:M106"/>
    <mergeCell ref="I108:M108"/>
    <mergeCell ref="I107:M107"/>
    <mergeCell ref="I135:M135"/>
    <mergeCell ref="I102:M102"/>
    <mergeCell ref="I103:M103"/>
    <mergeCell ref="I104:M104"/>
    <mergeCell ref="I105:M105"/>
    <mergeCell ref="I133:M133"/>
    <mergeCell ref="I113:M113"/>
    <mergeCell ref="C99:G99"/>
    <mergeCell ref="C98:G98"/>
    <mergeCell ref="I98:M98"/>
    <mergeCell ref="I99:M99"/>
    <mergeCell ref="I101:M101"/>
    <mergeCell ref="C102:G102"/>
    <mergeCell ref="C100:G100"/>
    <mergeCell ref="C101:G101"/>
    <mergeCell ref="C103:G103"/>
    <mergeCell ref="C104:G104"/>
    <mergeCell ref="C105:G105"/>
    <mergeCell ref="I100:M100"/>
    <mergeCell ref="I128:M128"/>
    <mergeCell ref="C128:G128"/>
    <mergeCell ref="C130:G130"/>
    <mergeCell ref="C129:G129"/>
    <mergeCell ref="C124:G124"/>
    <mergeCell ref="C122:G122"/>
    <mergeCell ref="C123:G123"/>
    <mergeCell ref="C121:G121"/>
    <mergeCell ref="C120:G120"/>
    <mergeCell ref="I129:M129"/>
    <mergeCell ref="I130:M130"/>
    <mergeCell ref="C116:G116"/>
    <mergeCell ref="I127:M127"/>
    <mergeCell ref="I126:M126"/>
    <mergeCell ref="C125:G125"/>
    <mergeCell ref="C117:G117"/>
    <mergeCell ref="I81:M81"/>
    <mergeCell ref="I80:M80"/>
    <mergeCell ref="C79:G79"/>
    <mergeCell ref="C80:G80"/>
    <mergeCell ref="C82:G82"/>
    <mergeCell ref="C81:G81"/>
    <mergeCell ref="C83:G83"/>
    <mergeCell ref="I77:M77"/>
    <mergeCell ref="I76:M76"/>
    <mergeCell ref="C77:G77"/>
    <mergeCell ref="C78:G78"/>
    <mergeCell ref="C76:G76"/>
    <mergeCell ref="I115:M115"/>
    <mergeCell ref="C115:G115"/>
    <mergeCell ref="C114:G114"/>
    <mergeCell ref="C118:G118"/>
    <mergeCell ref="C119:G119"/>
    <mergeCell ref="I131:M131"/>
    <mergeCell ref="C133:G133"/>
    <mergeCell ref="C134:G134"/>
    <mergeCell ref="C132:G132"/>
    <mergeCell ref="C135:G135"/>
    <mergeCell ref="C131:G131"/>
    <mergeCell ref="C127:G127"/>
    <mergeCell ref="C126:G126"/>
    <mergeCell ref="I91:M91"/>
    <mergeCell ref="C91:G91"/>
    <mergeCell ref="C90:G90"/>
    <mergeCell ref="C93:G93"/>
    <mergeCell ref="C92:G92"/>
    <mergeCell ref="I84:M84"/>
    <mergeCell ref="I85:M85"/>
    <mergeCell ref="I90:M90"/>
    <mergeCell ref="C97:G97"/>
    <mergeCell ref="C88:G88"/>
    <mergeCell ref="C89:G89"/>
    <mergeCell ref="I97:M97"/>
    <mergeCell ref="C94:G94"/>
    <mergeCell ref="C95:G95"/>
    <mergeCell ref="C84:G84"/>
    <mergeCell ref="C85:G85"/>
    <mergeCell ref="C87:G87"/>
    <mergeCell ref="C86:G86"/>
    <mergeCell ref="I89:M89"/>
    <mergeCell ref="I87:M87"/>
    <mergeCell ref="I88:M88"/>
    <mergeCell ref="I92:M92"/>
    <mergeCell ref="I93:M93"/>
    <mergeCell ref="C96:G96"/>
    <mergeCell ref="I96:M96"/>
    <mergeCell ref="I94:M94"/>
    <mergeCell ref="I95:M95"/>
    <mergeCell ref="I212:M212"/>
    <mergeCell ref="I207:M207"/>
    <mergeCell ref="I209:M209"/>
    <mergeCell ref="I210:M210"/>
    <mergeCell ref="I208:M208"/>
    <mergeCell ref="I211:M211"/>
    <mergeCell ref="I204:M204"/>
    <mergeCell ref="C212:G212"/>
    <mergeCell ref="C211:G211"/>
    <mergeCell ref="I206:M206"/>
    <mergeCell ref="I205:M205"/>
    <mergeCell ref="C209:G209"/>
    <mergeCell ref="C210:G210"/>
    <mergeCell ref="C213:G213"/>
    <mergeCell ref="C208:G208"/>
    <mergeCell ref="C207:G207"/>
    <mergeCell ref="I202:M202"/>
    <mergeCell ref="I203:M203"/>
    <mergeCell ref="C202:G202"/>
    <mergeCell ref="C203:G203"/>
    <mergeCell ref="C204:G204"/>
    <mergeCell ref="I213:M213"/>
    <mergeCell ref="I214:M214"/>
    <mergeCell ref="I217:M217"/>
    <mergeCell ref="I218:M218"/>
    <mergeCell ref="I219:M219"/>
    <mergeCell ref="I220:M220"/>
    <mergeCell ref="I216:M216"/>
    <mergeCell ref="I215:M215"/>
    <mergeCell ref="C198:G198"/>
    <mergeCell ref="C197:G197"/>
    <mergeCell ref="C193:G193"/>
    <mergeCell ref="C196:G196"/>
    <mergeCell ref="C195:G195"/>
    <mergeCell ref="C191:G191"/>
    <mergeCell ref="C192:G192"/>
    <mergeCell ref="C199:G199"/>
    <mergeCell ref="C200:G200"/>
    <mergeCell ref="I197:M197"/>
    <mergeCell ref="I199:M199"/>
    <mergeCell ref="I200:M200"/>
    <mergeCell ref="I198:M198"/>
    <mergeCell ref="I201:M201"/>
    <mergeCell ref="C201:G201"/>
    <mergeCell ref="C194:G194"/>
    <mergeCell ref="C217:G217"/>
    <mergeCell ref="C216:G216"/>
    <mergeCell ref="C215:G215"/>
    <mergeCell ref="C218:G218"/>
    <mergeCell ref="C219:G219"/>
    <mergeCell ref="C214:G214"/>
    <mergeCell ref="C205:G205"/>
    <mergeCell ref="C206:G206"/>
    <mergeCell ref="C48:G48"/>
    <mergeCell ref="C49:G49"/>
    <mergeCell ref="C47:G47"/>
    <mergeCell ref="C53:G53"/>
    <mergeCell ref="C52:G52"/>
    <mergeCell ref="C50:G50"/>
    <mergeCell ref="C51:G51"/>
    <mergeCell ref="C54:G54"/>
    <mergeCell ref="C46:G46"/>
    <mergeCell ref="C45:G45"/>
    <mergeCell ref="C43:G43"/>
    <mergeCell ref="C42:G42"/>
    <mergeCell ref="C41:G41"/>
    <mergeCell ref="C44:G44"/>
    <mergeCell ref="C38:G38"/>
    <mergeCell ref="I37:M37"/>
    <mergeCell ref="I36:M36"/>
    <mergeCell ref="I28:M28"/>
    <mergeCell ref="I29:M29"/>
    <mergeCell ref="I26:M26"/>
    <mergeCell ref="I27:M27"/>
    <mergeCell ref="I31:M31"/>
    <mergeCell ref="I30:M30"/>
    <mergeCell ref="I34:M34"/>
    <mergeCell ref="I35:M35"/>
    <mergeCell ref="I33:M33"/>
    <mergeCell ref="I32:M32"/>
    <mergeCell ref="I24:M24"/>
    <mergeCell ref="I25:M25"/>
    <mergeCell ref="I23:M23"/>
    <mergeCell ref="C23:G23"/>
    <mergeCell ref="C24:G24"/>
    <mergeCell ref="C25:G25"/>
    <mergeCell ref="C26:G26"/>
    <mergeCell ref="C1:J1"/>
    <mergeCell ref="C2:G2"/>
    <mergeCell ref="H2:L2"/>
    <mergeCell ref="C71:G71"/>
    <mergeCell ref="C70:G70"/>
    <mergeCell ref="C65:G65"/>
    <mergeCell ref="C68:G68"/>
    <mergeCell ref="C67:G67"/>
    <mergeCell ref="C66:G66"/>
    <mergeCell ref="C72:G72"/>
    <mergeCell ref="C73:G73"/>
    <mergeCell ref="C69:G69"/>
    <mergeCell ref="I55:M55"/>
    <mergeCell ref="I51:M51"/>
    <mergeCell ref="I52:M52"/>
    <mergeCell ref="I54:M54"/>
    <mergeCell ref="I53:M53"/>
    <mergeCell ref="C57:G57"/>
    <mergeCell ref="C56:G56"/>
    <mergeCell ref="C55:G55"/>
    <mergeCell ref="I58:M58"/>
    <mergeCell ref="I59:M59"/>
    <mergeCell ref="I57:M57"/>
    <mergeCell ref="I56:M56"/>
    <mergeCell ref="I43:M43"/>
    <mergeCell ref="I42:M42"/>
    <mergeCell ref="C39:G39"/>
    <mergeCell ref="C40:G40"/>
    <mergeCell ref="I39:M39"/>
    <mergeCell ref="I38:M38"/>
    <mergeCell ref="I40:M40"/>
    <mergeCell ref="I45:M45"/>
    <mergeCell ref="I44:M44"/>
    <mergeCell ref="I41:M41"/>
    <mergeCell ref="I78:M78"/>
    <mergeCell ref="I79:M79"/>
    <mergeCell ref="C75:G75"/>
    <mergeCell ref="I82:M82"/>
    <mergeCell ref="I83:M83"/>
    <mergeCell ref="I86:M86"/>
    <mergeCell ref="C74:G74"/>
    <mergeCell ref="I65:M65"/>
    <mergeCell ref="I69:M69"/>
    <mergeCell ref="I67:M67"/>
    <mergeCell ref="I68:M68"/>
    <mergeCell ref="I66:M66"/>
    <mergeCell ref="C29:G29"/>
    <mergeCell ref="C28:G28"/>
    <mergeCell ref="C63:G63"/>
    <mergeCell ref="C64:G64"/>
    <mergeCell ref="C61:G61"/>
    <mergeCell ref="C62:G62"/>
    <mergeCell ref="C60:G60"/>
    <mergeCell ref="C58:G58"/>
    <mergeCell ref="C59:G59"/>
    <mergeCell ref="I70:M70"/>
    <mergeCell ref="I72:M72"/>
    <mergeCell ref="I71:M71"/>
    <mergeCell ref="I75:M75"/>
    <mergeCell ref="I74:M74"/>
    <mergeCell ref="I63:M63"/>
    <mergeCell ref="I64:M64"/>
    <mergeCell ref="I61:M61"/>
    <mergeCell ref="I62:M62"/>
    <mergeCell ref="I60:M60"/>
    <mergeCell ref="I73:M73"/>
    <mergeCell ref="I48:M48"/>
    <mergeCell ref="I49:M49"/>
    <mergeCell ref="I46:M46"/>
    <mergeCell ref="I47:M47"/>
    <mergeCell ref="I50:M50"/>
    <mergeCell ref="C149:G149"/>
    <mergeCell ref="C145:G145"/>
    <mergeCell ref="C147:G147"/>
    <mergeCell ref="C148:G148"/>
    <mergeCell ref="C146:G146"/>
    <mergeCell ref="C150:G150"/>
    <mergeCell ref="C158:G158"/>
    <mergeCell ref="C159:G159"/>
    <mergeCell ref="C154:G154"/>
    <mergeCell ref="C155:G155"/>
    <mergeCell ref="C153:G153"/>
    <mergeCell ref="C152:G152"/>
    <mergeCell ref="C156:G156"/>
    <mergeCell ref="C157:G157"/>
    <mergeCell ref="C151:G151"/>
    <mergeCell ref="C176:G176"/>
    <mergeCell ref="C177:G177"/>
    <mergeCell ref="C179:G179"/>
    <mergeCell ref="C171:G171"/>
    <mergeCell ref="C168:G168"/>
    <mergeCell ref="C169:G169"/>
    <mergeCell ref="C167:G167"/>
    <mergeCell ref="C170:G170"/>
    <mergeCell ref="C178:G178"/>
    <mergeCell ref="C182:G182"/>
    <mergeCell ref="C183:G183"/>
    <mergeCell ref="C172:G172"/>
    <mergeCell ref="C173:G173"/>
    <mergeCell ref="C174:G174"/>
    <mergeCell ref="C175:G175"/>
    <mergeCell ref="C189:G189"/>
    <mergeCell ref="C188:G188"/>
    <mergeCell ref="C190:G190"/>
    <mergeCell ref="C187:G187"/>
    <mergeCell ref="C186:G186"/>
    <mergeCell ref="C184:G184"/>
    <mergeCell ref="C180:G180"/>
    <mergeCell ref="C181:G181"/>
    <mergeCell ref="C185:G185"/>
    <mergeCell ref="C163:G163"/>
    <mergeCell ref="C161:G161"/>
    <mergeCell ref="C160:G160"/>
    <mergeCell ref="C162:G162"/>
    <mergeCell ref="C165:G165"/>
    <mergeCell ref="C166:G166"/>
    <mergeCell ref="C164:G164"/>
    <mergeCell ref="I146:M146"/>
    <mergeCell ref="I147:M147"/>
    <mergeCell ref="I138:M138"/>
    <mergeCell ref="I139:M139"/>
    <mergeCell ref="I140:M140"/>
    <mergeCell ref="I137:M137"/>
    <mergeCell ref="I136:M136"/>
    <mergeCell ref="I141:M141"/>
    <mergeCell ref="I143:M143"/>
    <mergeCell ref="I142:M142"/>
    <mergeCell ref="C142:G142"/>
    <mergeCell ref="C143:G143"/>
    <mergeCell ref="C137:G137"/>
    <mergeCell ref="C136:G136"/>
    <mergeCell ref="I182:M182"/>
    <mergeCell ref="I178:M178"/>
    <mergeCell ref="I134:M134"/>
    <mergeCell ref="I132:M132"/>
    <mergeCell ref="I144:M144"/>
    <mergeCell ref="I145:M145"/>
    <mergeCell ref="C144:G144"/>
    <mergeCell ref="I150:M150"/>
    <mergeCell ref="I151:M151"/>
    <mergeCell ref="I171:M171"/>
    <mergeCell ref="I172:M172"/>
    <mergeCell ref="C140:G140"/>
    <mergeCell ref="C141:G141"/>
    <mergeCell ref="C139:G139"/>
    <mergeCell ref="C138:G138"/>
    <mergeCell ref="I149:M149"/>
    <mergeCell ref="I163:M163"/>
    <mergeCell ref="I157:M157"/>
    <mergeCell ref="I158:M158"/>
    <mergeCell ref="I154:M154"/>
    <mergeCell ref="I155:M155"/>
    <mergeCell ref="I156:M156"/>
    <mergeCell ref="I189:M189"/>
    <mergeCell ref="I190:M190"/>
    <mergeCell ref="I174:M174"/>
    <mergeCell ref="I170:M170"/>
    <mergeCell ref="I148:M148"/>
    <mergeCell ref="I192:M192"/>
    <mergeCell ref="I195:M195"/>
    <mergeCell ref="I196:M196"/>
    <mergeCell ref="I164:M164"/>
    <mergeCell ref="I181:M181"/>
    <mergeCell ref="I191:M191"/>
    <mergeCell ref="I169:M169"/>
    <mergeCell ref="I152:M152"/>
    <mergeCell ref="I153:M153"/>
    <mergeCell ref="I176:M176"/>
    <mergeCell ref="I175:M175"/>
    <mergeCell ref="I179:M179"/>
    <mergeCell ref="I180:M180"/>
    <mergeCell ref="I183:M183"/>
    <mergeCell ref="I184:M184"/>
    <mergeCell ref="I185:M185"/>
    <mergeCell ref="I186:M186"/>
    <mergeCell ref="I193:M193"/>
    <mergeCell ref="I194:M194"/>
    <mergeCell ref="I187:M187"/>
    <mergeCell ref="I188:M188"/>
    <mergeCell ref="C111:G111"/>
    <mergeCell ref="C112:G112"/>
    <mergeCell ref="I114:M114"/>
    <mergeCell ref="C110:G110"/>
    <mergeCell ref="C109:G109"/>
    <mergeCell ref="C108:G108"/>
    <mergeCell ref="C107:G107"/>
    <mergeCell ref="C106:G106"/>
    <mergeCell ref="C113:G113"/>
    <mergeCell ref="C31:G31"/>
    <mergeCell ref="C30:G30"/>
    <mergeCell ref="C27:G27"/>
    <mergeCell ref="C32:G32"/>
    <mergeCell ref="C35:G35"/>
    <mergeCell ref="C36:G36"/>
    <mergeCell ref="C34:G34"/>
    <mergeCell ref="C33:G33"/>
    <mergeCell ref="C37:G37"/>
    <mergeCell ref="C239:G239"/>
    <mergeCell ref="C237:G237"/>
    <mergeCell ref="C238:G238"/>
    <mergeCell ref="C230:G230"/>
    <mergeCell ref="C231:G231"/>
    <mergeCell ref="C242:G242"/>
    <mergeCell ref="C241:G241"/>
    <mergeCell ref="C221:G221"/>
    <mergeCell ref="C222:G222"/>
    <mergeCell ref="C240:G240"/>
    <mergeCell ref="C243:G243"/>
    <mergeCell ref="C244:G244"/>
    <mergeCell ref="C232:G232"/>
    <mergeCell ref="C229:G229"/>
    <mergeCell ref="C236:G236"/>
    <mergeCell ref="I225:M225"/>
    <mergeCell ref="I227:M227"/>
    <mergeCell ref="I226:M226"/>
    <mergeCell ref="I229:M229"/>
    <mergeCell ref="I228:M228"/>
    <mergeCell ref="I231:M231"/>
    <mergeCell ref="I230:M230"/>
    <mergeCell ref="I232:M232"/>
    <mergeCell ref="I221:M221"/>
    <mergeCell ref="I223:M223"/>
    <mergeCell ref="I222:M222"/>
    <mergeCell ref="I224:M224"/>
    <mergeCell ref="C223:G223"/>
    <mergeCell ref="C220:G220"/>
    <mergeCell ref="C224:G224"/>
    <mergeCell ref="C226:G226"/>
    <mergeCell ref="C225:G225"/>
    <mergeCell ref="C245:G245"/>
    <mergeCell ref="I245:M245"/>
    <mergeCell ref="I244:M244"/>
    <mergeCell ref="I243:M243"/>
    <mergeCell ref="C248:G248"/>
    <mergeCell ref="C249:G249"/>
    <mergeCell ref="C246:G246"/>
    <mergeCell ref="C247:G247"/>
    <mergeCell ref="I247:M247"/>
    <mergeCell ref="I248:M248"/>
    <mergeCell ref="I249:M249"/>
    <mergeCell ref="I246:M246"/>
    <mergeCell ref="C227:G227"/>
    <mergeCell ref="C228:G228"/>
    <mergeCell ref="I237:M237"/>
    <mergeCell ref="I238:M238"/>
    <mergeCell ref="I239:M239"/>
    <mergeCell ref="I240:M240"/>
    <mergeCell ref="I242:M242"/>
    <mergeCell ref="I241:M241"/>
    <mergeCell ref="C234:G234"/>
    <mergeCell ref="C235:G235"/>
    <mergeCell ref="I233:M233"/>
    <mergeCell ref="I234:M234"/>
    <mergeCell ref="C233:G233"/>
    <mergeCell ref="I236:M236"/>
    <mergeCell ref="I235:M235"/>
    <mergeCell ref="I160:M160"/>
    <mergeCell ref="I162:M162"/>
    <mergeCell ref="I161:M161"/>
    <mergeCell ref="I177:M177"/>
    <mergeCell ref="I173:M173"/>
    <mergeCell ref="I165:M165"/>
    <mergeCell ref="I166:M166"/>
    <mergeCell ref="I167:M167"/>
    <mergeCell ref="I168:M168"/>
    <mergeCell ref="I159:M15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359</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207:G207"/>
    <mergeCell ref="C205:G205"/>
    <mergeCell ref="C206:G206"/>
    <mergeCell ref="C212:G212"/>
    <mergeCell ref="C211:G211"/>
    <mergeCell ref="C209:G209"/>
    <mergeCell ref="C210:G210"/>
    <mergeCell ref="C213:G213"/>
    <mergeCell ref="C208:G208"/>
    <mergeCell ref="C214:G214"/>
    <mergeCell ref="C191:G191"/>
    <mergeCell ref="C176:G176"/>
    <mergeCell ref="C177:G177"/>
    <mergeCell ref="C179:G179"/>
    <mergeCell ref="C178:G178"/>
    <mergeCell ref="C182:G182"/>
    <mergeCell ref="C183:G183"/>
    <mergeCell ref="C185:G185"/>
    <mergeCell ref="C163:G163"/>
    <mergeCell ref="C161:G161"/>
    <mergeCell ref="C162:G162"/>
    <mergeCell ref="C160:G160"/>
    <mergeCell ref="C165:G165"/>
    <mergeCell ref="C164:G164"/>
    <mergeCell ref="C193:G193"/>
    <mergeCell ref="C192:G192"/>
    <mergeCell ref="C145:G145"/>
    <mergeCell ref="C147:G147"/>
    <mergeCell ref="C148:G148"/>
    <mergeCell ref="C146:G146"/>
    <mergeCell ref="C151:G151"/>
    <mergeCell ref="C166:G166"/>
    <mergeCell ref="C158:G158"/>
    <mergeCell ref="C159:G159"/>
    <mergeCell ref="C154:G154"/>
    <mergeCell ref="C155:G155"/>
    <mergeCell ref="C153:G153"/>
    <mergeCell ref="C152:G152"/>
    <mergeCell ref="C156:G156"/>
    <mergeCell ref="C157:G157"/>
    <mergeCell ref="C171:G171"/>
    <mergeCell ref="C168:G168"/>
    <mergeCell ref="C169:G169"/>
    <mergeCell ref="C170:G170"/>
    <mergeCell ref="C167:G167"/>
    <mergeCell ref="C172:G172"/>
    <mergeCell ref="C173:G173"/>
    <mergeCell ref="C174:G174"/>
    <mergeCell ref="C186:G186"/>
    <mergeCell ref="C184:G184"/>
    <mergeCell ref="C195:G195"/>
    <mergeCell ref="C194:G194"/>
    <mergeCell ref="C175:G175"/>
    <mergeCell ref="C189:G189"/>
    <mergeCell ref="C188:G188"/>
    <mergeCell ref="C190:G190"/>
    <mergeCell ref="C187:G187"/>
    <mergeCell ref="C139:G139"/>
    <mergeCell ref="C138:G138"/>
    <mergeCell ref="C149:G149"/>
    <mergeCell ref="C150:G150"/>
    <mergeCell ref="C142:G142"/>
    <mergeCell ref="C143:G143"/>
    <mergeCell ref="C137:G137"/>
    <mergeCell ref="C136:G136"/>
    <mergeCell ref="C144:G144"/>
    <mergeCell ref="C93:G93"/>
    <mergeCell ref="C92:G92"/>
    <mergeCell ref="C83:G83"/>
    <mergeCell ref="C88:G88"/>
    <mergeCell ref="C84:G84"/>
    <mergeCell ref="C85:G85"/>
    <mergeCell ref="C87:G87"/>
    <mergeCell ref="C86:G86"/>
    <mergeCell ref="C97:G97"/>
    <mergeCell ref="C94:G94"/>
    <mergeCell ref="C95:G95"/>
    <mergeCell ref="C96:G96"/>
    <mergeCell ref="C180:G180"/>
    <mergeCell ref="C181:G181"/>
    <mergeCell ref="C140:G140"/>
    <mergeCell ref="C141:G141"/>
    <mergeCell ref="C111:G111"/>
    <mergeCell ref="C112:G112"/>
    <mergeCell ref="C110:G110"/>
    <mergeCell ref="C109:G109"/>
    <mergeCell ref="C108:G108"/>
    <mergeCell ref="C107:G107"/>
    <mergeCell ref="C106:G106"/>
    <mergeCell ref="C113:G113"/>
    <mergeCell ref="C100:G100"/>
    <mergeCell ref="C101:G101"/>
    <mergeCell ref="C79:G79"/>
    <mergeCell ref="C80:G80"/>
    <mergeCell ref="C82:G82"/>
    <mergeCell ref="C81:G81"/>
    <mergeCell ref="C89:G89"/>
    <mergeCell ref="C238:G238"/>
    <mergeCell ref="C229:G229"/>
    <mergeCell ref="C234:G234"/>
    <mergeCell ref="C235:G235"/>
    <mergeCell ref="C233:G233"/>
    <mergeCell ref="C217:G217"/>
    <mergeCell ref="C216:G216"/>
    <mergeCell ref="C215:G215"/>
    <mergeCell ref="C218:G218"/>
    <mergeCell ref="C239:G239"/>
    <mergeCell ref="C240:G240"/>
    <mergeCell ref="C223:G223"/>
    <mergeCell ref="C237:G237"/>
    <mergeCell ref="C230:G230"/>
    <mergeCell ref="C231:G231"/>
    <mergeCell ref="C232:G232"/>
    <mergeCell ref="C236:G236"/>
    <mergeCell ref="C221:G221"/>
    <mergeCell ref="C222:G222"/>
    <mergeCell ref="C219:G219"/>
    <mergeCell ref="C220:G220"/>
    <mergeCell ref="C224:G224"/>
    <mergeCell ref="C226:G226"/>
    <mergeCell ref="C225:G225"/>
    <mergeCell ref="C246:G246"/>
    <mergeCell ref="C247:G247"/>
    <mergeCell ref="C242:G242"/>
    <mergeCell ref="C241:G241"/>
    <mergeCell ref="C243:G243"/>
    <mergeCell ref="C244:G244"/>
    <mergeCell ref="C245:G245"/>
    <mergeCell ref="C248:G248"/>
    <mergeCell ref="C249:G249"/>
    <mergeCell ref="C227:G227"/>
    <mergeCell ref="C228:G228"/>
    <mergeCell ref="C51:G51"/>
    <mergeCell ref="I51:M51"/>
    <mergeCell ref="I55:M55"/>
    <mergeCell ref="I54:M54"/>
    <mergeCell ref="I58:M58"/>
    <mergeCell ref="I59:M59"/>
    <mergeCell ref="I57:M57"/>
    <mergeCell ref="I56:M56"/>
    <mergeCell ref="C54:G54"/>
    <mergeCell ref="C57:G57"/>
    <mergeCell ref="C56:G56"/>
    <mergeCell ref="C55:G55"/>
    <mergeCell ref="C58:G58"/>
    <mergeCell ref="C59:G59"/>
    <mergeCell ref="I48:M48"/>
    <mergeCell ref="I49:M49"/>
    <mergeCell ref="C48:G48"/>
    <mergeCell ref="C49:G49"/>
    <mergeCell ref="C53:G53"/>
    <mergeCell ref="C52:G52"/>
    <mergeCell ref="C50:G50"/>
    <mergeCell ref="I52:M52"/>
    <mergeCell ref="I53:M53"/>
    <mergeCell ref="I50:M50"/>
    <mergeCell ref="I45:M45"/>
    <mergeCell ref="I44:M44"/>
    <mergeCell ref="I34:M34"/>
    <mergeCell ref="I35:M35"/>
    <mergeCell ref="I43:M43"/>
    <mergeCell ref="I42:M42"/>
    <mergeCell ref="I39:M39"/>
    <mergeCell ref="I38:M38"/>
    <mergeCell ref="I40:M40"/>
    <mergeCell ref="I41:M41"/>
    <mergeCell ref="C39:G39"/>
    <mergeCell ref="C40:G40"/>
    <mergeCell ref="C47:G47"/>
    <mergeCell ref="C46:G46"/>
    <mergeCell ref="C45:G45"/>
    <mergeCell ref="C43:G43"/>
    <mergeCell ref="C42:G42"/>
    <mergeCell ref="C41:G41"/>
    <mergeCell ref="C44:G44"/>
    <mergeCell ref="C27:G27"/>
    <mergeCell ref="C32:G32"/>
    <mergeCell ref="C35:G35"/>
    <mergeCell ref="C36:G36"/>
    <mergeCell ref="C34:G34"/>
    <mergeCell ref="C33:G33"/>
    <mergeCell ref="C38:G38"/>
    <mergeCell ref="I37:M37"/>
    <mergeCell ref="I36:M36"/>
    <mergeCell ref="I28:M28"/>
    <mergeCell ref="I26:M26"/>
    <mergeCell ref="I27:M27"/>
    <mergeCell ref="C26:G26"/>
    <mergeCell ref="C37:G37"/>
    <mergeCell ref="I31:M31"/>
    <mergeCell ref="I30:M30"/>
    <mergeCell ref="I33:M33"/>
    <mergeCell ref="I32:M32"/>
    <mergeCell ref="C2:G2"/>
    <mergeCell ref="H2:L2"/>
    <mergeCell ref="I24:M24"/>
    <mergeCell ref="I25:M25"/>
    <mergeCell ref="I23:M23"/>
    <mergeCell ref="C23:G23"/>
    <mergeCell ref="C24:G24"/>
    <mergeCell ref="C25:G25"/>
    <mergeCell ref="C1:J1"/>
    <mergeCell ref="I29:M29"/>
    <mergeCell ref="C29:G29"/>
    <mergeCell ref="I46:M46"/>
    <mergeCell ref="I47:M47"/>
    <mergeCell ref="C28:G28"/>
    <mergeCell ref="C31:G31"/>
    <mergeCell ref="C30:G30"/>
    <mergeCell ref="I212:M212"/>
    <mergeCell ref="I207:M207"/>
    <mergeCell ref="I209:M209"/>
    <mergeCell ref="I210:M210"/>
    <mergeCell ref="I208:M208"/>
    <mergeCell ref="I211:M211"/>
    <mergeCell ref="I204:M204"/>
    <mergeCell ref="I202:M202"/>
    <mergeCell ref="I203:M203"/>
    <mergeCell ref="I197:M197"/>
    <mergeCell ref="I199:M199"/>
    <mergeCell ref="I200:M200"/>
    <mergeCell ref="I198:M198"/>
    <mergeCell ref="I201:M201"/>
    <mergeCell ref="I141:M141"/>
    <mergeCell ref="I143:M143"/>
    <mergeCell ref="I142:M142"/>
    <mergeCell ref="I146:M146"/>
    <mergeCell ref="I147:M147"/>
    <mergeCell ref="I138:M138"/>
    <mergeCell ref="I139:M139"/>
    <mergeCell ref="I140:M140"/>
    <mergeCell ref="I137:M137"/>
    <mergeCell ref="I136:M136"/>
    <mergeCell ref="I152:M152"/>
    <mergeCell ref="I153:M153"/>
    <mergeCell ref="I144:M144"/>
    <mergeCell ref="I145:M145"/>
    <mergeCell ref="I150:M150"/>
    <mergeCell ref="I151:M151"/>
    <mergeCell ref="I157:M157"/>
    <mergeCell ref="I158:M158"/>
    <mergeCell ref="I156:M156"/>
    <mergeCell ref="I116:M116"/>
    <mergeCell ref="I115:M115"/>
    <mergeCell ref="I206:M206"/>
    <mergeCell ref="I205:M205"/>
    <mergeCell ref="I192:M192"/>
    <mergeCell ref="I195:M195"/>
    <mergeCell ref="I196:M196"/>
    <mergeCell ref="I191:M191"/>
    <mergeCell ref="I193:M193"/>
    <mergeCell ref="I194:M194"/>
    <mergeCell ref="I112:M112"/>
    <mergeCell ref="I111:M111"/>
    <mergeCell ref="I110:M110"/>
    <mergeCell ref="I117:M117"/>
    <mergeCell ref="I118:M118"/>
    <mergeCell ref="I107:M107"/>
    <mergeCell ref="I113:M113"/>
    <mergeCell ref="I114:M114"/>
    <mergeCell ref="I134:M134"/>
    <mergeCell ref="I132:M132"/>
    <mergeCell ref="I149:M149"/>
    <mergeCell ref="I148:M148"/>
    <mergeCell ref="I213:M213"/>
    <mergeCell ref="I214:M214"/>
    <mergeCell ref="I217:M217"/>
    <mergeCell ref="I218:M218"/>
    <mergeCell ref="I219:M219"/>
    <mergeCell ref="I216:M216"/>
    <mergeCell ref="I215:M215"/>
    <mergeCell ref="I167:M167"/>
    <mergeCell ref="I168:M168"/>
    <mergeCell ref="I154:M154"/>
    <mergeCell ref="I155:M155"/>
    <mergeCell ref="I160:M160"/>
    <mergeCell ref="I162:M162"/>
    <mergeCell ref="I161:M161"/>
    <mergeCell ref="I165:M165"/>
    <mergeCell ref="I166:M166"/>
    <mergeCell ref="I159:M159"/>
    <mergeCell ref="I236:M236"/>
    <mergeCell ref="I235:M235"/>
    <mergeCell ref="I231:M231"/>
    <mergeCell ref="I232:M232"/>
    <mergeCell ref="I245:M245"/>
    <mergeCell ref="I244:M244"/>
    <mergeCell ref="I243:M243"/>
    <mergeCell ref="I248:M248"/>
    <mergeCell ref="I249:M249"/>
    <mergeCell ref="I221:M221"/>
    <mergeCell ref="I223:M223"/>
    <mergeCell ref="I222:M222"/>
    <mergeCell ref="I220:M220"/>
    <mergeCell ref="I225:M225"/>
    <mergeCell ref="I227:M227"/>
    <mergeCell ref="I226:M226"/>
    <mergeCell ref="I229:M229"/>
    <mergeCell ref="I228:M228"/>
    <mergeCell ref="I230:M230"/>
    <mergeCell ref="I224:M224"/>
    <mergeCell ref="I247:M247"/>
    <mergeCell ref="I246:M246"/>
    <mergeCell ref="I237:M237"/>
    <mergeCell ref="I238:M238"/>
    <mergeCell ref="I239:M239"/>
    <mergeCell ref="I240:M240"/>
    <mergeCell ref="I242:M242"/>
    <mergeCell ref="I241:M241"/>
    <mergeCell ref="I233:M233"/>
    <mergeCell ref="I234:M234"/>
    <mergeCell ref="I174:M174"/>
    <mergeCell ref="I176:M176"/>
    <mergeCell ref="I175:M175"/>
    <mergeCell ref="I178:M178"/>
    <mergeCell ref="I163:M163"/>
    <mergeCell ref="I189:M189"/>
    <mergeCell ref="I190:M190"/>
    <mergeCell ref="I164:M164"/>
    <mergeCell ref="I169:M169"/>
    <mergeCell ref="I177:M177"/>
    <mergeCell ref="I171:M171"/>
    <mergeCell ref="I170:M170"/>
    <mergeCell ref="I182:M182"/>
    <mergeCell ref="I181:M181"/>
    <mergeCell ref="I179:M179"/>
    <mergeCell ref="I180:M180"/>
    <mergeCell ref="I183:M183"/>
    <mergeCell ref="I184:M184"/>
    <mergeCell ref="I185:M185"/>
    <mergeCell ref="I186:M186"/>
    <mergeCell ref="I187:M187"/>
    <mergeCell ref="I188:M188"/>
    <mergeCell ref="I172:M172"/>
    <mergeCell ref="I173:M173"/>
    <mergeCell ref="I102:M102"/>
    <mergeCell ref="C102:G102"/>
    <mergeCell ref="I101:M101"/>
    <mergeCell ref="I100:M100"/>
    <mergeCell ref="I106:M106"/>
    <mergeCell ref="I103:M103"/>
    <mergeCell ref="I104:M104"/>
    <mergeCell ref="I105:M105"/>
    <mergeCell ref="C99:G99"/>
    <mergeCell ref="C98:G98"/>
    <mergeCell ref="C105:G105"/>
    <mergeCell ref="I129:M129"/>
    <mergeCell ref="I130:M130"/>
    <mergeCell ref="I125:M125"/>
    <mergeCell ref="I124:M124"/>
    <mergeCell ref="I122:M122"/>
    <mergeCell ref="I121:M121"/>
    <mergeCell ref="I123:M123"/>
    <mergeCell ref="I135:M135"/>
    <mergeCell ref="I133:M133"/>
    <mergeCell ref="I131:M131"/>
    <mergeCell ref="I127:M127"/>
    <mergeCell ref="I126:M126"/>
    <mergeCell ref="C130:G130"/>
    <mergeCell ref="C133:G133"/>
    <mergeCell ref="C134:G134"/>
    <mergeCell ref="C132:G132"/>
    <mergeCell ref="C135:G135"/>
    <mergeCell ref="C131:G131"/>
    <mergeCell ref="C127:G127"/>
    <mergeCell ref="C126:G126"/>
    <mergeCell ref="I128:M128"/>
    <mergeCell ref="C128:G128"/>
    <mergeCell ref="C129:G129"/>
    <mergeCell ref="C124:G124"/>
    <mergeCell ref="C122:G122"/>
    <mergeCell ref="C123:G123"/>
    <mergeCell ref="C125:G125"/>
    <mergeCell ref="I98:M98"/>
    <mergeCell ref="I97:M97"/>
    <mergeCell ref="I89:M89"/>
    <mergeCell ref="I87:M87"/>
    <mergeCell ref="I88:M88"/>
    <mergeCell ref="I92:M92"/>
    <mergeCell ref="I93:M93"/>
    <mergeCell ref="I96:M96"/>
    <mergeCell ref="I94:M94"/>
    <mergeCell ref="I95:M95"/>
    <mergeCell ref="I78:M78"/>
    <mergeCell ref="I79:M79"/>
    <mergeCell ref="I82:M82"/>
    <mergeCell ref="I83:M83"/>
    <mergeCell ref="I99:M99"/>
    <mergeCell ref="I81:M81"/>
    <mergeCell ref="I80:M80"/>
    <mergeCell ref="I77:M77"/>
    <mergeCell ref="I76:M76"/>
    <mergeCell ref="I91:M91"/>
    <mergeCell ref="I90:M90"/>
    <mergeCell ref="I86:M86"/>
    <mergeCell ref="C199:G199"/>
    <mergeCell ref="C200:G200"/>
    <mergeCell ref="C202:G202"/>
    <mergeCell ref="C203:G203"/>
    <mergeCell ref="C204:G204"/>
    <mergeCell ref="C198:G198"/>
    <mergeCell ref="C197:G197"/>
    <mergeCell ref="C196:G196"/>
    <mergeCell ref="C201:G201"/>
    <mergeCell ref="C72:G72"/>
    <mergeCell ref="C73:G73"/>
    <mergeCell ref="C76:G76"/>
    <mergeCell ref="C75:G75"/>
    <mergeCell ref="C65:G65"/>
    <mergeCell ref="C63:G63"/>
    <mergeCell ref="C64:G64"/>
    <mergeCell ref="C61:G61"/>
    <mergeCell ref="C62:G62"/>
    <mergeCell ref="C60:G60"/>
    <mergeCell ref="C77:G77"/>
    <mergeCell ref="C78:G78"/>
    <mergeCell ref="C71:G71"/>
    <mergeCell ref="C70:G70"/>
    <mergeCell ref="C68:G68"/>
    <mergeCell ref="C69:G69"/>
    <mergeCell ref="C74:G74"/>
    <mergeCell ref="I63:M63"/>
    <mergeCell ref="I64:M64"/>
    <mergeCell ref="I61:M61"/>
    <mergeCell ref="I62:M62"/>
    <mergeCell ref="I60:M60"/>
    <mergeCell ref="C67:G67"/>
    <mergeCell ref="C66:G66"/>
    <mergeCell ref="I65:M65"/>
    <mergeCell ref="I69:M69"/>
    <mergeCell ref="I67:M67"/>
    <mergeCell ref="I68:M68"/>
    <mergeCell ref="I66:M66"/>
    <mergeCell ref="I119:M119"/>
    <mergeCell ref="I120:M120"/>
    <mergeCell ref="I109:M109"/>
    <mergeCell ref="I108:M108"/>
    <mergeCell ref="C103:G103"/>
    <mergeCell ref="C104:G104"/>
    <mergeCell ref="C121:G121"/>
    <mergeCell ref="C120:G120"/>
    <mergeCell ref="C116:G116"/>
    <mergeCell ref="C117:G117"/>
    <mergeCell ref="C115:G115"/>
    <mergeCell ref="C114:G114"/>
    <mergeCell ref="C118:G118"/>
    <mergeCell ref="C119:G119"/>
    <mergeCell ref="C91:G91"/>
    <mergeCell ref="C90:G90"/>
    <mergeCell ref="I84:M84"/>
    <mergeCell ref="I85:M85"/>
    <mergeCell ref="I70:M70"/>
    <mergeCell ref="I72:M72"/>
    <mergeCell ref="I71:M71"/>
    <mergeCell ref="I75:M75"/>
    <mergeCell ref="I74:M74"/>
    <mergeCell ref="I73:M73"/>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360</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207:G207"/>
    <mergeCell ref="C205:G205"/>
    <mergeCell ref="C206:G206"/>
    <mergeCell ref="C212:G212"/>
    <mergeCell ref="C211:G211"/>
    <mergeCell ref="C209:G209"/>
    <mergeCell ref="C210:G210"/>
    <mergeCell ref="C213:G213"/>
    <mergeCell ref="C208:G208"/>
    <mergeCell ref="C214:G214"/>
    <mergeCell ref="C191:G191"/>
    <mergeCell ref="C176:G176"/>
    <mergeCell ref="C177:G177"/>
    <mergeCell ref="C179:G179"/>
    <mergeCell ref="C178:G178"/>
    <mergeCell ref="C182:G182"/>
    <mergeCell ref="C183:G183"/>
    <mergeCell ref="C185:G185"/>
    <mergeCell ref="C163:G163"/>
    <mergeCell ref="C161:G161"/>
    <mergeCell ref="C162:G162"/>
    <mergeCell ref="C160:G160"/>
    <mergeCell ref="C165:G165"/>
    <mergeCell ref="C164:G164"/>
    <mergeCell ref="C193:G193"/>
    <mergeCell ref="C192:G192"/>
    <mergeCell ref="C145:G145"/>
    <mergeCell ref="C147:G147"/>
    <mergeCell ref="C148:G148"/>
    <mergeCell ref="C146:G146"/>
    <mergeCell ref="C151:G151"/>
    <mergeCell ref="C166:G166"/>
    <mergeCell ref="C158:G158"/>
    <mergeCell ref="C159:G159"/>
    <mergeCell ref="C154:G154"/>
    <mergeCell ref="C155:G155"/>
    <mergeCell ref="C153:G153"/>
    <mergeCell ref="C152:G152"/>
    <mergeCell ref="C156:G156"/>
    <mergeCell ref="C157:G157"/>
    <mergeCell ref="C171:G171"/>
    <mergeCell ref="C168:G168"/>
    <mergeCell ref="C169:G169"/>
    <mergeCell ref="C170:G170"/>
    <mergeCell ref="C167:G167"/>
    <mergeCell ref="C172:G172"/>
    <mergeCell ref="C173:G173"/>
    <mergeCell ref="C174:G174"/>
    <mergeCell ref="C186:G186"/>
    <mergeCell ref="C184:G184"/>
    <mergeCell ref="C195:G195"/>
    <mergeCell ref="C194:G194"/>
    <mergeCell ref="C175:G175"/>
    <mergeCell ref="C189:G189"/>
    <mergeCell ref="C188:G188"/>
    <mergeCell ref="C190:G190"/>
    <mergeCell ref="C187:G187"/>
    <mergeCell ref="C139:G139"/>
    <mergeCell ref="C138:G138"/>
    <mergeCell ref="C149:G149"/>
    <mergeCell ref="C150:G150"/>
    <mergeCell ref="C142:G142"/>
    <mergeCell ref="C143:G143"/>
    <mergeCell ref="C137:G137"/>
    <mergeCell ref="C136:G136"/>
    <mergeCell ref="C144:G144"/>
    <mergeCell ref="C93:G93"/>
    <mergeCell ref="C92:G92"/>
    <mergeCell ref="C83:G83"/>
    <mergeCell ref="C88:G88"/>
    <mergeCell ref="C84:G84"/>
    <mergeCell ref="C85:G85"/>
    <mergeCell ref="C87:G87"/>
    <mergeCell ref="C86:G86"/>
    <mergeCell ref="C97:G97"/>
    <mergeCell ref="C94:G94"/>
    <mergeCell ref="C95:G95"/>
    <mergeCell ref="C96:G96"/>
    <mergeCell ref="C180:G180"/>
    <mergeCell ref="C181:G181"/>
    <mergeCell ref="C140:G140"/>
    <mergeCell ref="C141:G141"/>
    <mergeCell ref="C111:G111"/>
    <mergeCell ref="C112:G112"/>
    <mergeCell ref="C110:G110"/>
    <mergeCell ref="C109:G109"/>
    <mergeCell ref="C108:G108"/>
    <mergeCell ref="C107:G107"/>
    <mergeCell ref="C106:G106"/>
    <mergeCell ref="C113:G113"/>
    <mergeCell ref="C100:G100"/>
    <mergeCell ref="C101:G101"/>
    <mergeCell ref="C79:G79"/>
    <mergeCell ref="C80:G80"/>
    <mergeCell ref="C82:G82"/>
    <mergeCell ref="C81:G81"/>
    <mergeCell ref="C89:G89"/>
    <mergeCell ref="C238:G238"/>
    <mergeCell ref="C229:G229"/>
    <mergeCell ref="C234:G234"/>
    <mergeCell ref="C235:G235"/>
    <mergeCell ref="C233:G233"/>
    <mergeCell ref="C217:G217"/>
    <mergeCell ref="C216:G216"/>
    <mergeCell ref="C215:G215"/>
    <mergeCell ref="C218:G218"/>
    <mergeCell ref="C239:G239"/>
    <mergeCell ref="C240:G240"/>
    <mergeCell ref="C223:G223"/>
    <mergeCell ref="C237:G237"/>
    <mergeCell ref="C230:G230"/>
    <mergeCell ref="C231:G231"/>
    <mergeCell ref="C232:G232"/>
    <mergeCell ref="C236:G236"/>
    <mergeCell ref="C221:G221"/>
    <mergeCell ref="C222:G222"/>
    <mergeCell ref="C219:G219"/>
    <mergeCell ref="C220:G220"/>
    <mergeCell ref="C224:G224"/>
    <mergeCell ref="C226:G226"/>
    <mergeCell ref="C225:G225"/>
    <mergeCell ref="C246:G246"/>
    <mergeCell ref="C247:G247"/>
    <mergeCell ref="C242:G242"/>
    <mergeCell ref="C241:G241"/>
    <mergeCell ref="C243:G243"/>
    <mergeCell ref="C244:G244"/>
    <mergeCell ref="C245:G245"/>
    <mergeCell ref="C248:G248"/>
    <mergeCell ref="C249:G249"/>
    <mergeCell ref="C227:G227"/>
    <mergeCell ref="C228:G228"/>
    <mergeCell ref="C51:G51"/>
    <mergeCell ref="I51:M51"/>
    <mergeCell ref="I55:M55"/>
    <mergeCell ref="I54:M54"/>
    <mergeCell ref="I58:M58"/>
    <mergeCell ref="I59:M59"/>
    <mergeCell ref="I57:M57"/>
    <mergeCell ref="I56:M56"/>
    <mergeCell ref="C54:G54"/>
    <mergeCell ref="C57:G57"/>
    <mergeCell ref="C56:G56"/>
    <mergeCell ref="C55:G55"/>
    <mergeCell ref="C58:G58"/>
    <mergeCell ref="C59:G59"/>
    <mergeCell ref="I48:M48"/>
    <mergeCell ref="I49:M49"/>
    <mergeCell ref="C48:G48"/>
    <mergeCell ref="C49:G49"/>
    <mergeCell ref="C53:G53"/>
    <mergeCell ref="C52:G52"/>
    <mergeCell ref="C50:G50"/>
    <mergeCell ref="I52:M52"/>
    <mergeCell ref="I53:M53"/>
    <mergeCell ref="I50:M50"/>
    <mergeCell ref="I45:M45"/>
    <mergeCell ref="I44:M44"/>
    <mergeCell ref="I34:M34"/>
    <mergeCell ref="I35:M35"/>
    <mergeCell ref="I43:M43"/>
    <mergeCell ref="I42:M42"/>
    <mergeCell ref="I39:M39"/>
    <mergeCell ref="I38:M38"/>
    <mergeCell ref="I40:M40"/>
    <mergeCell ref="I41:M41"/>
    <mergeCell ref="C39:G39"/>
    <mergeCell ref="C40:G40"/>
    <mergeCell ref="C47:G47"/>
    <mergeCell ref="C46:G46"/>
    <mergeCell ref="C45:G45"/>
    <mergeCell ref="C43:G43"/>
    <mergeCell ref="C42:G42"/>
    <mergeCell ref="C41:G41"/>
    <mergeCell ref="C44:G44"/>
    <mergeCell ref="C27:G27"/>
    <mergeCell ref="C32:G32"/>
    <mergeCell ref="C35:G35"/>
    <mergeCell ref="C36:G36"/>
    <mergeCell ref="C34:G34"/>
    <mergeCell ref="C33:G33"/>
    <mergeCell ref="C38:G38"/>
    <mergeCell ref="I37:M37"/>
    <mergeCell ref="I36:M36"/>
    <mergeCell ref="I28:M28"/>
    <mergeCell ref="I26:M26"/>
    <mergeCell ref="I27:M27"/>
    <mergeCell ref="C26:G26"/>
    <mergeCell ref="C37:G37"/>
    <mergeCell ref="I31:M31"/>
    <mergeCell ref="I30:M30"/>
    <mergeCell ref="I33:M33"/>
    <mergeCell ref="I32:M32"/>
    <mergeCell ref="C2:G2"/>
    <mergeCell ref="H2:L2"/>
    <mergeCell ref="I24:M24"/>
    <mergeCell ref="I25:M25"/>
    <mergeCell ref="I23:M23"/>
    <mergeCell ref="C23:G23"/>
    <mergeCell ref="C24:G24"/>
    <mergeCell ref="C25:G25"/>
    <mergeCell ref="C1:J1"/>
    <mergeCell ref="I29:M29"/>
    <mergeCell ref="C29:G29"/>
    <mergeCell ref="I46:M46"/>
    <mergeCell ref="I47:M47"/>
    <mergeCell ref="C28:G28"/>
    <mergeCell ref="C31:G31"/>
    <mergeCell ref="C30:G30"/>
    <mergeCell ref="I212:M212"/>
    <mergeCell ref="I207:M207"/>
    <mergeCell ref="I209:M209"/>
    <mergeCell ref="I210:M210"/>
    <mergeCell ref="I208:M208"/>
    <mergeCell ref="I211:M211"/>
    <mergeCell ref="I204:M204"/>
    <mergeCell ref="I202:M202"/>
    <mergeCell ref="I203:M203"/>
    <mergeCell ref="I197:M197"/>
    <mergeCell ref="I199:M199"/>
    <mergeCell ref="I200:M200"/>
    <mergeCell ref="I198:M198"/>
    <mergeCell ref="I201:M201"/>
    <mergeCell ref="I141:M141"/>
    <mergeCell ref="I143:M143"/>
    <mergeCell ref="I142:M142"/>
    <mergeCell ref="I146:M146"/>
    <mergeCell ref="I147:M147"/>
    <mergeCell ref="I138:M138"/>
    <mergeCell ref="I139:M139"/>
    <mergeCell ref="I140:M140"/>
    <mergeCell ref="I137:M137"/>
    <mergeCell ref="I136:M136"/>
    <mergeCell ref="I152:M152"/>
    <mergeCell ref="I153:M153"/>
    <mergeCell ref="I144:M144"/>
    <mergeCell ref="I145:M145"/>
    <mergeCell ref="I150:M150"/>
    <mergeCell ref="I151:M151"/>
    <mergeCell ref="I157:M157"/>
    <mergeCell ref="I158:M158"/>
    <mergeCell ref="I156:M156"/>
    <mergeCell ref="I116:M116"/>
    <mergeCell ref="I115:M115"/>
    <mergeCell ref="I206:M206"/>
    <mergeCell ref="I205:M205"/>
    <mergeCell ref="I192:M192"/>
    <mergeCell ref="I195:M195"/>
    <mergeCell ref="I196:M196"/>
    <mergeCell ref="I191:M191"/>
    <mergeCell ref="I193:M193"/>
    <mergeCell ref="I194:M194"/>
    <mergeCell ref="I112:M112"/>
    <mergeCell ref="I111:M111"/>
    <mergeCell ref="I110:M110"/>
    <mergeCell ref="I117:M117"/>
    <mergeCell ref="I118:M118"/>
    <mergeCell ref="I107:M107"/>
    <mergeCell ref="I113:M113"/>
    <mergeCell ref="I114:M114"/>
    <mergeCell ref="I134:M134"/>
    <mergeCell ref="I132:M132"/>
    <mergeCell ref="I149:M149"/>
    <mergeCell ref="I148:M148"/>
    <mergeCell ref="I213:M213"/>
    <mergeCell ref="I214:M214"/>
    <mergeCell ref="I217:M217"/>
    <mergeCell ref="I218:M218"/>
    <mergeCell ref="I219:M219"/>
    <mergeCell ref="I216:M216"/>
    <mergeCell ref="I215:M215"/>
    <mergeCell ref="I167:M167"/>
    <mergeCell ref="I168:M168"/>
    <mergeCell ref="I154:M154"/>
    <mergeCell ref="I155:M155"/>
    <mergeCell ref="I160:M160"/>
    <mergeCell ref="I162:M162"/>
    <mergeCell ref="I161:M161"/>
    <mergeCell ref="I165:M165"/>
    <mergeCell ref="I166:M166"/>
    <mergeCell ref="I159:M159"/>
    <mergeCell ref="I236:M236"/>
    <mergeCell ref="I235:M235"/>
    <mergeCell ref="I231:M231"/>
    <mergeCell ref="I232:M232"/>
    <mergeCell ref="I245:M245"/>
    <mergeCell ref="I244:M244"/>
    <mergeCell ref="I243:M243"/>
    <mergeCell ref="I248:M248"/>
    <mergeCell ref="I249:M249"/>
    <mergeCell ref="I221:M221"/>
    <mergeCell ref="I223:M223"/>
    <mergeCell ref="I222:M222"/>
    <mergeCell ref="I220:M220"/>
    <mergeCell ref="I225:M225"/>
    <mergeCell ref="I227:M227"/>
    <mergeCell ref="I226:M226"/>
    <mergeCell ref="I229:M229"/>
    <mergeCell ref="I228:M228"/>
    <mergeCell ref="I230:M230"/>
    <mergeCell ref="I224:M224"/>
    <mergeCell ref="I247:M247"/>
    <mergeCell ref="I246:M246"/>
    <mergeCell ref="I237:M237"/>
    <mergeCell ref="I238:M238"/>
    <mergeCell ref="I239:M239"/>
    <mergeCell ref="I240:M240"/>
    <mergeCell ref="I242:M242"/>
    <mergeCell ref="I241:M241"/>
    <mergeCell ref="I233:M233"/>
    <mergeCell ref="I234:M234"/>
    <mergeCell ref="I174:M174"/>
    <mergeCell ref="I176:M176"/>
    <mergeCell ref="I175:M175"/>
    <mergeCell ref="I178:M178"/>
    <mergeCell ref="I163:M163"/>
    <mergeCell ref="I189:M189"/>
    <mergeCell ref="I190:M190"/>
    <mergeCell ref="I164:M164"/>
    <mergeCell ref="I169:M169"/>
    <mergeCell ref="I177:M177"/>
    <mergeCell ref="I171:M171"/>
    <mergeCell ref="I170:M170"/>
    <mergeCell ref="I182:M182"/>
    <mergeCell ref="I181:M181"/>
    <mergeCell ref="I179:M179"/>
    <mergeCell ref="I180:M180"/>
    <mergeCell ref="I183:M183"/>
    <mergeCell ref="I184:M184"/>
    <mergeCell ref="I185:M185"/>
    <mergeCell ref="I186:M186"/>
    <mergeCell ref="I187:M187"/>
    <mergeCell ref="I188:M188"/>
    <mergeCell ref="I172:M172"/>
    <mergeCell ref="I173:M173"/>
    <mergeCell ref="I102:M102"/>
    <mergeCell ref="C102:G102"/>
    <mergeCell ref="I101:M101"/>
    <mergeCell ref="I100:M100"/>
    <mergeCell ref="I106:M106"/>
    <mergeCell ref="I103:M103"/>
    <mergeCell ref="I104:M104"/>
    <mergeCell ref="I105:M105"/>
    <mergeCell ref="C99:G99"/>
    <mergeCell ref="C98:G98"/>
    <mergeCell ref="C105:G105"/>
    <mergeCell ref="I129:M129"/>
    <mergeCell ref="I130:M130"/>
    <mergeCell ref="I125:M125"/>
    <mergeCell ref="I124:M124"/>
    <mergeCell ref="I122:M122"/>
    <mergeCell ref="I121:M121"/>
    <mergeCell ref="I123:M123"/>
    <mergeCell ref="I135:M135"/>
    <mergeCell ref="I133:M133"/>
    <mergeCell ref="I131:M131"/>
    <mergeCell ref="I127:M127"/>
    <mergeCell ref="I126:M126"/>
    <mergeCell ref="C130:G130"/>
    <mergeCell ref="C133:G133"/>
    <mergeCell ref="C134:G134"/>
    <mergeCell ref="C132:G132"/>
    <mergeCell ref="C135:G135"/>
    <mergeCell ref="C131:G131"/>
    <mergeCell ref="C127:G127"/>
    <mergeCell ref="C126:G126"/>
    <mergeCell ref="I128:M128"/>
    <mergeCell ref="C128:G128"/>
    <mergeCell ref="C129:G129"/>
    <mergeCell ref="C124:G124"/>
    <mergeCell ref="C122:G122"/>
    <mergeCell ref="C123:G123"/>
    <mergeCell ref="C125:G125"/>
    <mergeCell ref="I98:M98"/>
    <mergeCell ref="I97:M97"/>
    <mergeCell ref="I89:M89"/>
    <mergeCell ref="I87:M87"/>
    <mergeCell ref="I88:M88"/>
    <mergeCell ref="I92:M92"/>
    <mergeCell ref="I93:M93"/>
    <mergeCell ref="I96:M96"/>
    <mergeCell ref="I94:M94"/>
    <mergeCell ref="I95:M95"/>
    <mergeCell ref="I78:M78"/>
    <mergeCell ref="I79:M79"/>
    <mergeCell ref="I82:M82"/>
    <mergeCell ref="I83:M83"/>
    <mergeCell ref="I99:M99"/>
    <mergeCell ref="I81:M81"/>
    <mergeCell ref="I80:M80"/>
    <mergeCell ref="I77:M77"/>
    <mergeCell ref="I76:M76"/>
    <mergeCell ref="I91:M91"/>
    <mergeCell ref="I90:M90"/>
    <mergeCell ref="I86:M86"/>
    <mergeCell ref="C199:G199"/>
    <mergeCell ref="C200:G200"/>
    <mergeCell ref="C202:G202"/>
    <mergeCell ref="C203:G203"/>
    <mergeCell ref="C204:G204"/>
    <mergeCell ref="C198:G198"/>
    <mergeCell ref="C197:G197"/>
    <mergeCell ref="C196:G196"/>
    <mergeCell ref="C201:G201"/>
    <mergeCell ref="C72:G72"/>
    <mergeCell ref="C73:G73"/>
    <mergeCell ref="C76:G76"/>
    <mergeCell ref="C75:G75"/>
    <mergeCell ref="C65:G65"/>
    <mergeCell ref="C63:G63"/>
    <mergeCell ref="C64:G64"/>
    <mergeCell ref="C61:G61"/>
    <mergeCell ref="C62:G62"/>
    <mergeCell ref="C60:G60"/>
    <mergeCell ref="C77:G77"/>
    <mergeCell ref="C78:G78"/>
    <mergeCell ref="C71:G71"/>
    <mergeCell ref="C70:G70"/>
    <mergeCell ref="C68:G68"/>
    <mergeCell ref="C69:G69"/>
    <mergeCell ref="C74:G74"/>
    <mergeCell ref="I63:M63"/>
    <mergeCell ref="I64:M64"/>
    <mergeCell ref="I61:M61"/>
    <mergeCell ref="I62:M62"/>
    <mergeCell ref="I60:M60"/>
    <mergeCell ref="C67:G67"/>
    <mergeCell ref="C66:G66"/>
    <mergeCell ref="I65:M65"/>
    <mergeCell ref="I69:M69"/>
    <mergeCell ref="I67:M67"/>
    <mergeCell ref="I68:M68"/>
    <mergeCell ref="I66:M66"/>
    <mergeCell ref="I119:M119"/>
    <mergeCell ref="I120:M120"/>
    <mergeCell ref="I109:M109"/>
    <mergeCell ref="I108:M108"/>
    <mergeCell ref="C103:G103"/>
    <mergeCell ref="C104:G104"/>
    <mergeCell ref="C121:G121"/>
    <mergeCell ref="C120:G120"/>
    <mergeCell ref="C116:G116"/>
    <mergeCell ref="C117:G117"/>
    <mergeCell ref="C115:G115"/>
    <mergeCell ref="C114:G114"/>
    <mergeCell ref="C118:G118"/>
    <mergeCell ref="C119:G119"/>
    <mergeCell ref="C91:G91"/>
    <mergeCell ref="C90:G90"/>
    <mergeCell ref="I84:M84"/>
    <mergeCell ref="I85:M85"/>
    <mergeCell ref="I70:M70"/>
    <mergeCell ref="I72:M72"/>
    <mergeCell ref="I71:M71"/>
    <mergeCell ref="I75:M75"/>
    <mergeCell ref="I74:M74"/>
    <mergeCell ref="I73:M73"/>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361</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09:M109"/>
    <mergeCell ref="I112:M112"/>
    <mergeCell ref="I111:M111"/>
    <mergeCell ref="I110:M110"/>
    <mergeCell ref="I116:M116"/>
    <mergeCell ref="I117:M117"/>
    <mergeCell ref="I118:M118"/>
    <mergeCell ref="I125:M125"/>
    <mergeCell ref="I124:M124"/>
    <mergeCell ref="I122:M122"/>
    <mergeCell ref="I121:M121"/>
    <mergeCell ref="I123:M123"/>
    <mergeCell ref="I119:M119"/>
    <mergeCell ref="I120:M120"/>
    <mergeCell ref="I106:M106"/>
    <mergeCell ref="I108:M108"/>
    <mergeCell ref="I107:M107"/>
    <mergeCell ref="I135:M135"/>
    <mergeCell ref="I102:M102"/>
    <mergeCell ref="I103:M103"/>
    <mergeCell ref="I104:M104"/>
    <mergeCell ref="I105:M105"/>
    <mergeCell ref="I133:M133"/>
    <mergeCell ref="I113:M113"/>
    <mergeCell ref="C99:G99"/>
    <mergeCell ref="C98:G98"/>
    <mergeCell ref="I98:M98"/>
    <mergeCell ref="I99:M99"/>
    <mergeCell ref="I101:M101"/>
    <mergeCell ref="C102:G102"/>
    <mergeCell ref="C100:G100"/>
    <mergeCell ref="C101:G101"/>
    <mergeCell ref="C103:G103"/>
    <mergeCell ref="C104:G104"/>
    <mergeCell ref="C105:G105"/>
    <mergeCell ref="I100:M100"/>
    <mergeCell ref="I128:M128"/>
    <mergeCell ref="C128:G128"/>
    <mergeCell ref="C130:G130"/>
    <mergeCell ref="C129:G129"/>
    <mergeCell ref="C124:G124"/>
    <mergeCell ref="C122:G122"/>
    <mergeCell ref="C123:G123"/>
    <mergeCell ref="C121:G121"/>
    <mergeCell ref="C120:G120"/>
    <mergeCell ref="I129:M129"/>
    <mergeCell ref="I130:M130"/>
    <mergeCell ref="C116:G116"/>
    <mergeCell ref="I127:M127"/>
    <mergeCell ref="I126:M126"/>
    <mergeCell ref="C125:G125"/>
    <mergeCell ref="C117:G117"/>
    <mergeCell ref="I81:M81"/>
    <mergeCell ref="I80:M80"/>
    <mergeCell ref="C79:G79"/>
    <mergeCell ref="C80:G80"/>
    <mergeCell ref="C82:G82"/>
    <mergeCell ref="C81:G81"/>
    <mergeCell ref="C83:G83"/>
    <mergeCell ref="I77:M77"/>
    <mergeCell ref="I76:M76"/>
    <mergeCell ref="C77:G77"/>
    <mergeCell ref="C78:G78"/>
    <mergeCell ref="C76:G76"/>
    <mergeCell ref="I115:M115"/>
    <mergeCell ref="C115:G115"/>
    <mergeCell ref="C114:G114"/>
    <mergeCell ref="C118:G118"/>
    <mergeCell ref="C119:G119"/>
    <mergeCell ref="I131:M131"/>
    <mergeCell ref="C133:G133"/>
    <mergeCell ref="C134:G134"/>
    <mergeCell ref="C132:G132"/>
    <mergeCell ref="C135:G135"/>
    <mergeCell ref="C131:G131"/>
    <mergeCell ref="C127:G127"/>
    <mergeCell ref="C126:G126"/>
    <mergeCell ref="I91:M91"/>
    <mergeCell ref="C91:G91"/>
    <mergeCell ref="C90:G90"/>
    <mergeCell ref="C93:G93"/>
    <mergeCell ref="C92:G92"/>
    <mergeCell ref="I84:M84"/>
    <mergeCell ref="I85:M85"/>
    <mergeCell ref="I90:M90"/>
    <mergeCell ref="C97:G97"/>
    <mergeCell ref="C88:G88"/>
    <mergeCell ref="C89:G89"/>
    <mergeCell ref="I97:M97"/>
    <mergeCell ref="C94:G94"/>
    <mergeCell ref="C95:G95"/>
    <mergeCell ref="C84:G84"/>
    <mergeCell ref="C85:G85"/>
    <mergeCell ref="C87:G87"/>
    <mergeCell ref="C86:G86"/>
    <mergeCell ref="I89:M89"/>
    <mergeCell ref="I87:M87"/>
    <mergeCell ref="I88:M88"/>
    <mergeCell ref="I92:M92"/>
    <mergeCell ref="I93:M93"/>
    <mergeCell ref="C96:G96"/>
    <mergeCell ref="I96:M96"/>
    <mergeCell ref="I94:M94"/>
    <mergeCell ref="I95:M95"/>
    <mergeCell ref="I212:M212"/>
    <mergeCell ref="I207:M207"/>
    <mergeCell ref="I209:M209"/>
    <mergeCell ref="I210:M210"/>
    <mergeCell ref="I208:M208"/>
    <mergeCell ref="I211:M211"/>
    <mergeCell ref="I204:M204"/>
    <mergeCell ref="C212:G212"/>
    <mergeCell ref="C211:G211"/>
    <mergeCell ref="I206:M206"/>
    <mergeCell ref="I205:M205"/>
    <mergeCell ref="C209:G209"/>
    <mergeCell ref="C210:G210"/>
    <mergeCell ref="C213:G213"/>
    <mergeCell ref="C208:G208"/>
    <mergeCell ref="C207:G207"/>
    <mergeCell ref="I202:M202"/>
    <mergeCell ref="I203:M203"/>
    <mergeCell ref="C202:G202"/>
    <mergeCell ref="C203:G203"/>
    <mergeCell ref="C204:G204"/>
    <mergeCell ref="I213:M213"/>
    <mergeCell ref="I214:M214"/>
    <mergeCell ref="I217:M217"/>
    <mergeCell ref="I218:M218"/>
    <mergeCell ref="I219:M219"/>
    <mergeCell ref="I220:M220"/>
    <mergeCell ref="I216:M216"/>
    <mergeCell ref="I215:M215"/>
    <mergeCell ref="C198:G198"/>
    <mergeCell ref="C197:G197"/>
    <mergeCell ref="C193:G193"/>
    <mergeCell ref="C196:G196"/>
    <mergeCell ref="C195:G195"/>
    <mergeCell ref="C191:G191"/>
    <mergeCell ref="C192:G192"/>
    <mergeCell ref="C199:G199"/>
    <mergeCell ref="C200:G200"/>
    <mergeCell ref="I197:M197"/>
    <mergeCell ref="I199:M199"/>
    <mergeCell ref="I200:M200"/>
    <mergeCell ref="I198:M198"/>
    <mergeCell ref="I201:M201"/>
    <mergeCell ref="C201:G201"/>
    <mergeCell ref="C194:G194"/>
    <mergeCell ref="C217:G217"/>
    <mergeCell ref="C216:G216"/>
    <mergeCell ref="C215:G215"/>
    <mergeCell ref="C218:G218"/>
    <mergeCell ref="C219:G219"/>
    <mergeCell ref="C214:G214"/>
    <mergeCell ref="C205:G205"/>
    <mergeCell ref="C206:G206"/>
    <mergeCell ref="C48:G48"/>
    <mergeCell ref="C49:G49"/>
    <mergeCell ref="C47:G47"/>
    <mergeCell ref="C53:G53"/>
    <mergeCell ref="C52:G52"/>
    <mergeCell ref="C50:G50"/>
    <mergeCell ref="C51:G51"/>
    <mergeCell ref="C54:G54"/>
    <mergeCell ref="C46:G46"/>
    <mergeCell ref="C45:G45"/>
    <mergeCell ref="C43:G43"/>
    <mergeCell ref="C42:G42"/>
    <mergeCell ref="C41:G41"/>
    <mergeCell ref="C44:G44"/>
    <mergeCell ref="C38:G38"/>
    <mergeCell ref="I37:M37"/>
    <mergeCell ref="I36:M36"/>
    <mergeCell ref="I28:M28"/>
    <mergeCell ref="I29:M29"/>
    <mergeCell ref="I26:M26"/>
    <mergeCell ref="I27:M27"/>
    <mergeCell ref="I31:M31"/>
    <mergeCell ref="I30:M30"/>
    <mergeCell ref="I34:M34"/>
    <mergeCell ref="I35:M35"/>
    <mergeCell ref="I33:M33"/>
    <mergeCell ref="I32:M32"/>
    <mergeCell ref="I24:M24"/>
    <mergeCell ref="I25:M25"/>
    <mergeCell ref="I23:M23"/>
    <mergeCell ref="C23:G23"/>
    <mergeCell ref="C24:G24"/>
    <mergeCell ref="C25:G25"/>
    <mergeCell ref="C26:G26"/>
    <mergeCell ref="C1:J1"/>
    <mergeCell ref="C2:G2"/>
    <mergeCell ref="H2:L2"/>
    <mergeCell ref="C71:G71"/>
    <mergeCell ref="C70:G70"/>
    <mergeCell ref="C65:G65"/>
    <mergeCell ref="C68:G68"/>
    <mergeCell ref="C67:G67"/>
    <mergeCell ref="C66:G66"/>
    <mergeCell ref="C72:G72"/>
    <mergeCell ref="C73:G73"/>
    <mergeCell ref="C69:G69"/>
    <mergeCell ref="I55:M55"/>
    <mergeCell ref="I51:M51"/>
    <mergeCell ref="I52:M52"/>
    <mergeCell ref="I54:M54"/>
    <mergeCell ref="I53:M53"/>
    <mergeCell ref="C57:G57"/>
    <mergeCell ref="C56:G56"/>
    <mergeCell ref="C55:G55"/>
    <mergeCell ref="I58:M58"/>
    <mergeCell ref="I59:M59"/>
    <mergeCell ref="I57:M57"/>
    <mergeCell ref="I56:M56"/>
    <mergeCell ref="I43:M43"/>
    <mergeCell ref="I42:M42"/>
    <mergeCell ref="C39:G39"/>
    <mergeCell ref="C40:G40"/>
    <mergeCell ref="I39:M39"/>
    <mergeCell ref="I38:M38"/>
    <mergeCell ref="I40:M40"/>
    <mergeCell ref="I45:M45"/>
    <mergeCell ref="I44:M44"/>
    <mergeCell ref="I41:M41"/>
    <mergeCell ref="I78:M78"/>
    <mergeCell ref="I79:M79"/>
    <mergeCell ref="C75:G75"/>
    <mergeCell ref="I82:M82"/>
    <mergeCell ref="I83:M83"/>
    <mergeCell ref="I86:M86"/>
    <mergeCell ref="C74:G74"/>
    <mergeCell ref="I65:M65"/>
    <mergeCell ref="I69:M69"/>
    <mergeCell ref="I67:M67"/>
    <mergeCell ref="I68:M68"/>
    <mergeCell ref="I66:M66"/>
    <mergeCell ref="C29:G29"/>
    <mergeCell ref="C28:G28"/>
    <mergeCell ref="C63:G63"/>
    <mergeCell ref="C64:G64"/>
    <mergeCell ref="C61:G61"/>
    <mergeCell ref="C62:G62"/>
    <mergeCell ref="C60:G60"/>
    <mergeCell ref="C58:G58"/>
    <mergeCell ref="C59:G59"/>
    <mergeCell ref="I70:M70"/>
    <mergeCell ref="I72:M72"/>
    <mergeCell ref="I71:M71"/>
    <mergeCell ref="I75:M75"/>
    <mergeCell ref="I74:M74"/>
    <mergeCell ref="I63:M63"/>
    <mergeCell ref="I64:M64"/>
    <mergeCell ref="I61:M61"/>
    <mergeCell ref="I62:M62"/>
    <mergeCell ref="I60:M60"/>
    <mergeCell ref="I73:M73"/>
    <mergeCell ref="I48:M48"/>
    <mergeCell ref="I49:M49"/>
    <mergeCell ref="I46:M46"/>
    <mergeCell ref="I47:M47"/>
    <mergeCell ref="I50:M50"/>
    <mergeCell ref="C149:G149"/>
    <mergeCell ref="C145:G145"/>
    <mergeCell ref="C147:G147"/>
    <mergeCell ref="C148:G148"/>
    <mergeCell ref="C146:G146"/>
    <mergeCell ref="C150:G150"/>
    <mergeCell ref="C158:G158"/>
    <mergeCell ref="C159:G159"/>
    <mergeCell ref="C154:G154"/>
    <mergeCell ref="C155:G155"/>
    <mergeCell ref="C153:G153"/>
    <mergeCell ref="C152:G152"/>
    <mergeCell ref="C156:G156"/>
    <mergeCell ref="C157:G157"/>
    <mergeCell ref="C151:G151"/>
    <mergeCell ref="C176:G176"/>
    <mergeCell ref="C177:G177"/>
    <mergeCell ref="C179:G179"/>
    <mergeCell ref="C171:G171"/>
    <mergeCell ref="C168:G168"/>
    <mergeCell ref="C169:G169"/>
    <mergeCell ref="C167:G167"/>
    <mergeCell ref="C170:G170"/>
    <mergeCell ref="C178:G178"/>
    <mergeCell ref="C182:G182"/>
    <mergeCell ref="C183:G183"/>
    <mergeCell ref="C172:G172"/>
    <mergeCell ref="C173:G173"/>
    <mergeCell ref="C174:G174"/>
    <mergeCell ref="C175:G175"/>
    <mergeCell ref="C189:G189"/>
    <mergeCell ref="C188:G188"/>
    <mergeCell ref="C190:G190"/>
    <mergeCell ref="C187:G187"/>
    <mergeCell ref="C186:G186"/>
    <mergeCell ref="C184:G184"/>
    <mergeCell ref="C180:G180"/>
    <mergeCell ref="C181:G181"/>
    <mergeCell ref="C185:G185"/>
    <mergeCell ref="C163:G163"/>
    <mergeCell ref="C161:G161"/>
    <mergeCell ref="C160:G160"/>
    <mergeCell ref="C162:G162"/>
    <mergeCell ref="C165:G165"/>
    <mergeCell ref="C166:G166"/>
    <mergeCell ref="C164:G164"/>
    <mergeCell ref="I146:M146"/>
    <mergeCell ref="I147:M147"/>
    <mergeCell ref="I138:M138"/>
    <mergeCell ref="I139:M139"/>
    <mergeCell ref="I140:M140"/>
    <mergeCell ref="I137:M137"/>
    <mergeCell ref="I136:M136"/>
    <mergeCell ref="I141:M141"/>
    <mergeCell ref="I143:M143"/>
    <mergeCell ref="I142:M142"/>
    <mergeCell ref="C142:G142"/>
    <mergeCell ref="C143:G143"/>
    <mergeCell ref="C137:G137"/>
    <mergeCell ref="C136:G136"/>
    <mergeCell ref="I182:M182"/>
    <mergeCell ref="I178:M178"/>
    <mergeCell ref="I134:M134"/>
    <mergeCell ref="I132:M132"/>
    <mergeCell ref="I144:M144"/>
    <mergeCell ref="I145:M145"/>
    <mergeCell ref="C144:G144"/>
    <mergeCell ref="I150:M150"/>
    <mergeCell ref="I151:M151"/>
    <mergeCell ref="I171:M171"/>
    <mergeCell ref="I172:M172"/>
    <mergeCell ref="C140:G140"/>
    <mergeCell ref="C141:G141"/>
    <mergeCell ref="C139:G139"/>
    <mergeCell ref="C138:G138"/>
    <mergeCell ref="I149:M149"/>
    <mergeCell ref="I163:M163"/>
    <mergeCell ref="I157:M157"/>
    <mergeCell ref="I158:M158"/>
    <mergeCell ref="I154:M154"/>
    <mergeCell ref="I155:M155"/>
    <mergeCell ref="I156:M156"/>
    <mergeCell ref="I189:M189"/>
    <mergeCell ref="I190:M190"/>
    <mergeCell ref="I174:M174"/>
    <mergeCell ref="I170:M170"/>
    <mergeCell ref="I148:M148"/>
    <mergeCell ref="I192:M192"/>
    <mergeCell ref="I195:M195"/>
    <mergeCell ref="I196:M196"/>
    <mergeCell ref="I164:M164"/>
    <mergeCell ref="I181:M181"/>
    <mergeCell ref="I191:M191"/>
    <mergeCell ref="I169:M169"/>
    <mergeCell ref="I152:M152"/>
    <mergeCell ref="I153:M153"/>
    <mergeCell ref="I176:M176"/>
    <mergeCell ref="I175:M175"/>
    <mergeCell ref="I179:M179"/>
    <mergeCell ref="I180:M180"/>
    <mergeCell ref="I183:M183"/>
    <mergeCell ref="I184:M184"/>
    <mergeCell ref="I185:M185"/>
    <mergeCell ref="I186:M186"/>
    <mergeCell ref="I193:M193"/>
    <mergeCell ref="I194:M194"/>
    <mergeCell ref="I187:M187"/>
    <mergeCell ref="I188:M188"/>
    <mergeCell ref="C111:G111"/>
    <mergeCell ref="C112:G112"/>
    <mergeCell ref="I114:M114"/>
    <mergeCell ref="C110:G110"/>
    <mergeCell ref="C109:G109"/>
    <mergeCell ref="C108:G108"/>
    <mergeCell ref="C107:G107"/>
    <mergeCell ref="C106:G106"/>
    <mergeCell ref="C113:G113"/>
    <mergeCell ref="C31:G31"/>
    <mergeCell ref="C30:G30"/>
    <mergeCell ref="C27:G27"/>
    <mergeCell ref="C32:G32"/>
    <mergeCell ref="C35:G35"/>
    <mergeCell ref="C36:G36"/>
    <mergeCell ref="C34:G34"/>
    <mergeCell ref="C33:G33"/>
    <mergeCell ref="C37:G37"/>
    <mergeCell ref="C239:G239"/>
    <mergeCell ref="C237:G237"/>
    <mergeCell ref="C238:G238"/>
    <mergeCell ref="C230:G230"/>
    <mergeCell ref="C231:G231"/>
    <mergeCell ref="C242:G242"/>
    <mergeCell ref="C241:G241"/>
    <mergeCell ref="C221:G221"/>
    <mergeCell ref="C222:G222"/>
    <mergeCell ref="C240:G240"/>
    <mergeCell ref="C243:G243"/>
    <mergeCell ref="C244:G244"/>
    <mergeCell ref="C232:G232"/>
    <mergeCell ref="C229:G229"/>
    <mergeCell ref="C236:G236"/>
    <mergeCell ref="I225:M225"/>
    <mergeCell ref="I227:M227"/>
    <mergeCell ref="I226:M226"/>
    <mergeCell ref="I229:M229"/>
    <mergeCell ref="I228:M228"/>
    <mergeCell ref="I231:M231"/>
    <mergeCell ref="I230:M230"/>
    <mergeCell ref="I232:M232"/>
    <mergeCell ref="I221:M221"/>
    <mergeCell ref="I223:M223"/>
    <mergeCell ref="I222:M222"/>
    <mergeCell ref="I224:M224"/>
    <mergeCell ref="C223:G223"/>
    <mergeCell ref="C220:G220"/>
    <mergeCell ref="C224:G224"/>
    <mergeCell ref="C226:G226"/>
    <mergeCell ref="C225:G225"/>
    <mergeCell ref="C245:G245"/>
    <mergeCell ref="I245:M245"/>
    <mergeCell ref="I244:M244"/>
    <mergeCell ref="I243:M243"/>
    <mergeCell ref="C248:G248"/>
    <mergeCell ref="C249:G249"/>
    <mergeCell ref="C246:G246"/>
    <mergeCell ref="C247:G247"/>
    <mergeCell ref="I247:M247"/>
    <mergeCell ref="I248:M248"/>
    <mergeCell ref="I249:M249"/>
    <mergeCell ref="I246:M246"/>
    <mergeCell ref="C227:G227"/>
    <mergeCell ref="C228:G228"/>
    <mergeCell ref="I237:M237"/>
    <mergeCell ref="I238:M238"/>
    <mergeCell ref="I239:M239"/>
    <mergeCell ref="I240:M240"/>
    <mergeCell ref="I242:M242"/>
    <mergeCell ref="I241:M241"/>
    <mergeCell ref="C234:G234"/>
    <mergeCell ref="C235:G235"/>
    <mergeCell ref="I233:M233"/>
    <mergeCell ref="I234:M234"/>
    <mergeCell ref="C233:G233"/>
    <mergeCell ref="I236:M236"/>
    <mergeCell ref="I235:M235"/>
    <mergeCell ref="I160:M160"/>
    <mergeCell ref="I162:M162"/>
    <mergeCell ref="I161:M161"/>
    <mergeCell ref="I177:M177"/>
    <mergeCell ref="I173:M173"/>
    <mergeCell ref="I165:M165"/>
    <mergeCell ref="I166:M166"/>
    <mergeCell ref="I167:M167"/>
    <mergeCell ref="I168:M168"/>
    <mergeCell ref="I159:M159"/>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362</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27:G127"/>
    <mergeCell ref="C126:G126"/>
    <mergeCell ref="C117:G117"/>
    <mergeCell ref="C118:G118"/>
    <mergeCell ref="C115:G115"/>
    <mergeCell ref="C116:G116"/>
    <mergeCell ref="C124:G124"/>
    <mergeCell ref="C125:G125"/>
    <mergeCell ref="C122:G122"/>
    <mergeCell ref="C123:G123"/>
    <mergeCell ref="C120:G120"/>
    <mergeCell ref="C121:G121"/>
    <mergeCell ref="C128:G128"/>
    <mergeCell ref="C119:G119"/>
    <mergeCell ref="I75:M75"/>
    <mergeCell ref="I76:M76"/>
    <mergeCell ref="I82:M82"/>
    <mergeCell ref="I83:M83"/>
    <mergeCell ref="I84:M84"/>
    <mergeCell ref="I85:M85"/>
    <mergeCell ref="I86:M86"/>
    <mergeCell ref="C79:G79"/>
    <mergeCell ref="C80:G80"/>
    <mergeCell ref="C81:G81"/>
    <mergeCell ref="C87:G87"/>
    <mergeCell ref="C88:G88"/>
    <mergeCell ref="C89:G89"/>
    <mergeCell ref="C90:G90"/>
    <mergeCell ref="I87:M87"/>
    <mergeCell ref="I88:M88"/>
    <mergeCell ref="C85:G85"/>
    <mergeCell ref="C86:G86"/>
    <mergeCell ref="C82:G82"/>
    <mergeCell ref="C83:G83"/>
    <mergeCell ref="C84:G84"/>
    <mergeCell ref="I96:M96"/>
    <mergeCell ref="I97:M97"/>
    <mergeCell ref="I89:M89"/>
    <mergeCell ref="I90:M90"/>
    <mergeCell ref="I91:M91"/>
    <mergeCell ref="I92:M92"/>
    <mergeCell ref="I93:M93"/>
    <mergeCell ref="I94:M94"/>
    <mergeCell ref="I95:M95"/>
    <mergeCell ref="I114:M114"/>
    <mergeCell ref="I115:M115"/>
    <mergeCell ref="I107:M107"/>
    <mergeCell ref="I108:M108"/>
    <mergeCell ref="I109:M109"/>
    <mergeCell ref="I110:M110"/>
    <mergeCell ref="I111:M111"/>
    <mergeCell ref="I112:M112"/>
    <mergeCell ref="I113:M113"/>
    <mergeCell ref="I123:M123"/>
    <mergeCell ref="I124:M124"/>
    <mergeCell ref="I116:M116"/>
    <mergeCell ref="I117:M117"/>
    <mergeCell ref="I118:M118"/>
    <mergeCell ref="I119:M119"/>
    <mergeCell ref="I120:M120"/>
    <mergeCell ref="I121:M121"/>
    <mergeCell ref="I122:M122"/>
    <mergeCell ref="C24:G24"/>
    <mergeCell ref="C25:G25"/>
    <mergeCell ref="C26:G26"/>
    <mergeCell ref="C27:G27"/>
    <mergeCell ref="C28:G28"/>
    <mergeCell ref="C29:G29"/>
    <mergeCell ref="C32:G32"/>
    <mergeCell ref="I32:M32"/>
    <mergeCell ref="C1:J1"/>
    <mergeCell ref="C2:G2"/>
    <mergeCell ref="H2:L2"/>
    <mergeCell ref="C23:G23"/>
    <mergeCell ref="I23:M23"/>
    <mergeCell ref="C31:G31"/>
    <mergeCell ref="C30:G30"/>
    <mergeCell ref="C110:G110"/>
    <mergeCell ref="C111:G111"/>
    <mergeCell ref="C109:G109"/>
    <mergeCell ref="C112:G112"/>
    <mergeCell ref="C113:G113"/>
    <mergeCell ref="C114:G114"/>
    <mergeCell ref="C95:G95"/>
    <mergeCell ref="C92:G92"/>
    <mergeCell ref="C91:G91"/>
    <mergeCell ref="I98:M98"/>
    <mergeCell ref="I99:M99"/>
    <mergeCell ref="I100:M100"/>
    <mergeCell ref="I101:M101"/>
    <mergeCell ref="I102:M102"/>
    <mergeCell ref="I103:M103"/>
    <mergeCell ref="I104:M104"/>
    <mergeCell ref="I105:M105"/>
    <mergeCell ref="I106:M106"/>
    <mergeCell ref="C104:G104"/>
    <mergeCell ref="C107:G107"/>
    <mergeCell ref="C108:G108"/>
    <mergeCell ref="C105:G105"/>
    <mergeCell ref="C106:G106"/>
    <mergeCell ref="C93:G93"/>
    <mergeCell ref="C94:G94"/>
    <mergeCell ref="C96:G96"/>
    <mergeCell ref="C97:G97"/>
    <mergeCell ref="C98:G98"/>
    <mergeCell ref="C99:G99"/>
    <mergeCell ref="C102:G102"/>
    <mergeCell ref="C103:G103"/>
    <mergeCell ref="C100:G100"/>
    <mergeCell ref="C101:G101"/>
    <mergeCell ref="I222:M222"/>
    <mergeCell ref="I223:M223"/>
    <mergeCell ref="I224:M224"/>
    <mergeCell ref="I225:M225"/>
    <mergeCell ref="I226:M226"/>
    <mergeCell ref="I227:M227"/>
    <mergeCell ref="I228:M228"/>
    <mergeCell ref="I215:M215"/>
    <mergeCell ref="I216:M216"/>
    <mergeCell ref="I217:M217"/>
    <mergeCell ref="I218:M218"/>
    <mergeCell ref="I219:M219"/>
    <mergeCell ref="I220:M220"/>
    <mergeCell ref="I221:M221"/>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229:M229"/>
    <mergeCell ref="I230:M230"/>
    <mergeCell ref="I231:M231"/>
    <mergeCell ref="I232:M232"/>
    <mergeCell ref="I233:M233"/>
    <mergeCell ref="I234:M234"/>
    <mergeCell ref="I235:M235"/>
    <mergeCell ref="I186:M186"/>
    <mergeCell ref="I187:M187"/>
    <mergeCell ref="I188:M188"/>
    <mergeCell ref="I189:M189"/>
    <mergeCell ref="I190:M190"/>
    <mergeCell ref="I191:M191"/>
    <mergeCell ref="I192:M192"/>
    <mergeCell ref="I202:M202"/>
    <mergeCell ref="I203:M203"/>
    <mergeCell ref="I204:M204"/>
    <mergeCell ref="I205:M205"/>
    <mergeCell ref="I206:M206"/>
    <mergeCell ref="I208:M208"/>
    <mergeCell ref="I209:M209"/>
    <mergeCell ref="I210:M210"/>
    <mergeCell ref="I211:M211"/>
    <mergeCell ref="I213:M213"/>
    <mergeCell ref="I214:M214"/>
    <mergeCell ref="I212:M212"/>
    <mergeCell ref="I207:M207"/>
    <mergeCell ref="I28:M28"/>
    <mergeCell ref="I29:M29"/>
    <mergeCell ref="I152:M152"/>
    <mergeCell ref="I153:M153"/>
    <mergeCell ref="I145:M145"/>
    <mergeCell ref="I146:M146"/>
    <mergeCell ref="I147:M147"/>
    <mergeCell ref="I148:M148"/>
    <mergeCell ref="I149:M149"/>
    <mergeCell ref="I150:M150"/>
    <mergeCell ref="I151:M151"/>
    <mergeCell ref="I161:M161"/>
    <mergeCell ref="I162:M162"/>
    <mergeCell ref="I154:M154"/>
    <mergeCell ref="I155:M155"/>
    <mergeCell ref="I156:M156"/>
    <mergeCell ref="I157:M157"/>
    <mergeCell ref="I158:M158"/>
    <mergeCell ref="I159:M159"/>
    <mergeCell ref="I160:M160"/>
    <mergeCell ref="I170:M170"/>
    <mergeCell ref="I171:M171"/>
    <mergeCell ref="I163:M163"/>
    <mergeCell ref="I164:M164"/>
    <mergeCell ref="I165:M165"/>
    <mergeCell ref="I166:M166"/>
    <mergeCell ref="I167:M167"/>
    <mergeCell ref="I168:M168"/>
    <mergeCell ref="I169:M169"/>
    <mergeCell ref="I184:M184"/>
    <mergeCell ref="I185:M185"/>
    <mergeCell ref="I173:M173"/>
    <mergeCell ref="I174:M174"/>
    <mergeCell ref="I175:M175"/>
    <mergeCell ref="I176:M176"/>
    <mergeCell ref="I172:M172"/>
    <mergeCell ref="I178:M178"/>
    <mergeCell ref="I179:M179"/>
    <mergeCell ref="I180:M180"/>
    <mergeCell ref="I181:M181"/>
    <mergeCell ref="I182:M182"/>
    <mergeCell ref="I183:M183"/>
    <mergeCell ref="I177:M177"/>
    <mergeCell ref="I200:M200"/>
    <mergeCell ref="I201:M201"/>
    <mergeCell ref="I193:M193"/>
    <mergeCell ref="I194:M194"/>
    <mergeCell ref="I195:M195"/>
    <mergeCell ref="I196:M196"/>
    <mergeCell ref="I197:M197"/>
    <mergeCell ref="I198:M198"/>
    <mergeCell ref="I199:M199"/>
    <mergeCell ref="I59:M59"/>
    <mergeCell ref="I60:M60"/>
    <mergeCell ref="I61:M61"/>
    <mergeCell ref="I62:M62"/>
    <mergeCell ref="I54:M54"/>
    <mergeCell ref="I55:M55"/>
    <mergeCell ref="I56:M56"/>
    <mergeCell ref="I57:M57"/>
    <mergeCell ref="I58:M58"/>
    <mergeCell ref="I30:M30"/>
    <mergeCell ref="I31:M31"/>
    <mergeCell ref="I24:M24"/>
    <mergeCell ref="I25:M25"/>
    <mergeCell ref="I33:M33"/>
    <mergeCell ref="I34:M34"/>
    <mergeCell ref="I35:M35"/>
    <mergeCell ref="I26:M26"/>
    <mergeCell ref="I27:M27"/>
    <mergeCell ref="C208:G208"/>
    <mergeCell ref="C205:G205"/>
    <mergeCell ref="C206:G206"/>
    <mergeCell ref="C207:G207"/>
    <mergeCell ref="C197:G197"/>
    <mergeCell ref="C198:G198"/>
    <mergeCell ref="C200:G200"/>
    <mergeCell ref="C204:G204"/>
    <mergeCell ref="C202:G202"/>
    <mergeCell ref="C203:G203"/>
    <mergeCell ref="C201:G201"/>
    <mergeCell ref="C195:G195"/>
    <mergeCell ref="C196:G196"/>
    <mergeCell ref="C199:G199"/>
    <mergeCell ref="C210:G210"/>
    <mergeCell ref="C211:G211"/>
    <mergeCell ref="C192:G192"/>
    <mergeCell ref="C193:G193"/>
    <mergeCell ref="C209:G209"/>
    <mergeCell ref="C194:G194"/>
    <mergeCell ref="C223:G223"/>
    <mergeCell ref="C224:G224"/>
    <mergeCell ref="C227:G227"/>
    <mergeCell ref="C228:G228"/>
    <mergeCell ref="C229:G229"/>
    <mergeCell ref="C225:G225"/>
    <mergeCell ref="C226:G226"/>
    <mergeCell ref="C222:G222"/>
    <mergeCell ref="C219:G219"/>
    <mergeCell ref="C220:G220"/>
    <mergeCell ref="C221:G221"/>
    <mergeCell ref="C212:G212"/>
    <mergeCell ref="C213:G213"/>
    <mergeCell ref="C214:G214"/>
    <mergeCell ref="C217:G217"/>
    <mergeCell ref="C218:G218"/>
    <mergeCell ref="C215:G215"/>
    <mergeCell ref="C216:G216"/>
    <mergeCell ref="C138:G138"/>
    <mergeCell ref="C139:G139"/>
    <mergeCell ref="C142:G142"/>
    <mergeCell ref="C143:G143"/>
    <mergeCell ref="C137:G137"/>
    <mergeCell ref="C140:G140"/>
    <mergeCell ref="C144:G144"/>
    <mergeCell ref="C147:G147"/>
    <mergeCell ref="C148:G148"/>
    <mergeCell ref="C149:G149"/>
    <mergeCell ref="C152:G152"/>
    <mergeCell ref="C153:G153"/>
    <mergeCell ref="C150:G150"/>
    <mergeCell ref="C151:G151"/>
    <mergeCell ref="C136:G136"/>
    <mergeCell ref="C160:G160"/>
    <mergeCell ref="C157:G157"/>
    <mergeCell ref="C158:G158"/>
    <mergeCell ref="C159:G159"/>
    <mergeCell ref="C156:G156"/>
    <mergeCell ref="C141:G141"/>
    <mergeCell ref="C248:G248"/>
    <mergeCell ref="C245:G245"/>
    <mergeCell ref="C246:G246"/>
    <mergeCell ref="C247:G247"/>
    <mergeCell ref="C239:G239"/>
    <mergeCell ref="C242:G242"/>
    <mergeCell ref="C240:G240"/>
    <mergeCell ref="C241:G241"/>
    <mergeCell ref="C243:G243"/>
    <mergeCell ref="C244:G244"/>
    <mergeCell ref="C249:G249"/>
    <mergeCell ref="C234:G234"/>
    <mergeCell ref="C232:G232"/>
    <mergeCell ref="C233:G233"/>
    <mergeCell ref="C230:G230"/>
    <mergeCell ref="C231:G231"/>
    <mergeCell ref="C238:G238"/>
    <mergeCell ref="C154:G154"/>
    <mergeCell ref="C155:G155"/>
    <mergeCell ref="C163:G163"/>
    <mergeCell ref="C164:G164"/>
    <mergeCell ref="C167:G167"/>
    <mergeCell ref="C168:G168"/>
    <mergeCell ref="C169:G169"/>
    <mergeCell ref="C165:G165"/>
    <mergeCell ref="C166:G166"/>
    <mergeCell ref="C179:G179"/>
    <mergeCell ref="C180:G180"/>
    <mergeCell ref="C181:G181"/>
    <mergeCell ref="C189:G189"/>
    <mergeCell ref="C190:G190"/>
    <mergeCell ref="C191:G191"/>
    <mergeCell ref="C182:G182"/>
    <mergeCell ref="C183:G183"/>
    <mergeCell ref="C187:G187"/>
    <mergeCell ref="C188:G188"/>
    <mergeCell ref="C184:G184"/>
    <mergeCell ref="C185:G185"/>
    <mergeCell ref="C186:G186"/>
    <mergeCell ref="C145:G145"/>
    <mergeCell ref="C146:G146"/>
    <mergeCell ref="C235:G235"/>
    <mergeCell ref="C237:G237"/>
    <mergeCell ref="C236:G236"/>
    <mergeCell ref="C60:G60"/>
    <mergeCell ref="C61:G61"/>
    <mergeCell ref="I63:M63"/>
    <mergeCell ref="I64:M64"/>
    <mergeCell ref="I65:M65"/>
    <mergeCell ref="I66:M66"/>
    <mergeCell ref="I67:M67"/>
    <mergeCell ref="C62:G62"/>
    <mergeCell ref="C63:G63"/>
    <mergeCell ref="C64:G64"/>
    <mergeCell ref="C67:G67"/>
    <mergeCell ref="C68:G68"/>
    <mergeCell ref="C69:G69"/>
    <mergeCell ref="C65:G65"/>
    <mergeCell ref="C66:G66"/>
    <mergeCell ref="C72:G72"/>
    <mergeCell ref="C73:G73"/>
    <mergeCell ref="C70:G70"/>
    <mergeCell ref="C71:G71"/>
    <mergeCell ref="C74:G74"/>
    <mergeCell ref="I68:M68"/>
    <mergeCell ref="I69:M69"/>
    <mergeCell ref="I70:M70"/>
    <mergeCell ref="I71:M71"/>
    <mergeCell ref="I72:M72"/>
    <mergeCell ref="I73:M73"/>
    <mergeCell ref="I74:M74"/>
    <mergeCell ref="C46:G46"/>
    <mergeCell ref="C47:G47"/>
    <mergeCell ref="C48:G48"/>
    <mergeCell ref="C49:G49"/>
    <mergeCell ref="C45:G45"/>
    <mergeCell ref="I46:M46"/>
    <mergeCell ref="I47:M47"/>
    <mergeCell ref="I48:M48"/>
    <mergeCell ref="I49:M49"/>
    <mergeCell ref="I50:M50"/>
    <mergeCell ref="I45:M45"/>
    <mergeCell ref="C50:G50"/>
    <mergeCell ref="I43:M43"/>
    <mergeCell ref="I44:M44"/>
    <mergeCell ref="I37:M37"/>
    <mergeCell ref="I38:M38"/>
    <mergeCell ref="I39:M39"/>
    <mergeCell ref="I40:M40"/>
    <mergeCell ref="C35:G35"/>
    <mergeCell ref="I36:M36"/>
    <mergeCell ref="C36:G36"/>
    <mergeCell ref="C37:G37"/>
    <mergeCell ref="C38:G38"/>
    <mergeCell ref="C39:G39"/>
    <mergeCell ref="C40:G40"/>
    <mergeCell ref="C33:G33"/>
    <mergeCell ref="C34:G34"/>
    <mergeCell ref="I42:M42"/>
    <mergeCell ref="C43:G43"/>
    <mergeCell ref="C44:G44"/>
    <mergeCell ref="C42:G42"/>
    <mergeCell ref="I41:M41"/>
    <mergeCell ref="C41:G41"/>
    <mergeCell ref="C55:G55"/>
    <mergeCell ref="C56:G56"/>
    <mergeCell ref="C77:G77"/>
    <mergeCell ref="C78:G78"/>
    <mergeCell ref="C76:G76"/>
    <mergeCell ref="C75:G75"/>
    <mergeCell ref="I77:M77"/>
    <mergeCell ref="I51:M51"/>
    <mergeCell ref="I52:M52"/>
    <mergeCell ref="I53:M53"/>
    <mergeCell ref="C54:G54"/>
    <mergeCell ref="C57:G57"/>
    <mergeCell ref="C58:G58"/>
    <mergeCell ref="C59:G59"/>
    <mergeCell ref="C51:G51"/>
    <mergeCell ref="I138:M138"/>
    <mergeCell ref="I139:M139"/>
    <mergeCell ref="I140:M140"/>
    <mergeCell ref="I141:M141"/>
    <mergeCell ref="I142:M142"/>
    <mergeCell ref="I143:M143"/>
    <mergeCell ref="I144:M144"/>
    <mergeCell ref="C135:G135"/>
    <mergeCell ref="C129:G129"/>
    <mergeCell ref="C132:G132"/>
    <mergeCell ref="C133:G133"/>
    <mergeCell ref="C134:G134"/>
    <mergeCell ref="C130:G130"/>
    <mergeCell ref="C131:G131"/>
    <mergeCell ref="I125:M125"/>
    <mergeCell ref="I126:M126"/>
    <mergeCell ref="I127:M127"/>
    <mergeCell ref="I128:M128"/>
    <mergeCell ref="I129:M129"/>
    <mergeCell ref="I131:M131"/>
    <mergeCell ref="I132:M132"/>
    <mergeCell ref="I133:M133"/>
    <mergeCell ref="I134:M134"/>
    <mergeCell ref="I135:M135"/>
    <mergeCell ref="I136:M136"/>
    <mergeCell ref="I137:M137"/>
    <mergeCell ref="I130:M130"/>
    <mergeCell ref="I78:M78"/>
    <mergeCell ref="I79:M79"/>
    <mergeCell ref="I80:M80"/>
    <mergeCell ref="I81:M81"/>
    <mergeCell ref="C52:G52"/>
    <mergeCell ref="C53:G53"/>
    <mergeCell ref="C161:G161"/>
    <mergeCell ref="C162:G162"/>
    <mergeCell ref="C175:G175"/>
    <mergeCell ref="C176:G176"/>
    <mergeCell ref="C170:G170"/>
    <mergeCell ref="C171:G171"/>
    <mergeCell ref="C172:G172"/>
    <mergeCell ref="C173:G173"/>
    <mergeCell ref="C174:G174"/>
    <mergeCell ref="C177:G177"/>
    <mergeCell ref="C178:G178"/>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363</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364</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365</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27:G127"/>
    <mergeCell ref="C126:G126"/>
    <mergeCell ref="C117:G117"/>
    <mergeCell ref="C118:G118"/>
    <mergeCell ref="C115:G115"/>
    <mergeCell ref="C116:G116"/>
    <mergeCell ref="C124:G124"/>
    <mergeCell ref="C125:G125"/>
    <mergeCell ref="C122:G122"/>
    <mergeCell ref="C123:G123"/>
    <mergeCell ref="C120:G120"/>
    <mergeCell ref="C121:G121"/>
    <mergeCell ref="C128:G128"/>
    <mergeCell ref="C119:G119"/>
    <mergeCell ref="I75:M75"/>
    <mergeCell ref="I76:M76"/>
    <mergeCell ref="I82:M82"/>
    <mergeCell ref="I83:M83"/>
    <mergeCell ref="I84:M84"/>
    <mergeCell ref="I85:M85"/>
    <mergeCell ref="I86:M86"/>
    <mergeCell ref="C79:G79"/>
    <mergeCell ref="C80:G80"/>
    <mergeCell ref="C81:G81"/>
    <mergeCell ref="C87:G87"/>
    <mergeCell ref="C88:G88"/>
    <mergeCell ref="C89:G89"/>
    <mergeCell ref="C90:G90"/>
    <mergeCell ref="I87:M87"/>
    <mergeCell ref="I88:M88"/>
    <mergeCell ref="C85:G85"/>
    <mergeCell ref="C86:G86"/>
    <mergeCell ref="C82:G82"/>
    <mergeCell ref="C83:G83"/>
    <mergeCell ref="C84:G84"/>
    <mergeCell ref="I96:M96"/>
    <mergeCell ref="I97:M97"/>
    <mergeCell ref="I89:M89"/>
    <mergeCell ref="I90:M90"/>
    <mergeCell ref="I91:M91"/>
    <mergeCell ref="I92:M92"/>
    <mergeCell ref="I93:M93"/>
    <mergeCell ref="I94:M94"/>
    <mergeCell ref="I95:M95"/>
    <mergeCell ref="I114:M114"/>
    <mergeCell ref="I115:M115"/>
    <mergeCell ref="I107:M107"/>
    <mergeCell ref="I108:M108"/>
    <mergeCell ref="I109:M109"/>
    <mergeCell ref="I110:M110"/>
    <mergeCell ref="I111:M111"/>
    <mergeCell ref="I112:M112"/>
    <mergeCell ref="I113:M113"/>
    <mergeCell ref="I123:M123"/>
    <mergeCell ref="I124:M124"/>
    <mergeCell ref="I116:M116"/>
    <mergeCell ref="I117:M117"/>
    <mergeCell ref="I118:M118"/>
    <mergeCell ref="I119:M119"/>
    <mergeCell ref="I120:M120"/>
    <mergeCell ref="I121:M121"/>
    <mergeCell ref="I122:M122"/>
    <mergeCell ref="C24:G24"/>
    <mergeCell ref="C25:G25"/>
    <mergeCell ref="C26:G26"/>
    <mergeCell ref="C27:G27"/>
    <mergeCell ref="C28:G28"/>
    <mergeCell ref="C29:G29"/>
    <mergeCell ref="C32:G32"/>
    <mergeCell ref="I32:M32"/>
    <mergeCell ref="C1:J1"/>
    <mergeCell ref="C2:G2"/>
    <mergeCell ref="H2:L2"/>
    <mergeCell ref="C23:G23"/>
    <mergeCell ref="I23:M23"/>
    <mergeCell ref="C31:G31"/>
    <mergeCell ref="C30:G30"/>
    <mergeCell ref="C110:G110"/>
    <mergeCell ref="C111:G111"/>
    <mergeCell ref="C109:G109"/>
    <mergeCell ref="C112:G112"/>
    <mergeCell ref="C113:G113"/>
    <mergeCell ref="C114:G114"/>
    <mergeCell ref="C95:G95"/>
    <mergeCell ref="C92:G92"/>
    <mergeCell ref="C91:G91"/>
    <mergeCell ref="I98:M98"/>
    <mergeCell ref="I99:M99"/>
    <mergeCell ref="I100:M100"/>
    <mergeCell ref="I101:M101"/>
    <mergeCell ref="I102:M102"/>
    <mergeCell ref="I103:M103"/>
    <mergeCell ref="I104:M104"/>
    <mergeCell ref="I105:M105"/>
    <mergeCell ref="I106:M106"/>
    <mergeCell ref="C104:G104"/>
    <mergeCell ref="C107:G107"/>
    <mergeCell ref="C108:G108"/>
    <mergeCell ref="C105:G105"/>
    <mergeCell ref="C106:G106"/>
    <mergeCell ref="C93:G93"/>
    <mergeCell ref="C94:G94"/>
    <mergeCell ref="C96:G96"/>
    <mergeCell ref="C97:G97"/>
    <mergeCell ref="C98:G98"/>
    <mergeCell ref="C99:G99"/>
    <mergeCell ref="C102:G102"/>
    <mergeCell ref="C103:G103"/>
    <mergeCell ref="C100:G100"/>
    <mergeCell ref="C101:G101"/>
    <mergeCell ref="I222:M222"/>
    <mergeCell ref="I223:M223"/>
    <mergeCell ref="I224:M224"/>
    <mergeCell ref="I225:M225"/>
    <mergeCell ref="I226:M226"/>
    <mergeCell ref="I227:M227"/>
    <mergeCell ref="I228:M228"/>
    <mergeCell ref="I215:M215"/>
    <mergeCell ref="I216:M216"/>
    <mergeCell ref="I217:M217"/>
    <mergeCell ref="I218:M218"/>
    <mergeCell ref="I219:M219"/>
    <mergeCell ref="I220:M220"/>
    <mergeCell ref="I221:M221"/>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229:M229"/>
    <mergeCell ref="I230:M230"/>
    <mergeCell ref="I231:M231"/>
    <mergeCell ref="I232:M232"/>
    <mergeCell ref="I233:M233"/>
    <mergeCell ref="I234:M234"/>
    <mergeCell ref="I235:M235"/>
    <mergeCell ref="I186:M186"/>
    <mergeCell ref="I187:M187"/>
    <mergeCell ref="I188:M188"/>
    <mergeCell ref="I189:M189"/>
    <mergeCell ref="I190:M190"/>
    <mergeCell ref="I191:M191"/>
    <mergeCell ref="I192:M192"/>
    <mergeCell ref="I202:M202"/>
    <mergeCell ref="I203:M203"/>
    <mergeCell ref="I204:M204"/>
    <mergeCell ref="I205:M205"/>
    <mergeCell ref="I206:M206"/>
    <mergeCell ref="I208:M208"/>
    <mergeCell ref="I209:M209"/>
    <mergeCell ref="I210:M210"/>
    <mergeCell ref="I211:M211"/>
    <mergeCell ref="I213:M213"/>
    <mergeCell ref="I214:M214"/>
    <mergeCell ref="I212:M212"/>
    <mergeCell ref="I207:M207"/>
    <mergeCell ref="I28:M28"/>
    <mergeCell ref="I29:M29"/>
    <mergeCell ref="I152:M152"/>
    <mergeCell ref="I153:M153"/>
    <mergeCell ref="I145:M145"/>
    <mergeCell ref="I146:M146"/>
    <mergeCell ref="I147:M147"/>
    <mergeCell ref="I148:M148"/>
    <mergeCell ref="I149:M149"/>
    <mergeCell ref="I150:M150"/>
    <mergeCell ref="I151:M151"/>
    <mergeCell ref="I161:M161"/>
    <mergeCell ref="I162:M162"/>
    <mergeCell ref="I154:M154"/>
    <mergeCell ref="I155:M155"/>
    <mergeCell ref="I156:M156"/>
    <mergeCell ref="I157:M157"/>
    <mergeCell ref="I158:M158"/>
    <mergeCell ref="I159:M159"/>
    <mergeCell ref="I160:M160"/>
    <mergeCell ref="I170:M170"/>
    <mergeCell ref="I171:M171"/>
    <mergeCell ref="I163:M163"/>
    <mergeCell ref="I164:M164"/>
    <mergeCell ref="I165:M165"/>
    <mergeCell ref="I166:M166"/>
    <mergeCell ref="I167:M167"/>
    <mergeCell ref="I168:M168"/>
    <mergeCell ref="I169:M169"/>
    <mergeCell ref="I184:M184"/>
    <mergeCell ref="I185:M185"/>
    <mergeCell ref="I173:M173"/>
    <mergeCell ref="I174:M174"/>
    <mergeCell ref="I175:M175"/>
    <mergeCell ref="I176:M176"/>
    <mergeCell ref="I172:M172"/>
    <mergeCell ref="I178:M178"/>
    <mergeCell ref="I179:M179"/>
    <mergeCell ref="I180:M180"/>
    <mergeCell ref="I181:M181"/>
    <mergeCell ref="I182:M182"/>
    <mergeCell ref="I183:M183"/>
    <mergeCell ref="I177:M177"/>
    <mergeCell ref="I200:M200"/>
    <mergeCell ref="I201:M201"/>
    <mergeCell ref="I193:M193"/>
    <mergeCell ref="I194:M194"/>
    <mergeCell ref="I195:M195"/>
    <mergeCell ref="I196:M196"/>
    <mergeCell ref="I197:M197"/>
    <mergeCell ref="I198:M198"/>
    <mergeCell ref="I199:M199"/>
    <mergeCell ref="I59:M59"/>
    <mergeCell ref="I60:M60"/>
    <mergeCell ref="I61:M61"/>
    <mergeCell ref="I62:M62"/>
    <mergeCell ref="I54:M54"/>
    <mergeCell ref="I55:M55"/>
    <mergeCell ref="I56:M56"/>
    <mergeCell ref="I57:M57"/>
    <mergeCell ref="I58:M58"/>
    <mergeCell ref="I30:M30"/>
    <mergeCell ref="I31:M31"/>
    <mergeCell ref="I24:M24"/>
    <mergeCell ref="I25:M25"/>
    <mergeCell ref="I33:M33"/>
    <mergeCell ref="I34:M34"/>
    <mergeCell ref="I35:M35"/>
    <mergeCell ref="I26:M26"/>
    <mergeCell ref="I27:M27"/>
    <mergeCell ref="C208:G208"/>
    <mergeCell ref="C205:G205"/>
    <mergeCell ref="C206:G206"/>
    <mergeCell ref="C207:G207"/>
    <mergeCell ref="C197:G197"/>
    <mergeCell ref="C198:G198"/>
    <mergeCell ref="C200:G200"/>
    <mergeCell ref="C204:G204"/>
    <mergeCell ref="C202:G202"/>
    <mergeCell ref="C203:G203"/>
    <mergeCell ref="C201:G201"/>
    <mergeCell ref="C195:G195"/>
    <mergeCell ref="C196:G196"/>
    <mergeCell ref="C199:G199"/>
    <mergeCell ref="C210:G210"/>
    <mergeCell ref="C211:G211"/>
    <mergeCell ref="C192:G192"/>
    <mergeCell ref="C193:G193"/>
    <mergeCell ref="C209:G209"/>
    <mergeCell ref="C194:G194"/>
    <mergeCell ref="C223:G223"/>
    <mergeCell ref="C224:G224"/>
    <mergeCell ref="C227:G227"/>
    <mergeCell ref="C228:G228"/>
    <mergeCell ref="C229:G229"/>
    <mergeCell ref="C225:G225"/>
    <mergeCell ref="C226:G226"/>
    <mergeCell ref="C222:G222"/>
    <mergeCell ref="C219:G219"/>
    <mergeCell ref="C220:G220"/>
    <mergeCell ref="C221:G221"/>
    <mergeCell ref="C212:G212"/>
    <mergeCell ref="C213:G213"/>
    <mergeCell ref="C214:G214"/>
    <mergeCell ref="C217:G217"/>
    <mergeCell ref="C218:G218"/>
    <mergeCell ref="C215:G215"/>
    <mergeCell ref="C216:G216"/>
    <mergeCell ref="C138:G138"/>
    <mergeCell ref="C139:G139"/>
    <mergeCell ref="C142:G142"/>
    <mergeCell ref="C143:G143"/>
    <mergeCell ref="C137:G137"/>
    <mergeCell ref="C140:G140"/>
    <mergeCell ref="C144:G144"/>
    <mergeCell ref="C147:G147"/>
    <mergeCell ref="C148:G148"/>
    <mergeCell ref="C149:G149"/>
    <mergeCell ref="C152:G152"/>
    <mergeCell ref="C153:G153"/>
    <mergeCell ref="C150:G150"/>
    <mergeCell ref="C151:G151"/>
    <mergeCell ref="C136:G136"/>
    <mergeCell ref="C160:G160"/>
    <mergeCell ref="C157:G157"/>
    <mergeCell ref="C158:G158"/>
    <mergeCell ref="C159:G159"/>
    <mergeCell ref="C156:G156"/>
    <mergeCell ref="C141:G141"/>
    <mergeCell ref="C248:G248"/>
    <mergeCell ref="C245:G245"/>
    <mergeCell ref="C246:G246"/>
    <mergeCell ref="C247:G247"/>
    <mergeCell ref="C239:G239"/>
    <mergeCell ref="C242:G242"/>
    <mergeCell ref="C240:G240"/>
    <mergeCell ref="C241:G241"/>
    <mergeCell ref="C243:G243"/>
    <mergeCell ref="C244:G244"/>
    <mergeCell ref="C249:G249"/>
    <mergeCell ref="C234:G234"/>
    <mergeCell ref="C232:G232"/>
    <mergeCell ref="C233:G233"/>
    <mergeCell ref="C230:G230"/>
    <mergeCell ref="C231:G231"/>
    <mergeCell ref="C238:G238"/>
    <mergeCell ref="C154:G154"/>
    <mergeCell ref="C155:G155"/>
    <mergeCell ref="C163:G163"/>
    <mergeCell ref="C164:G164"/>
    <mergeCell ref="C167:G167"/>
    <mergeCell ref="C168:G168"/>
    <mergeCell ref="C169:G169"/>
    <mergeCell ref="C165:G165"/>
    <mergeCell ref="C166:G166"/>
    <mergeCell ref="C179:G179"/>
    <mergeCell ref="C180:G180"/>
    <mergeCell ref="C181:G181"/>
    <mergeCell ref="C189:G189"/>
    <mergeCell ref="C190:G190"/>
    <mergeCell ref="C191:G191"/>
    <mergeCell ref="C182:G182"/>
    <mergeCell ref="C183:G183"/>
    <mergeCell ref="C187:G187"/>
    <mergeCell ref="C188:G188"/>
    <mergeCell ref="C184:G184"/>
    <mergeCell ref="C185:G185"/>
    <mergeCell ref="C186:G186"/>
    <mergeCell ref="C145:G145"/>
    <mergeCell ref="C146:G146"/>
    <mergeCell ref="C235:G235"/>
    <mergeCell ref="C237:G237"/>
    <mergeCell ref="C236:G236"/>
    <mergeCell ref="C60:G60"/>
    <mergeCell ref="C61:G61"/>
    <mergeCell ref="I63:M63"/>
    <mergeCell ref="I64:M64"/>
    <mergeCell ref="I65:M65"/>
    <mergeCell ref="I66:M66"/>
    <mergeCell ref="I67:M67"/>
    <mergeCell ref="C62:G62"/>
    <mergeCell ref="C63:G63"/>
    <mergeCell ref="C64:G64"/>
    <mergeCell ref="C67:G67"/>
    <mergeCell ref="C68:G68"/>
    <mergeCell ref="C69:G69"/>
    <mergeCell ref="C65:G65"/>
    <mergeCell ref="C66:G66"/>
    <mergeCell ref="C72:G72"/>
    <mergeCell ref="C73:G73"/>
    <mergeCell ref="C70:G70"/>
    <mergeCell ref="C71:G71"/>
    <mergeCell ref="C74:G74"/>
    <mergeCell ref="I68:M68"/>
    <mergeCell ref="I69:M69"/>
    <mergeCell ref="I70:M70"/>
    <mergeCell ref="I71:M71"/>
    <mergeCell ref="I72:M72"/>
    <mergeCell ref="I73:M73"/>
    <mergeCell ref="I74:M74"/>
    <mergeCell ref="C46:G46"/>
    <mergeCell ref="C47:G47"/>
    <mergeCell ref="C48:G48"/>
    <mergeCell ref="C49:G49"/>
    <mergeCell ref="C45:G45"/>
    <mergeCell ref="I46:M46"/>
    <mergeCell ref="I47:M47"/>
    <mergeCell ref="I48:M48"/>
    <mergeCell ref="I49:M49"/>
    <mergeCell ref="I50:M50"/>
    <mergeCell ref="I45:M45"/>
    <mergeCell ref="C50:G50"/>
    <mergeCell ref="I43:M43"/>
    <mergeCell ref="I44:M44"/>
    <mergeCell ref="I37:M37"/>
    <mergeCell ref="I38:M38"/>
    <mergeCell ref="I39:M39"/>
    <mergeCell ref="I40:M40"/>
    <mergeCell ref="C35:G35"/>
    <mergeCell ref="I36:M36"/>
    <mergeCell ref="C36:G36"/>
    <mergeCell ref="C37:G37"/>
    <mergeCell ref="C38:G38"/>
    <mergeCell ref="C39:G39"/>
    <mergeCell ref="C40:G40"/>
    <mergeCell ref="C33:G33"/>
    <mergeCell ref="C34:G34"/>
    <mergeCell ref="I42:M42"/>
    <mergeCell ref="C43:G43"/>
    <mergeCell ref="C44:G44"/>
    <mergeCell ref="C42:G42"/>
    <mergeCell ref="I41:M41"/>
    <mergeCell ref="C41:G41"/>
    <mergeCell ref="C55:G55"/>
    <mergeCell ref="C56:G56"/>
    <mergeCell ref="C77:G77"/>
    <mergeCell ref="C78:G78"/>
    <mergeCell ref="C76:G76"/>
    <mergeCell ref="C75:G75"/>
    <mergeCell ref="I77:M77"/>
    <mergeCell ref="I51:M51"/>
    <mergeCell ref="I52:M52"/>
    <mergeCell ref="I53:M53"/>
    <mergeCell ref="C54:G54"/>
    <mergeCell ref="C57:G57"/>
    <mergeCell ref="C58:G58"/>
    <mergeCell ref="C59:G59"/>
    <mergeCell ref="C51:G51"/>
    <mergeCell ref="I138:M138"/>
    <mergeCell ref="I139:M139"/>
    <mergeCell ref="I140:M140"/>
    <mergeCell ref="I141:M141"/>
    <mergeCell ref="I142:M142"/>
    <mergeCell ref="I143:M143"/>
    <mergeCell ref="I144:M144"/>
    <mergeCell ref="C135:G135"/>
    <mergeCell ref="C129:G129"/>
    <mergeCell ref="C132:G132"/>
    <mergeCell ref="C133:G133"/>
    <mergeCell ref="C134:G134"/>
    <mergeCell ref="C130:G130"/>
    <mergeCell ref="C131:G131"/>
    <mergeCell ref="I125:M125"/>
    <mergeCell ref="I126:M126"/>
    <mergeCell ref="I127:M127"/>
    <mergeCell ref="I128:M128"/>
    <mergeCell ref="I129:M129"/>
    <mergeCell ref="I131:M131"/>
    <mergeCell ref="I132:M132"/>
    <mergeCell ref="I133:M133"/>
    <mergeCell ref="I134:M134"/>
    <mergeCell ref="I135:M135"/>
    <mergeCell ref="I136:M136"/>
    <mergeCell ref="I137:M137"/>
    <mergeCell ref="I130:M130"/>
    <mergeCell ref="I78:M78"/>
    <mergeCell ref="I79:M79"/>
    <mergeCell ref="I80:M80"/>
    <mergeCell ref="I81:M81"/>
    <mergeCell ref="C52:G52"/>
    <mergeCell ref="C53:G53"/>
    <mergeCell ref="C161:G161"/>
    <mergeCell ref="C162:G162"/>
    <mergeCell ref="C175:G175"/>
    <mergeCell ref="C176:G176"/>
    <mergeCell ref="C170:G170"/>
    <mergeCell ref="C171:G171"/>
    <mergeCell ref="C172:G172"/>
    <mergeCell ref="C173:G173"/>
    <mergeCell ref="C174:G174"/>
    <mergeCell ref="C177:G177"/>
    <mergeCell ref="C178:G178"/>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366</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367</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368</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29:M129"/>
    <mergeCell ref="I131:M131"/>
    <mergeCell ref="I130:M130"/>
    <mergeCell ref="I133:M133"/>
    <mergeCell ref="I134:M134"/>
    <mergeCell ref="I135:M135"/>
    <mergeCell ref="I136:M136"/>
    <mergeCell ref="I137:M137"/>
    <mergeCell ref="I126:M126"/>
    <mergeCell ref="I132:M132"/>
    <mergeCell ref="I100:M100"/>
    <mergeCell ref="I101:M101"/>
    <mergeCell ref="I86:M86"/>
    <mergeCell ref="I89:M89"/>
    <mergeCell ref="I90:M90"/>
    <mergeCell ref="I91:M91"/>
    <mergeCell ref="I92:M92"/>
    <mergeCell ref="I93:M93"/>
    <mergeCell ref="I63:M63"/>
    <mergeCell ref="I64:M64"/>
    <mergeCell ref="I73:M73"/>
    <mergeCell ref="I74:M74"/>
    <mergeCell ref="I85:M85"/>
    <mergeCell ref="I84:M84"/>
    <mergeCell ref="I98:M98"/>
    <mergeCell ref="I99:M99"/>
    <mergeCell ref="I96:M96"/>
    <mergeCell ref="I97:M97"/>
    <mergeCell ref="I106:M106"/>
    <mergeCell ref="I102:M102"/>
    <mergeCell ref="I113:M113"/>
    <mergeCell ref="I108:M108"/>
    <mergeCell ref="I109:M109"/>
    <mergeCell ref="I110:M110"/>
    <mergeCell ref="I111:M111"/>
    <mergeCell ref="I112:M112"/>
    <mergeCell ref="I114:M114"/>
    <mergeCell ref="I115:M115"/>
    <mergeCell ref="I116:M116"/>
    <mergeCell ref="I117:M117"/>
    <mergeCell ref="I118:M118"/>
    <mergeCell ref="I119:M119"/>
    <mergeCell ref="I120:M120"/>
    <mergeCell ref="I94:M94"/>
    <mergeCell ref="I95:M95"/>
    <mergeCell ref="I107:M107"/>
    <mergeCell ref="I105:M105"/>
    <mergeCell ref="I125:M125"/>
    <mergeCell ref="I123:M123"/>
    <mergeCell ref="I124:M124"/>
    <mergeCell ref="I122:M122"/>
    <mergeCell ref="I121:M121"/>
    <mergeCell ref="I103:M103"/>
    <mergeCell ref="I104:M104"/>
    <mergeCell ref="C81:G81"/>
    <mergeCell ref="C87:G87"/>
    <mergeCell ref="C85:G85"/>
    <mergeCell ref="C86:G86"/>
    <mergeCell ref="C82:G82"/>
    <mergeCell ref="C83:G83"/>
    <mergeCell ref="C84:G84"/>
    <mergeCell ref="C88:G88"/>
    <mergeCell ref="C89:G89"/>
    <mergeCell ref="C95:G95"/>
    <mergeCell ref="C92:G92"/>
    <mergeCell ref="C78:G78"/>
    <mergeCell ref="C72:G72"/>
    <mergeCell ref="C70:G70"/>
    <mergeCell ref="C71:G71"/>
    <mergeCell ref="C60:G60"/>
    <mergeCell ref="C61:G61"/>
    <mergeCell ref="C99:G99"/>
    <mergeCell ref="C91:G91"/>
    <mergeCell ref="C64:G64"/>
    <mergeCell ref="C65:G65"/>
    <mergeCell ref="C90:G90"/>
    <mergeCell ref="C93:G93"/>
    <mergeCell ref="C94:G94"/>
    <mergeCell ref="C96:G96"/>
    <mergeCell ref="C73:G73"/>
    <mergeCell ref="C74:G74"/>
    <mergeCell ref="C100:G100"/>
    <mergeCell ref="C101:G101"/>
    <mergeCell ref="C97:G97"/>
    <mergeCell ref="C98:G98"/>
    <mergeCell ref="C104:G104"/>
    <mergeCell ref="C102:G102"/>
    <mergeCell ref="I80:M80"/>
    <mergeCell ref="I82:M82"/>
    <mergeCell ref="I81:M81"/>
    <mergeCell ref="I87:M87"/>
    <mergeCell ref="I88:M88"/>
    <mergeCell ref="C77:G77"/>
    <mergeCell ref="C76:G76"/>
    <mergeCell ref="I77:M77"/>
    <mergeCell ref="I76:M76"/>
    <mergeCell ref="I83:M83"/>
    <mergeCell ref="C75:G75"/>
    <mergeCell ref="I75:M75"/>
    <mergeCell ref="I66:M66"/>
    <mergeCell ref="I67:M67"/>
    <mergeCell ref="C69:G69"/>
    <mergeCell ref="C67:G67"/>
    <mergeCell ref="C68:G68"/>
    <mergeCell ref="C66:G66"/>
    <mergeCell ref="C62:G62"/>
    <mergeCell ref="C63:G63"/>
    <mergeCell ref="C108:G108"/>
    <mergeCell ref="C107:G107"/>
    <mergeCell ref="C105:G105"/>
    <mergeCell ref="C106:G106"/>
    <mergeCell ref="C103:G103"/>
    <mergeCell ref="I65:M65"/>
    <mergeCell ref="I60:M60"/>
    <mergeCell ref="I61:M61"/>
    <mergeCell ref="I62:M62"/>
    <mergeCell ref="I78:M78"/>
    <mergeCell ref="I79:M79"/>
    <mergeCell ref="I68:M68"/>
    <mergeCell ref="I69:M69"/>
    <mergeCell ref="I70:M70"/>
    <mergeCell ref="I71:M71"/>
    <mergeCell ref="I72:M72"/>
    <mergeCell ref="C79:G79"/>
    <mergeCell ref="C80:G80"/>
    <mergeCell ref="I181:M181"/>
    <mergeCell ref="I177:M177"/>
    <mergeCell ref="I178:M178"/>
    <mergeCell ref="I179:M179"/>
    <mergeCell ref="I180:M180"/>
    <mergeCell ref="I169:M169"/>
    <mergeCell ref="I170:M170"/>
    <mergeCell ref="I163:M163"/>
    <mergeCell ref="I164:M164"/>
    <mergeCell ref="I165:M165"/>
    <mergeCell ref="I166:M166"/>
    <mergeCell ref="I168:M168"/>
    <mergeCell ref="I171:M171"/>
    <mergeCell ref="I162:M162"/>
    <mergeCell ref="I187:M187"/>
    <mergeCell ref="I182:M182"/>
    <mergeCell ref="I183:M183"/>
    <mergeCell ref="I176:M176"/>
    <mergeCell ref="I186:M186"/>
    <mergeCell ref="I167:M167"/>
    <mergeCell ref="I157:M157"/>
    <mergeCell ref="I158:M158"/>
    <mergeCell ref="I161:M161"/>
    <mergeCell ref="I154:M154"/>
    <mergeCell ref="I155:M155"/>
    <mergeCell ref="I156:M156"/>
    <mergeCell ref="I159:M159"/>
    <mergeCell ref="I160:M160"/>
    <mergeCell ref="I153:M153"/>
    <mergeCell ref="I184:M184"/>
    <mergeCell ref="I185:M185"/>
    <mergeCell ref="I189:M189"/>
    <mergeCell ref="I190:M190"/>
    <mergeCell ref="I191:M191"/>
    <mergeCell ref="I192:M192"/>
    <mergeCell ref="I188:M188"/>
    <mergeCell ref="I173:M173"/>
    <mergeCell ref="I174:M174"/>
    <mergeCell ref="I175:M175"/>
    <mergeCell ref="I172:M172"/>
    <mergeCell ref="I127:M127"/>
    <mergeCell ref="I128:M128"/>
    <mergeCell ref="I151:M151"/>
    <mergeCell ref="I152:M152"/>
    <mergeCell ref="I150:M150"/>
    <mergeCell ref="I145:M145"/>
    <mergeCell ref="I146:M146"/>
    <mergeCell ref="I147:M147"/>
    <mergeCell ref="I202:M202"/>
    <mergeCell ref="I203:M203"/>
    <mergeCell ref="I209:M209"/>
    <mergeCell ref="I210:M210"/>
    <mergeCell ref="I204:M204"/>
    <mergeCell ref="I205:M205"/>
    <mergeCell ref="I206:M206"/>
    <mergeCell ref="I208:M208"/>
    <mergeCell ref="I207:M207"/>
    <mergeCell ref="C197:G197"/>
    <mergeCell ref="C195:G195"/>
    <mergeCell ref="C196:G196"/>
    <mergeCell ref="I196:M196"/>
    <mergeCell ref="I197:M197"/>
    <mergeCell ref="C189:G189"/>
    <mergeCell ref="C190:G190"/>
    <mergeCell ref="C187:G187"/>
    <mergeCell ref="C188:G188"/>
    <mergeCell ref="C186:G186"/>
    <mergeCell ref="C219:G219"/>
    <mergeCell ref="C217:G217"/>
    <mergeCell ref="C218:G218"/>
    <mergeCell ref="C210:G210"/>
    <mergeCell ref="C211:G211"/>
    <mergeCell ref="C209:G209"/>
    <mergeCell ref="C220:G220"/>
    <mergeCell ref="C212:G212"/>
    <mergeCell ref="C213:G213"/>
    <mergeCell ref="C214:G214"/>
    <mergeCell ref="C215:G215"/>
    <mergeCell ref="C216:G216"/>
    <mergeCell ref="I198:M198"/>
    <mergeCell ref="I199:M199"/>
    <mergeCell ref="I200:M200"/>
    <mergeCell ref="I201:M201"/>
    <mergeCell ref="I193:M193"/>
    <mergeCell ref="I194:M194"/>
    <mergeCell ref="I195:M195"/>
    <mergeCell ref="C227:G227"/>
    <mergeCell ref="C228:G228"/>
    <mergeCell ref="C229:G229"/>
    <mergeCell ref="C226:G226"/>
    <mergeCell ref="C224:G224"/>
    <mergeCell ref="C225:G225"/>
    <mergeCell ref="C223:G223"/>
    <mergeCell ref="I228:M228"/>
    <mergeCell ref="C192:G192"/>
    <mergeCell ref="C191:G191"/>
    <mergeCell ref="C193:G193"/>
    <mergeCell ref="C194:G194"/>
    <mergeCell ref="C198:G198"/>
    <mergeCell ref="C200:G200"/>
    <mergeCell ref="C199:G199"/>
    <mergeCell ref="C221:G221"/>
    <mergeCell ref="C222:G222"/>
    <mergeCell ref="C208:G208"/>
    <mergeCell ref="C205:G205"/>
    <mergeCell ref="C206:G206"/>
    <mergeCell ref="C207:G207"/>
    <mergeCell ref="C204:G204"/>
    <mergeCell ref="C202:G202"/>
    <mergeCell ref="C203:G203"/>
    <mergeCell ref="C201:G201"/>
    <mergeCell ref="C137:G137"/>
    <mergeCell ref="C136:G136"/>
    <mergeCell ref="C135:G135"/>
    <mergeCell ref="C175:G175"/>
    <mergeCell ref="C176:G176"/>
    <mergeCell ref="C174:G174"/>
    <mergeCell ref="C134:G134"/>
    <mergeCell ref="C160:G160"/>
    <mergeCell ref="C169:G169"/>
    <mergeCell ref="C161:G161"/>
    <mergeCell ref="C162:G162"/>
    <mergeCell ref="C163:G163"/>
    <mergeCell ref="C164:G164"/>
    <mergeCell ref="C167:G167"/>
    <mergeCell ref="C168:G168"/>
    <mergeCell ref="C159:G159"/>
    <mergeCell ref="C156:G156"/>
    <mergeCell ref="C154:G154"/>
    <mergeCell ref="C155:G155"/>
    <mergeCell ref="C153:G153"/>
    <mergeCell ref="C152:G152"/>
    <mergeCell ref="C138:G138"/>
    <mergeCell ref="C145:G145"/>
    <mergeCell ref="C146:G146"/>
    <mergeCell ref="C144:G144"/>
    <mergeCell ref="C147:G147"/>
    <mergeCell ref="C148:G148"/>
    <mergeCell ref="C149:G149"/>
    <mergeCell ref="C150:G150"/>
    <mergeCell ref="C151:G151"/>
    <mergeCell ref="C128:G128"/>
    <mergeCell ref="C129:G129"/>
    <mergeCell ref="C130:G130"/>
    <mergeCell ref="C132:G132"/>
    <mergeCell ref="C133:G133"/>
    <mergeCell ref="C131:G131"/>
    <mergeCell ref="C165:G165"/>
    <mergeCell ref="C166:G166"/>
    <mergeCell ref="C120:G120"/>
    <mergeCell ref="C121:G121"/>
    <mergeCell ref="C127:G127"/>
    <mergeCell ref="C126:G126"/>
    <mergeCell ref="C157:G157"/>
    <mergeCell ref="C158:G158"/>
    <mergeCell ref="C118:G118"/>
    <mergeCell ref="C119:G119"/>
    <mergeCell ref="C124:G124"/>
    <mergeCell ref="C122:G122"/>
    <mergeCell ref="C123:G123"/>
    <mergeCell ref="C125:G125"/>
    <mergeCell ref="I148:M148"/>
    <mergeCell ref="I149:M149"/>
    <mergeCell ref="I138:M138"/>
    <mergeCell ref="I139:M139"/>
    <mergeCell ref="I140:M140"/>
    <mergeCell ref="I141:M141"/>
    <mergeCell ref="I142:M142"/>
    <mergeCell ref="I143:M143"/>
    <mergeCell ref="I144:M144"/>
    <mergeCell ref="C140:G140"/>
    <mergeCell ref="C141:G141"/>
    <mergeCell ref="C139:G139"/>
    <mergeCell ref="C142:G142"/>
    <mergeCell ref="C143:G143"/>
    <mergeCell ref="C177:G177"/>
    <mergeCell ref="C178:G178"/>
    <mergeCell ref="C170:G170"/>
    <mergeCell ref="C171:G171"/>
    <mergeCell ref="C172:G172"/>
    <mergeCell ref="C173:G173"/>
    <mergeCell ref="C179:G179"/>
    <mergeCell ref="C180:G180"/>
    <mergeCell ref="C181:G181"/>
    <mergeCell ref="C182:G182"/>
    <mergeCell ref="C183:G183"/>
    <mergeCell ref="C184:G184"/>
    <mergeCell ref="C185:G185"/>
    <mergeCell ref="C110:G110"/>
    <mergeCell ref="C111:G111"/>
    <mergeCell ref="C112:G112"/>
    <mergeCell ref="C113:G113"/>
    <mergeCell ref="C117:G117"/>
    <mergeCell ref="C115:G115"/>
    <mergeCell ref="C116:G116"/>
    <mergeCell ref="C114:G114"/>
    <mergeCell ref="I34:M34"/>
    <mergeCell ref="I35:M35"/>
    <mergeCell ref="I33:M33"/>
    <mergeCell ref="I32:M32"/>
    <mergeCell ref="I37:M37"/>
    <mergeCell ref="I36:M36"/>
    <mergeCell ref="I51:M51"/>
    <mergeCell ref="I52:M52"/>
    <mergeCell ref="I29:M29"/>
    <mergeCell ref="I30:M30"/>
    <mergeCell ref="I53:M53"/>
    <mergeCell ref="I31:M31"/>
    <mergeCell ref="I48:M48"/>
    <mergeCell ref="I49:M49"/>
    <mergeCell ref="I50:M50"/>
    <mergeCell ref="I45:M45"/>
    <mergeCell ref="I43:M43"/>
    <mergeCell ref="I44:M44"/>
    <mergeCell ref="I40:M40"/>
    <mergeCell ref="C56:G56"/>
    <mergeCell ref="C55:G55"/>
    <mergeCell ref="C54:G54"/>
    <mergeCell ref="C57:G57"/>
    <mergeCell ref="C58:G58"/>
    <mergeCell ref="C59:G59"/>
    <mergeCell ref="C109:G109"/>
    <mergeCell ref="I55:M55"/>
    <mergeCell ref="I56:M56"/>
    <mergeCell ref="I57:M57"/>
    <mergeCell ref="I58:M58"/>
    <mergeCell ref="I59:M59"/>
    <mergeCell ref="I54:M54"/>
    <mergeCell ref="I42:M42"/>
    <mergeCell ref="I41:M41"/>
    <mergeCell ref="C45:G45"/>
    <mergeCell ref="C50:G50"/>
    <mergeCell ref="C53:G53"/>
    <mergeCell ref="C46:G46"/>
    <mergeCell ref="C47:G47"/>
    <mergeCell ref="I38:M38"/>
    <mergeCell ref="I39:M39"/>
    <mergeCell ref="C32:G32"/>
    <mergeCell ref="C31:G31"/>
    <mergeCell ref="C35:G35"/>
    <mergeCell ref="C36:G36"/>
    <mergeCell ref="C37:G37"/>
    <mergeCell ref="C34:G34"/>
    <mergeCell ref="I25:M25"/>
    <mergeCell ref="I26:M26"/>
    <mergeCell ref="I27:M27"/>
    <mergeCell ref="I28:M28"/>
    <mergeCell ref="C24:G24"/>
    <mergeCell ref="C25:G25"/>
    <mergeCell ref="C26:G26"/>
    <mergeCell ref="C27:G27"/>
    <mergeCell ref="C29:G29"/>
    <mergeCell ref="C30:G30"/>
    <mergeCell ref="C39:G39"/>
    <mergeCell ref="C40:G40"/>
    <mergeCell ref="C1:J1"/>
    <mergeCell ref="C2:G2"/>
    <mergeCell ref="H2:L2"/>
    <mergeCell ref="C23:G23"/>
    <mergeCell ref="C28:G28"/>
    <mergeCell ref="C48:G48"/>
    <mergeCell ref="C49:G49"/>
    <mergeCell ref="C51:G51"/>
    <mergeCell ref="C52:G52"/>
    <mergeCell ref="I46:M46"/>
    <mergeCell ref="I47:M47"/>
    <mergeCell ref="C43:G43"/>
    <mergeCell ref="C44:G44"/>
    <mergeCell ref="C42:G42"/>
    <mergeCell ref="C41:G41"/>
    <mergeCell ref="C38:G38"/>
    <mergeCell ref="C33:G33"/>
    <mergeCell ref="I23:M23"/>
    <mergeCell ref="I24:M24"/>
    <mergeCell ref="I219:M219"/>
    <mergeCell ref="I220:M220"/>
    <mergeCell ref="I212:M212"/>
    <mergeCell ref="I211:M211"/>
    <mergeCell ref="I213:M213"/>
    <mergeCell ref="I215:M215"/>
    <mergeCell ref="I216:M216"/>
    <mergeCell ref="I217:M217"/>
    <mergeCell ref="I218:M218"/>
    <mergeCell ref="I214:M214"/>
    <mergeCell ref="I230:M230"/>
    <mergeCell ref="C230:G230"/>
    <mergeCell ref="I229:M229"/>
    <mergeCell ref="I231:M231"/>
    <mergeCell ref="I233:M233"/>
    <mergeCell ref="I234:M234"/>
    <mergeCell ref="I235:M235"/>
    <mergeCell ref="C233:G233"/>
    <mergeCell ref="C231:G231"/>
    <mergeCell ref="I222:M222"/>
    <mergeCell ref="I223:M223"/>
    <mergeCell ref="I224:M224"/>
    <mergeCell ref="I225:M225"/>
    <mergeCell ref="I226:M226"/>
    <mergeCell ref="I227:M227"/>
    <mergeCell ref="I221:M221"/>
    <mergeCell ref="C246:G246"/>
    <mergeCell ref="C247:G247"/>
    <mergeCell ref="I245:M245"/>
    <mergeCell ref="I246:M246"/>
    <mergeCell ref="I247:M247"/>
    <mergeCell ref="I248:M248"/>
    <mergeCell ref="I249:M249"/>
    <mergeCell ref="C248:G248"/>
    <mergeCell ref="C245:G245"/>
    <mergeCell ref="C249:G249"/>
    <mergeCell ref="I232:M232"/>
    <mergeCell ref="C232:G232"/>
    <mergeCell ref="C234:G234"/>
    <mergeCell ref="C235:G235"/>
    <mergeCell ref="C238:G238"/>
    <mergeCell ref="C237:G237"/>
    <mergeCell ref="C239:G239"/>
    <mergeCell ref="C236:G236"/>
    <mergeCell ref="I236:M236"/>
    <mergeCell ref="I237:M237"/>
    <mergeCell ref="I238:M238"/>
    <mergeCell ref="I239:M239"/>
    <mergeCell ref="C240:G240"/>
    <mergeCell ref="I240:M240"/>
    <mergeCell ref="I244:M244"/>
    <mergeCell ref="I243:M243"/>
    <mergeCell ref="C243:G243"/>
    <mergeCell ref="C244:G244"/>
    <mergeCell ref="I242:M242"/>
    <mergeCell ref="C242:G242"/>
    <mergeCell ref="C241:G241"/>
    <mergeCell ref="I241:M241"/>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369</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29:M129"/>
    <mergeCell ref="I131:M131"/>
    <mergeCell ref="I130:M130"/>
    <mergeCell ref="I133:M133"/>
    <mergeCell ref="I134:M134"/>
    <mergeCell ref="I135:M135"/>
    <mergeCell ref="I136:M136"/>
    <mergeCell ref="I137:M137"/>
    <mergeCell ref="I126:M126"/>
    <mergeCell ref="I132:M132"/>
    <mergeCell ref="I100:M100"/>
    <mergeCell ref="I101:M101"/>
    <mergeCell ref="I86:M86"/>
    <mergeCell ref="I89:M89"/>
    <mergeCell ref="I90:M90"/>
    <mergeCell ref="I91:M91"/>
    <mergeCell ref="I92:M92"/>
    <mergeCell ref="I93:M93"/>
    <mergeCell ref="I63:M63"/>
    <mergeCell ref="I64:M64"/>
    <mergeCell ref="I73:M73"/>
    <mergeCell ref="I74:M74"/>
    <mergeCell ref="I85:M85"/>
    <mergeCell ref="I84:M84"/>
    <mergeCell ref="I98:M98"/>
    <mergeCell ref="I99:M99"/>
    <mergeCell ref="I96:M96"/>
    <mergeCell ref="I97:M97"/>
    <mergeCell ref="I106:M106"/>
    <mergeCell ref="I102:M102"/>
    <mergeCell ref="I113:M113"/>
    <mergeCell ref="I108:M108"/>
    <mergeCell ref="I109:M109"/>
    <mergeCell ref="I110:M110"/>
    <mergeCell ref="I111:M111"/>
    <mergeCell ref="I112:M112"/>
    <mergeCell ref="I114:M114"/>
    <mergeCell ref="I115:M115"/>
    <mergeCell ref="I116:M116"/>
    <mergeCell ref="I117:M117"/>
    <mergeCell ref="I118:M118"/>
    <mergeCell ref="I119:M119"/>
    <mergeCell ref="I120:M120"/>
    <mergeCell ref="I94:M94"/>
    <mergeCell ref="I95:M95"/>
    <mergeCell ref="I107:M107"/>
    <mergeCell ref="I105:M105"/>
    <mergeCell ref="I125:M125"/>
    <mergeCell ref="I123:M123"/>
    <mergeCell ref="I124:M124"/>
    <mergeCell ref="I122:M122"/>
    <mergeCell ref="I121:M121"/>
    <mergeCell ref="I103:M103"/>
    <mergeCell ref="I104:M104"/>
    <mergeCell ref="C81:G81"/>
    <mergeCell ref="C87:G87"/>
    <mergeCell ref="C85:G85"/>
    <mergeCell ref="C86:G86"/>
    <mergeCell ref="C82:G82"/>
    <mergeCell ref="C83:G83"/>
    <mergeCell ref="C84:G84"/>
    <mergeCell ref="C88:G88"/>
    <mergeCell ref="C89:G89"/>
    <mergeCell ref="C95:G95"/>
    <mergeCell ref="C92:G92"/>
    <mergeCell ref="C78:G78"/>
    <mergeCell ref="C72:G72"/>
    <mergeCell ref="C70:G70"/>
    <mergeCell ref="C71:G71"/>
    <mergeCell ref="C60:G60"/>
    <mergeCell ref="C61:G61"/>
    <mergeCell ref="C99:G99"/>
    <mergeCell ref="C91:G91"/>
    <mergeCell ref="C64:G64"/>
    <mergeCell ref="C65:G65"/>
    <mergeCell ref="C90:G90"/>
    <mergeCell ref="C93:G93"/>
    <mergeCell ref="C94:G94"/>
    <mergeCell ref="C96:G96"/>
    <mergeCell ref="C73:G73"/>
    <mergeCell ref="C74:G74"/>
    <mergeCell ref="C100:G100"/>
    <mergeCell ref="C101:G101"/>
    <mergeCell ref="C97:G97"/>
    <mergeCell ref="C98:G98"/>
    <mergeCell ref="C104:G104"/>
    <mergeCell ref="C102:G102"/>
    <mergeCell ref="I80:M80"/>
    <mergeCell ref="I82:M82"/>
    <mergeCell ref="I81:M81"/>
    <mergeCell ref="I87:M87"/>
    <mergeCell ref="I88:M88"/>
    <mergeCell ref="C77:G77"/>
    <mergeCell ref="C76:G76"/>
    <mergeCell ref="I77:M77"/>
    <mergeCell ref="I76:M76"/>
    <mergeCell ref="I83:M83"/>
    <mergeCell ref="C75:G75"/>
    <mergeCell ref="I75:M75"/>
    <mergeCell ref="I66:M66"/>
    <mergeCell ref="I67:M67"/>
    <mergeCell ref="C69:G69"/>
    <mergeCell ref="C67:G67"/>
    <mergeCell ref="C68:G68"/>
    <mergeCell ref="C66:G66"/>
    <mergeCell ref="C62:G62"/>
    <mergeCell ref="C63:G63"/>
    <mergeCell ref="C108:G108"/>
    <mergeCell ref="C107:G107"/>
    <mergeCell ref="C105:G105"/>
    <mergeCell ref="C106:G106"/>
    <mergeCell ref="C103:G103"/>
    <mergeCell ref="I65:M65"/>
    <mergeCell ref="I60:M60"/>
    <mergeCell ref="I61:M61"/>
    <mergeCell ref="I62:M62"/>
    <mergeCell ref="I78:M78"/>
    <mergeCell ref="I79:M79"/>
    <mergeCell ref="I68:M68"/>
    <mergeCell ref="I69:M69"/>
    <mergeCell ref="I70:M70"/>
    <mergeCell ref="I71:M71"/>
    <mergeCell ref="I72:M72"/>
    <mergeCell ref="C79:G79"/>
    <mergeCell ref="C80:G80"/>
    <mergeCell ref="I181:M181"/>
    <mergeCell ref="I177:M177"/>
    <mergeCell ref="I178:M178"/>
    <mergeCell ref="I179:M179"/>
    <mergeCell ref="I180:M180"/>
    <mergeCell ref="I169:M169"/>
    <mergeCell ref="I170:M170"/>
    <mergeCell ref="I163:M163"/>
    <mergeCell ref="I164:M164"/>
    <mergeCell ref="I165:M165"/>
    <mergeCell ref="I166:M166"/>
    <mergeCell ref="I168:M168"/>
    <mergeCell ref="I171:M171"/>
    <mergeCell ref="I162:M162"/>
    <mergeCell ref="I187:M187"/>
    <mergeCell ref="I182:M182"/>
    <mergeCell ref="I183:M183"/>
    <mergeCell ref="I176:M176"/>
    <mergeCell ref="I186:M186"/>
    <mergeCell ref="I167:M167"/>
    <mergeCell ref="I157:M157"/>
    <mergeCell ref="I158:M158"/>
    <mergeCell ref="I161:M161"/>
    <mergeCell ref="I154:M154"/>
    <mergeCell ref="I155:M155"/>
    <mergeCell ref="I156:M156"/>
    <mergeCell ref="I159:M159"/>
    <mergeCell ref="I160:M160"/>
    <mergeCell ref="I153:M153"/>
    <mergeCell ref="I184:M184"/>
    <mergeCell ref="I185:M185"/>
    <mergeCell ref="I189:M189"/>
    <mergeCell ref="I190:M190"/>
    <mergeCell ref="I191:M191"/>
    <mergeCell ref="I192:M192"/>
    <mergeCell ref="I188:M188"/>
    <mergeCell ref="I173:M173"/>
    <mergeCell ref="I174:M174"/>
    <mergeCell ref="I175:M175"/>
    <mergeCell ref="I172:M172"/>
    <mergeCell ref="I127:M127"/>
    <mergeCell ref="I128:M128"/>
    <mergeCell ref="I151:M151"/>
    <mergeCell ref="I152:M152"/>
    <mergeCell ref="I150:M150"/>
    <mergeCell ref="I145:M145"/>
    <mergeCell ref="I146:M146"/>
    <mergeCell ref="I147:M147"/>
    <mergeCell ref="I202:M202"/>
    <mergeCell ref="I203:M203"/>
    <mergeCell ref="I209:M209"/>
    <mergeCell ref="I210:M210"/>
    <mergeCell ref="I204:M204"/>
    <mergeCell ref="I205:M205"/>
    <mergeCell ref="I206:M206"/>
    <mergeCell ref="I208:M208"/>
    <mergeCell ref="I207:M207"/>
    <mergeCell ref="C197:G197"/>
    <mergeCell ref="C195:G195"/>
    <mergeCell ref="C196:G196"/>
    <mergeCell ref="I196:M196"/>
    <mergeCell ref="I197:M197"/>
    <mergeCell ref="C189:G189"/>
    <mergeCell ref="C190:G190"/>
    <mergeCell ref="C187:G187"/>
    <mergeCell ref="C188:G188"/>
    <mergeCell ref="C186:G186"/>
    <mergeCell ref="C219:G219"/>
    <mergeCell ref="C217:G217"/>
    <mergeCell ref="C218:G218"/>
    <mergeCell ref="C210:G210"/>
    <mergeCell ref="C211:G211"/>
    <mergeCell ref="C209:G209"/>
    <mergeCell ref="C220:G220"/>
    <mergeCell ref="C212:G212"/>
    <mergeCell ref="C213:G213"/>
    <mergeCell ref="C214:G214"/>
    <mergeCell ref="C215:G215"/>
    <mergeCell ref="C216:G216"/>
    <mergeCell ref="I198:M198"/>
    <mergeCell ref="I199:M199"/>
    <mergeCell ref="I200:M200"/>
    <mergeCell ref="I201:M201"/>
    <mergeCell ref="I193:M193"/>
    <mergeCell ref="I194:M194"/>
    <mergeCell ref="I195:M195"/>
    <mergeCell ref="C227:G227"/>
    <mergeCell ref="C228:G228"/>
    <mergeCell ref="C229:G229"/>
    <mergeCell ref="C226:G226"/>
    <mergeCell ref="C224:G224"/>
    <mergeCell ref="C225:G225"/>
    <mergeCell ref="C223:G223"/>
    <mergeCell ref="I228:M228"/>
    <mergeCell ref="C192:G192"/>
    <mergeCell ref="C191:G191"/>
    <mergeCell ref="C193:G193"/>
    <mergeCell ref="C194:G194"/>
    <mergeCell ref="C198:G198"/>
    <mergeCell ref="C200:G200"/>
    <mergeCell ref="C199:G199"/>
    <mergeCell ref="C221:G221"/>
    <mergeCell ref="C222:G222"/>
    <mergeCell ref="C208:G208"/>
    <mergeCell ref="C205:G205"/>
    <mergeCell ref="C206:G206"/>
    <mergeCell ref="C207:G207"/>
    <mergeCell ref="C204:G204"/>
    <mergeCell ref="C202:G202"/>
    <mergeCell ref="C203:G203"/>
    <mergeCell ref="C201:G201"/>
    <mergeCell ref="C137:G137"/>
    <mergeCell ref="C136:G136"/>
    <mergeCell ref="C135:G135"/>
    <mergeCell ref="C175:G175"/>
    <mergeCell ref="C176:G176"/>
    <mergeCell ref="C174:G174"/>
    <mergeCell ref="C134:G134"/>
    <mergeCell ref="C160:G160"/>
    <mergeCell ref="C169:G169"/>
    <mergeCell ref="C161:G161"/>
    <mergeCell ref="C162:G162"/>
    <mergeCell ref="C163:G163"/>
    <mergeCell ref="C164:G164"/>
    <mergeCell ref="C167:G167"/>
    <mergeCell ref="C168:G168"/>
    <mergeCell ref="C159:G159"/>
    <mergeCell ref="C156:G156"/>
    <mergeCell ref="C154:G154"/>
    <mergeCell ref="C155:G155"/>
    <mergeCell ref="C153:G153"/>
    <mergeCell ref="C152:G152"/>
    <mergeCell ref="C138:G138"/>
    <mergeCell ref="C145:G145"/>
    <mergeCell ref="C146:G146"/>
    <mergeCell ref="C144:G144"/>
    <mergeCell ref="C147:G147"/>
    <mergeCell ref="C148:G148"/>
    <mergeCell ref="C149:G149"/>
    <mergeCell ref="C150:G150"/>
    <mergeCell ref="C151:G151"/>
    <mergeCell ref="C128:G128"/>
    <mergeCell ref="C129:G129"/>
    <mergeCell ref="C130:G130"/>
    <mergeCell ref="C132:G132"/>
    <mergeCell ref="C133:G133"/>
    <mergeCell ref="C131:G131"/>
    <mergeCell ref="C165:G165"/>
    <mergeCell ref="C166:G166"/>
    <mergeCell ref="C120:G120"/>
    <mergeCell ref="C121:G121"/>
    <mergeCell ref="C127:G127"/>
    <mergeCell ref="C126:G126"/>
    <mergeCell ref="C157:G157"/>
    <mergeCell ref="C158:G158"/>
    <mergeCell ref="C118:G118"/>
    <mergeCell ref="C119:G119"/>
    <mergeCell ref="C124:G124"/>
    <mergeCell ref="C122:G122"/>
    <mergeCell ref="C123:G123"/>
    <mergeCell ref="C125:G125"/>
    <mergeCell ref="I148:M148"/>
    <mergeCell ref="I149:M149"/>
    <mergeCell ref="I138:M138"/>
    <mergeCell ref="I139:M139"/>
    <mergeCell ref="I140:M140"/>
    <mergeCell ref="I141:M141"/>
    <mergeCell ref="I142:M142"/>
    <mergeCell ref="I143:M143"/>
    <mergeCell ref="I144:M144"/>
    <mergeCell ref="C140:G140"/>
    <mergeCell ref="C141:G141"/>
    <mergeCell ref="C139:G139"/>
    <mergeCell ref="C142:G142"/>
    <mergeCell ref="C143:G143"/>
    <mergeCell ref="C177:G177"/>
    <mergeCell ref="C178:G178"/>
    <mergeCell ref="C170:G170"/>
    <mergeCell ref="C171:G171"/>
    <mergeCell ref="C172:G172"/>
    <mergeCell ref="C173:G173"/>
    <mergeCell ref="C179:G179"/>
    <mergeCell ref="C180:G180"/>
    <mergeCell ref="C181:G181"/>
    <mergeCell ref="C182:G182"/>
    <mergeCell ref="C183:G183"/>
    <mergeCell ref="C184:G184"/>
    <mergeCell ref="C185:G185"/>
    <mergeCell ref="C110:G110"/>
    <mergeCell ref="C111:G111"/>
    <mergeCell ref="C112:G112"/>
    <mergeCell ref="C113:G113"/>
    <mergeCell ref="C117:G117"/>
    <mergeCell ref="C115:G115"/>
    <mergeCell ref="C116:G116"/>
    <mergeCell ref="C114:G114"/>
    <mergeCell ref="I34:M34"/>
    <mergeCell ref="I35:M35"/>
    <mergeCell ref="I33:M33"/>
    <mergeCell ref="I32:M32"/>
    <mergeCell ref="I37:M37"/>
    <mergeCell ref="I36:M36"/>
    <mergeCell ref="I51:M51"/>
    <mergeCell ref="I52:M52"/>
    <mergeCell ref="I29:M29"/>
    <mergeCell ref="I30:M30"/>
    <mergeCell ref="I53:M53"/>
    <mergeCell ref="I31:M31"/>
    <mergeCell ref="I48:M48"/>
    <mergeCell ref="I49:M49"/>
    <mergeCell ref="I50:M50"/>
    <mergeCell ref="I45:M45"/>
    <mergeCell ref="I43:M43"/>
    <mergeCell ref="I44:M44"/>
    <mergeCell ref="I40:M40"/>
    <mergeCell ref="C56:G56"/>
    <mergeCell ref="C55:G55"/>
    <mergeCell ref="C54:G54"/>
    <mergeCell ref="C57:G57"/>
    <mergeCell ref="C58:G58"/>
    <mergeCell ref="C59:G59"/>
    <mergeCell ref="C109:G109"/>
    <mergeCell ref="I55:M55"/>
    <mergeCell ref="I56:M56"/>
    <mergeCell ref="I57:M57"/>
    <mergeCell ref="I58:M58"/>
    <mergeCell ref="I59:M59"/>
    <mergeCell ref="I54:M54"/>
    <mergeCell ref="I42:M42"/>
    <mergeCell ref="I41:M41"/>
    <mergeCell ref="C45:G45"/>
    <mergeCell ref="C50:G50"/>
    <mergeCell ref="C53:G53"/>
    <mergeCell ref="C46:G46"/>
    <mergeCell ref="C47:G47"/>
    <mergeCell ref="I38:M38"/>
    <mergeCell ref="I39:M39"/>
    <mergeCell ref="C32:G32"/>
    <mergeCell ref="C31:G31"/>
    <mergeCell ref="C35:G35"/>
    <mergeCell ref="C36:G36"/>
    <mergeCell ref="C37:G37"/>
    <mergeCell ref="C34:G34"/>
    <mergeCell ref="I25:M25"/>
    <mergeCell ref="I26:M26"/>
    <mergeCell ref="I27:M27"/>
    <mergeCell ref="I28:M28"/>
    <mergeCell ref="C24:G24"/>
    <mergeCell ref="C25:G25"/>
    <mergeCell ref="C26:G26"/>
    <mergeCell ref="C27:G27"/>
    <mergeCell ref="C29:G29"/>
    <mergeCell ref="C30:G30"/>
    <mergeCell ref="C39:G39"/>
    <mergeCell ref="C40:G40"/>
    <mergeCell ref="C1:J1"/>
    <mergeCell ref="C2:G2"/>
    <mergeCell ref="H2:L2"/>
    <mergeCell ref="C23:G23"/>
    <mergeCell ref="C28:G28"/>
    <mergeCell ref="C48:G48"/>
    <mergeCell ref="C49:G49"/>
    <mergeCell ref="C51:G51"/>
    <mergeCell ref="C52:G52"/>
    <mergeCell ref="I46:M46"/>
    <mergeCell ref="I47:M47"/>
    <mergeCell ref="C43:G43"/>
    <mergeCell ref="C44:G44"/>
    <mergeCell ref="C42:G42"/>
    <mergeCell ref="C41:G41"/>
    <mergeCell ref="C38:G38"/>
    <mergeCell ref="C33:G33"/>
    <mergeCell ref="I23:M23"/>
    <mergeCell ref="I24:M24"/>
    <mergeCell ref="I219:M219"/>
    <mergeCell ref="I220:M220"/>
    <mergeCell ref="I212:M212"/>
    <mergeCell ref="I211:M211"/>
    <mergeCell ref="I213:M213"/>
    <mergeCell ref="I215:M215"/>
    <mergeCell ref="I216:M216"/>
    <mergeCell ref="I217:M217"/>
    <mergeCell ref="I218:M218"/>
    <mergeCell ref="I214:M214"/>
    <mergeCell ref="I230:M230"/>
    <mergeCell ref="C230:G230"/>
    <mergeCell ref="I229:M229"/>
    <mergeCell ref="I231:M231"/>
    <mergeCell ref="I233:M233"/>
    <mergeCell ref="I234:M234"/>
    <mergeCell ref="I235:M235"/>
    <mergeCell ref="C233:G233"/>
    <mergeCell ref="C231:G231"/>
    <mergeCell ref="I222:M222"/>
    <mergeCell ref="I223:M223"/>
    <mergeCell ref="I224:M224"/>
    <mergeCell ref="I225:M225"/>
    <mergeCell ref="I226:M226"/>
    <mergeCell ref="I227:M227"/>
    <mergeCell ref="I221:M221"/>
    <mergeCell ref="C246:G246"/>
    <mergeCell ref="C247:G247"/>
    <mergeCell ref="I245:M245"/>
    <mergeCell ref="I246:M246"/>
    <mergeCell ref="I247:M247"/>
    <mergeCell ref="I248:M248"/>
    <mergeCell ref="I249:M249"/>
    <mergeCell ref="C248:G248"/>
    <mergeCell ref="C245:G245"/>
    <mergeCell ref="C249:G249"/>
    <mergeCell ref="I232:M232"/>
    <mergeCell ref="C232:G232"/>
    <mergeCell ref="C234:G234"/>
    <mergeCell ref="C235:G235"/>
    <mergeCell ref="C238:G238"/>
    <mergeCell ref="C237:G237"/>
    <mergeCell ref="C239:G239"/>
    <mergeCell ref="C236:G236"/>
    <mergeCell ref="I236:M236"/>
    <mergeCell ref="I237:M237"/>
    <mergeCell ref="I238:M238"/>
    <mergeCell ref="I239:M239"/>
    <mergeCell ref="C240:G240"/>
    <mergeCell ref="I240:M240"/>
    <mergeCell ref="I244:M244"/>
    <mergeCell ref="I243:M243"/>
    <mergeCell ref="C243:G243"/>
    <mergeCell ref="C244:G244"/>
    <mergeCell ref="I242:M242"/>
    <mergeCell ref="C242:G242"/>
    <mergeCell ref="C241:G241"/>
    <mergeCell ref="I241:M241"/>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370</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371</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215:M215"/>
    <mergeCell ref="I216:M216"/>
    <mergeCell ref="I217:M217"/>
    <mergeCell ref="I218:M218"/>
    <mergeCell ref="I219:M219"/>
    <mergeCell ref="I220:M220"/>
    <mergeCell ref="I221:M221"/>
    <mergeCell ref="I222:M222"/>
    <mergeCell ref="I223:M223"/>
    <mergeCell ref="I224:M224"/>
    <mergeCell ref="I225:M225"/>
    <mergeCell ref="I226:M226"/>
    <mergeCell ref="I227:M227"/>
    <mergeCell ref="I228:M228"/>
    <mergeCell ref="I229:M229"/>
    <mergeCell ref="I230:M230"/>
    <mergeCell ref="I231:M231"/>
    <mergeCell ref="I232:M232"/>
    <mergeCell ref="I233:M233"/>
    <mergeCell ref="I234:M234"/>
    <mergeCell ref="I235:M235"/>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131:M131"/>
    <mergeCell ref="I132:M132"/>
    <mergeCell ref="I133:M133"/>
    <mergeCell ref="I134:M134"/>
    <mergeCell ref="I135:M135"/>
    <mergeCell ref="I136:M136"/>
    <mergeCell ref="I137:M137"/>
    <mergeCell ref="I138:M138"/>
    <mergeCell ref="I139:M139"/>
    <mergeCell ref="I140:M140"/>
    <mergeCell ref="I141:M141"/>
    <mergeCell ref="I142:M142"/>
    <mergeCell ref="I143:M143"/>
    <mergeCell ref="I144:M144"/>
    <mergeCell ref="I145:M145"/>
    <mergeCell ref="I146:M146"/>
    <mergeCell ref="I147:M147"/>
    <mergeCell ref="I148:M148"/>
    <mergeCell ref="I149:M149"/>
    <mergeCell ref="I150:M150"/>
    <mergeCell ref="I151:M151"/>
    <mergeCell ref="I152:M152"/>
    <mergeCell ref="I153:M153"/>
    <mergeCell ref="I154:M154"/>
    <mergeCell ref="I155:M155"/>
    <mergeCell ref="I156:M156"/>
    <mergeCell ref="I157:M157"/>
    <mergeCell ref="I158:M158"/>
    <mergeCell ref="I159:M159"/>
    <mergeCell ref="I160:M160"/>
    <mergeCell ref="I161:M161"/>
    <mergeCell ref="I162:M162"/>
    <mergeCell ref="I163:M163"/>
    <mergeCell ref="I164:M164"/>
    <mergeCell ref="I165:M165"/>
    <mergeCell ref="I166:M166"/>
    <mergeCell ref="I167:M167"/>
    <mergeCell ref="I168:M168"/>
    <mergeCell ref="I169:M169"/>
    <mergeCell ref="I170:M170"/>
    <mergeCell ref="I171:M171"/>
    <mergeCell ref="I172:M172"/>
    <mergeCell ref="I178:M178"/>
    <mergeCell ref="I179:M179"/>
    <mergeCell ref="I180:M180"/>
    <mergeCell ref="I181:M181"/>
    <mergeCell ref="I182:M182"/>
    <mergeCell ref="I183:M183"/>
    <mergeCell ref="I184:M184"/>
    <mergeCell ref="I185:M185"/>
    <mergeCell ref="I186:M186"/>
    <mergeCell ref="I187:M187"/>
    <mergeCell ref="I188:M188"/>
    <mergeCell ref="I189:M189"/>
    <mergeCell ref="I190:M190"/>
    <mergeCell ref="I191:M191"/>
    <mergeCell ref="I192:M192"/>
    <mergeCell ref="I193:M193"/>
    <mergeCell ref="I208:M208"/>
    <mergeCell ref="I209:M209"/>
    <mergeCell ref="I210:M210"/>
    <mergeCell ref="I211:M211"/>
    <mergeCell ref="I173:M173"/>
    <mergeCell ref="I174:M174"/>
    <mergeCell ref="I175:M175"/>
    <mergeCell ref="I176:M176"/>
    <mergeCell ref="I177:M177"/>
    <mergeCell ref="I213:M213"/>
    <mergeCell ref="I214:M214"/>
    <mergeCell ref="I212:M212"/>
    <mergeCell ref="I194:M194"/>
    <mergeCell ref="I195:M195"/>
    <mergeCell ref="I196:M196"/>
    <mergeCell ref="I197:M197"/>
    <mergeCell ref="I198:M198"/>
    <mergeCell ref="I199:M199"/>
    <mergeCell ref="I200:M200"/>
    <mergeCell ref="I201:M201"/>
    <mergeCell ref="I202:M202"/>
    <mergeCell ref="I203:M203"/>
    <mergeCell ref="I204:M204"/>
    <mergeCell ref="I205:M205"/>
    <mergeCell ref="I206:M206"/>
    <mergeCell ref="I207:M207"/>
    <mergeCell ref="I61:M61"/>
    <mergeCell ref="I62:M62"/>
    <mergeCell ref="I54:M54"/>
    <mergeCell ref="I55:M55"/>
    <mergeCell ref="I56:M56"/>
    <mergeCell ref="I57:M57"/>
    <mergeCell ref="I58:M58"/>
    <mergeCell ref="I59:M59"/>
    <mergeCell ref="I60:M60"/>
    <mergeCell ref="C63:G63"/>
    <mergeCell ref="C64:G64"/>
    <mergeCell ref="C67:G67"/>
    <mergeCell ref="C68:G68"/>
    <mergeCell ref="C69:G69"/>
    <mergeCell ref="C65:G65"/>
    <mergeCell ref="C66:G66"/>
    <mergeCell ref="C60:G60"/>
    <mergeCell ref="C61:G61"/>
    <mergeCell ref="I63:M63"/>
    <mergeCell ref="I64:M64"/>
    <mergeCell ref="I65:M65"/>
    <mergeCell ref="I66:M66"/>
    <mergeCell ref="I67:M67"/>
    <mergeCell ref="I75:M75"/>
    <mergeCell ref="I76:M76"/>
    <mergeCell ref="I68:M68"/>
    <mergeCell ref="I69:M69"/>
    <mergeCell ref="I70:M70"/>
    <mergeCell ref="I71:M71"/>
    <mergeCell ref="I72:M72"/>
    <mergeCell ref="I73:M73"/>
    <mergeCell ref="I74:M74"/>
    <mergeCell ref="C124:G124"/>
    <mergeCell ref="C125:G125"/>
    <mergeCell ref="C122:G122"/>
    <mergeCell ref="C123:G123"/>
    <mergeCell ref="C120:G120"/>
    <mergeCell ref="C121:G121"/>
    <mergeCell ref="C127:G127"/>
    <mergeCell ref="C128:G128"/>
    <mergeCell ref="C126:G126"/>
    <mergeCell ref="C135:G135"/>
    <mergeCell ref="C136:G136"/>
    <mergeCell ref="C129:G129"/>
    <mergeCell ref="C132:G132"/>
    <mergeCell ref="C133:G133"/>
    <mergeCell ref="C134:G134"/>
    <mergeCell ref="C130:G130"/>
    <mergeCell ref="C131:G131"/>
    <mergeCell ref="C137:G137"/>
    <mergeCell ref="I82:M82"/>
    <mergeCell ref="I83:M83"/>
    <mergeCell ref="I84:M84"/>
    <mergeCell ref="I85:M85"/>
    <mergeCell ref="I86:M86"/>
    <mergeCell ref="I87:M87"/>
    <mergeCell ref="I88:M88"/>
    <mergeCell ref="I89:M89"/>
    <mergeCell ref="I90:M90"/>
    <mergeCell ref="I91:M91"/>
    <mergeCell ref="I92:M92"/>
    <mergeCell ref="I93:M93"/>
    <mergeCell ref="I94:M94"/>
    <mergeCell ref="I95:M95"/>
    <mergeCell ref="I96:M96"/>
    <mergeCell ref="I97:M97"/>
    <mergeCell ref="I98:M98"/>
    <mergeCell ref="I99:M99"/>
    <mergeCell ref="I100:M100"/>
    <mergeCell ref="I101:M101"/>
    <mergeCell ref="I102:M102"/>
    <mergeCell ref="I103:M103"/>
    <mergeCell ref="I104:M104"/>
    <mergeCell ref="I105:M105"/>
    <mergeCell ref="I106:M106"/>
    <mergeCell ref="I107:M107"/>
    <mergeCell ref="I108:M108"/>
    <mergeCell ref="I109:M109"/>
    <mergeCell ref="I110:M110"/>
    <mergeCell ref="I111:M111"/>
    <mergeCell ref="I112:M112"/>
    <mergeCell ref="I113:M113"/>
    <mergeCell ref="I114:M114"/>
    <mergeCell ref="I115:M115"/>
    <mergeCell ref="I116:M116"/>
    <mergeCell ref="I117:M117"/>
    <mergeCell ref="I118:M118"/>
    <mergeCell ref="I119:M119"/>
    <mergeCell ref="I120:M120"/>
    <mergeCell ref="I121:M121"/>
    <mergeCell ref="I122:M122"/>
    <mergeCell ref="I123:M123"/>
    <mergeCell ref="I124:M124"/>
    <mergeCell ref="I125:M125"/>
    <mergeCell ref="I126:M126"/>
    <mergeCell ref="I127:M127"/>
    <mergeCell ref="I128:M128"/>
    <mergeCell ref="I129:M129"/>
    <mergeCell ref="I130:M130"/>
    <mergeCell ref="I24:M24"/>
    <mergeCell ref="I25:M25"/>
    <mergeCell ref="C1:J1"/>
    <mergeCell ref="C2:G2"/>
    <mergeCell ref="H2:L2"/>
    <mergeCell ref="C23:G23"/>
    <mergeCell ref="I23:M23"/>
    <mergeCell ref="C31:G31"/>
    <mergeCell ref="C32:G32"/>
    <mergeCell ref="C33:G33"/>
    <mergeCell ref="C34:G34"/>
    <mergeCell ref="C35:G35"/>
    <mergeCell ref="C24:G24"/>
    <mergeCell ref="C25:G25"/>
    <mergeCell ref="C26:G26"/>
    <mergeCell ref="C27:G27"/>
    <mergeCell ref="C28:G28"/>
    <mergeCell ref="C29:G29"/>
    <mergeCell ref="C30:G30"/>
    <mergeCell ref="I33:M33"/>
    <mergeCell ref="I34:M34"/>
    <mergeCell ref="I35:M35"/>
    <mergeCell ref="I26:M26"/>
    <mergeCell ref="I27:M27"/>
    <mergeCell ref="I28:M28"/>
    <mergeCell ref="I29:M29"/>
    <mergeCell ref="I30:M30"/>
    <mergeCell ref="I31:M31"/>
    <mergeCell ref="I32:M32"/>
    <mergeCell ref="I42:M42"/>
    <mergeCell ref="I43:M43"/>
    <mergeCell ref="C43:G43"/>
    <mergeCell ref="C44:G44"/>
    <mergeCell ref="C45:G45"/>
    <mergeCell ref="C46:G46"/>
    <mergeCell ref="I46:M46"/>
    <mergeCell ref="C42:G42"/>
    <mergeCell ref="I47:M47"/>
    <mergeCell ref="I48:M48"/>
    <mergeCell ref="I49:M49"/>
    <mergeCell ref="I50:M50"/>
    <mergeCell ref="I51:M51"/>
    <mergeCell ref="I52:M52"/>
    <mergeCell ref="I53:M53"/>
    <mergeCell ref="C54:G54"/>
    <mergeCell ref="C57:G57"/>
    <mergeCell ref="C58:G58"/>
    <mergeCell ref="C59:G59"/>
    <mergeCell ref="C55:G55"/>
    <mergeCell ref="C56:G56"/>
    <mergeCell ref="C62:G62"/>
    <mergeCell ref="C72:G72"/>
    <mergeCell ref="C73:G73"/>
    <mergeCell ref="C70:G70"/>
    <mergeCell ref="C71:G71"/>
    <mergeCell ref="C77:G77"/>
    <mergeCell ref="C78:G78"/>
    <mergeCell ref="C76:G76"/>
    <mergeCell ref="C74:G74"/>
    <mergeCell ref="C75:G75"/>
    <mergeCell ref="I77:M77"/>
    <mergeCell ref="I78:M78"/>
    <mergeCell ref="I79:M79"/>
    <mergeCell ref="I80:M80"/>
    <mergeCell ref="I81:M81"/>
    <mergeCell ref="I44:M44"/>
    <mergeCell ref="I45:M45"/>
    <mergeCell ref="I37:M37"/>
    <mergeCell ref="I38:M38"/>
    <mergeCell ref="I39:M39"/>
    <mergeCell ref="I40:M40"/>
    <mergeCell ref="I41:M41"/>
    <mergeCell ref="I36:M36"/>
    <mergeCell ref="C36:G36"/>
    <mergeCell ref="C37:G37"/>
    <mergeCell ref="C38:G38"/>
    <mergeCell ref="C39:G39"/>
    <mergeCell ref="C40:G40"/>
    <mergeCell ref="C41:G41"/>
    <mergeCell ref="C47:G47"/>
    <mergeCell ref="C48:G48"/>
    <mergeCell ref="C52:G52"/>
    <mergeCell ref="C53:G53"/>
    <mergeCell ref="C49:G49"/>
    <mergeCell ref="C50:G50"/>
    <mergeCell ref="C51:G51"/>
    <mergeCell ref="C160:G160"/>
    <mergeCell ref="C161:G161"/>
    <mergeCell ref="C154:G154"/>
    <mergeCell ref="C157:G157"/>
    <mergeCell ref="C158:G158"/>
    <mergeCell ref="C159:G159"/>
    <mergeCell ref="C155:G155"/>
    <mergeCell ref="C156:G156"/>
    <mergeCell ref="C162:G162"/>
    <mergeCell ref="C170:G170"/>
    <mergeCell ref="C171:G171"/>
    <mergeCell ref="C163:G163"/>
    <mergeCell ref="C164:G164"/>
    <mergeCell ref="C167:G167"/>
    <mergeCell ref="C168:G168"/>
    <mergeCell ref="C169:G169"/>
    <mergeCell ref="C165:G165"/>
    <mergeCell ref="C166:G166"/>
    <mergeCell ref="C172:G172"/>
    <mergeCell ref="C173:G173"/>
    <mergeCell ref="C174:G174"/>
    <mergeCell ref="C177:G177"/>
    <mergeCell ref="C178:G178"/>
    <mergeCell ref="C175:G175"/>
    <mergeCell ref="C176:G176"/>
    <mergeCell ref="C248:G248"/>
    <mergeCell ref="C249:G249"/>
    <mergeCell ref="C199:G199"/>
    <mergeCell ref="C200:G200"/>
    <mergeCell ref="C210:G210"/>
    <mergeCell ref="C211:G211"/>
    <mergeCell ref="C192:G192"/>
    <mergeCell ref="C193:G193"/>
    <mergeCell ref="C208:G208"/>
    <mergeCell ref="C209:G209"/>
    <mergeCell ref="C205:G205"/>
    <mergeCell ref="C206:G206"/>
    <mergeCell ref="C212:G212"/>
    <mergeCell ref="C223:G223"/>
    <mergeCell ref="C224:G224"/>
    <mergeCell ref="C227:G227"/>
    <mergeCell ref="C228:G228"/>
    <mergeCell ref="C229:G229"/>
    <mergeCell ref="C225:G225"/>
    <mergeCell ref="C226:G226"/>
    <mergeCell ref="C182:G182"/>
    <mergeCell ref="C183:G183"/>
    <mergeCell ref="C179:G179"/>
    <mergeCell ref="C180:G180"/>
    <mergeCell ref="C181:G181"/>
    <mergeCell ref="C187:G187"/>
    <mergeCell ref="C188:G188"/>
    <mergeCell ref="C184:G184"/>
    <mergeCell ref="C185:G185"/>
    <mergeCell ref="C186:G186"/>
    <mergeCell ref="C189:G189"/>
    <mergeCell ref="C190:G190"/>
    <mergeCell ref="C191:G191"/>
    <mergeCell ref="C213:G213"/>
    <mergeCell ref="C214:G214"/>
    <mergeCell ref="C104:G104"/>
    <mergeCell ref="C107:G107"/>
    <mergeCell ref="C108:G108"/>
    <mergeCell ref="C109:G109"/>
    <mergeCell ref="C105:G105"/>
    <mergeCell ref="C106:G106"/>
    <mergeCell ref="C112:G112"/>
    <mergeCell ref="C113:G113"/>
    <mergeCell ref="C114:G114"/>
    <mergeCell ref="C117:G117"/>
    <mergeCell ref="C118:G118"/>
    <mergeCell ref="C119:G119"/>
    <mergeCell ref="C115:G115"/>
    <mergeCell ref="C116:G116"/>
    <mergeCell ref="C145:G145"/>
    <mergeCell ref="C146:G146"/>
    <mergeCell ref="C138:G138"/>
    <mergeCell ref="C139:G139"/>
    <mergeCell ref="C142:G142"/>
    <mergeCell ref="C143:G143"/>
    <mergeCell ref="C144:G144"/>
    <mergeCell ref="C140:G140"/>
    <mergeCell ref="C141:G141"/>
    <mergeCell ref="C85:G85"/>
    <mergeCell ref="C86:G86"/>
    <mergeCell ref="C79:G79"/>
    <mergeCell ref="C82:G82"/>
    <mergeCell ref="C83:G83"/>
    <mergeCell ref="C84:G84"/>
    <mergeCell ref="C80:G80"/>
    <mergeCell ref="C81:G81"/>
    <mergeCell ref="C87:G87"/>
    <mergeCell ref="C95:G95"/>
    <mergeCell ref="C96:G96"/>
    <mergeCell ref="C88:G88"/>
    <mergeCell ref="C89:G89"/>
    <mergeCell ref="C92:G92"/>
    <mergeCell ref="C93:G93"/>
    <mergeCell ref="C94:G94"/>
    <mergeCell ref="C90:G90"/>
    <mergeCell ref="C91:G91"/>
    <mergeCell ref="C97:G97"/>
    <mergeCell ref="C98:G98"/>
    <mergeCell ref="C99:G99"/>
    <mergeCell ref="C102:G102"/>
    <mergeCell ref="C103:G103"/>
    <mergeCell ref="C100:G100"/>
    <mergeCell ref="C101:G101"/>
    <mergeCell ref="C110:G110"/>
    <mergeCell ref="C111:G111"/>
    <mergeCell ref="C147:G147"/>
    <mergeCell ref="C148:G148"/>
    <mergeCell ref="C149:G149"/>
    <mergeCell ref="C152:G152"/>
    <mergeCell ref="C153:G153"/>
    <mergeCell ref="C150:G150"/>
    <mergeCell ref="C151:G151"/>
    <mergeCell ref="C234:G234"/>
    <mergeCell ref="C235:G235"/>
    <mergeCell ref="C232:G232"/>
    <mergeCell ref="C233:G233"/>
    <mergeCell ref="C230:G230"/>
    <mergeCell ref="C231:G231"/>
    <mergeCell ref="C237:G237"/>
    <mergeCell ref="C238:G238"/>
    <mergeCell ref="C236:G236"/>
    <mergeCell ref="C245:G245"/>
    <mergeCell ref="C246:G246"/>
    <mergeCell ref="C239:G239"/>
    <mergeCell ref="C242:G242"/>
    <mergeCell ref="C243:G243"/>
    <mergeCell ref="C244:G244"/>
    <mergeCell ref="C240:G240"/>
    <mergeCell ref="C241:G241"/>
    <mergeCell ref="C247:G247"/>
    <mergeCell ref="C197:G197"/>
    <mergeCell ref="C198:G198"/>
    <mergeCell ref="C217:G217"/>
    <mergeCell ref="C218:G218"/>
    <mergeCell ref="C219:G219"/>
    <mergeCell ref="C215:G215"/>
    <mergeCell ref="C216:G216"/>
    <mergeCell ref="C222:G222"/>
    <mergeCell ref="C194:G194"/>
    <mergeCell ref="C204:G204"/>
    <mergeCell ref="C207:G207"/>
    <mergeCell ref="C220:G220"/>
    <mergeCell ref="C221:G221"/>
    <mergeCell ref="C195:G195"/>
    <mergeCell ref="C196:G196"/>
    <mergeCell ref="C202:G202"/>
    <mergeCell ref="C203:G203"/>
    <mergeCell ref="C201:G201"/>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372</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27:G127"/>
    <mergeCell ref="C126:G126"/>
    <mergeCell ref="C117:G117"/>
    <mergeCell ref="C118:G118"/>
    <mergeCell ref="C115:G115"/>
    <mergeCell ref="C116:G116"/>
    <mergeCell ref="C124:G124"/>
    <mergeCell ref="C125:G125"/>
    <mergeCell ref="C122:G122"/>
    <mergeCell ref="C123:G123"/>
    <mergeCell ref="C120:G120"/>
    <mergeCell ref="C121:G121"/>
    <mergeCell ref="C128:G128"/>
    <mergeCell ref="C119:G119"/>
    <mergeCell ref="I75:M75"/>
    <mergeCell ref="I76:M76"/>
    <mergeCell ref="I82:M82"/>
    <mergeCell ref="I83:M83"/>
    <mergeCell ref="I84:M84"/>
    <mergeCell ref="I85:M85"/>
    <mergeCell ref="I86:M86"/>
    <mergeCell ref="C79:G79"/>
    <mergeCell ref="C80:G80"/>
    <mergeCell ref="C81:G81"/>
    <mergeCell ref="C87:G87"/>
    <mergeCell ref="C88:G88"/>
    <mergeCell ref="C89:G89"/>
    <mergeCell ref="C90:G90"/>
    <mergeCell ref="I87:M87"/>
    <mergeCell ref="I88:M88"/>
    <mergeCell ref="C85:G85"/>
    <mergeCell ref="C86:G86"/>
    <mergeCell ref="C82:G82"/>
    <mergeCell ref="C83:G83"/>
    <mergeCell ref="C84:G84"/>
    <mergeCell ref="I96:M96"/>
    <mergeCell ref="I97:M97"/>
    <mergeCell ref="I89:M89"/>
    <mergeCell ref="I90:M90"/>
    <mergeCell ref="I91:M91"/>
    <mergeCell ref="I92:M92"/>
    <mergeCell ref="I93:M93"/>
    <mergeCell ref="I94:M94"/>
    <mergeCell ref="I95:M95"/>
    <mergeCell ref="I114:M114"/>
    <mergeCell ref="I115:M115"/>
    <mergeCell ref="I107:M107"/>
    <mergeCell ref="I108:M108"/>
    <mergeCell ref="I109:M109"/>
    <mergeCell ref="I110:M110"/>
    <mergeCell ref="I111:M111"/>
    <mergeCell ref="I112:M112"/>
    <mergeCell ref="I113:M113"/>
    <mergeCell ref="I123:M123"/>
    <mergeCell ref="I124:M124"/>
    <mergeCell ref="I116:M116"/>
    <mergeCell ref="I117:M117"/>
    <mergeCell ref="I118:M118"/>
    <mergeCell ref="I119:M119"/>
    <mergeCell ref="I120:M120"/>
    <mergeCell ref="I121:M121"/>
    <mergeCell ref="I122:M122"/>
    <mergeCell ref="C24:G24"/>
    <mergeCell ref="C25:G25"/>
    <mergeCell ref="C26:G26"/>
    <mergeCell ref="C27:G27"/>
    <mergeCell ref="C28:G28"/>
    <mergeCell ref="C29:G29"/>
    <mergeCell ref="C32:G32"/>
    <mergeCell ref="I32:M32"/>
    <mergeCell ref="C1:J1"/>
    <mergeCell ref="C2:G2"/>
    <mergeCell ref="H2:L2"/>
    <mergeCell ref="C23:G23"/>
    <mergeCell ref="I23:M23"/>
    <mergeCell ref="C31:G31"/>
    <mergeCell ref="C30:G30"/>
    <mergeCell ref="C110:G110"/>
    <mergeCell ref="C111:G111"/>
    <mergeCell ref="C109:G109"/>
    <mergeCell ref="C112:G112"/>
    <mergeCell ref="C113:G113"/>
    <mergeCell ref="C114:G114"/>
    <mergeCell ref="C95:G95"/>
    <mergeCell ref="C92:G92"/>
    <mergeCell ref="C91:G91"/>
    <mergeCell ref="I98:M98"/>
    <mergeCell ref="I99:M99"/>
    <mergeCell ref="I100:M100"/>
    <mergeCell ref="I101:M101"/>
    <mergeCell ref="I102:M102"/>
    <mergeCell ref="I103:M103"/>
    <mergeCell ref="I104:M104"/>
    <mergeCell ref="I105:M105"/>
    <mergeCell ref="I106:M106"/>
    <mergeCell ref="C104:G104"/>
    <mergeCell ref="C107:G107"/>
    <mergeCell ref="C108:G108"/>
    <mergeCell ref="C105:G105"/>
    <mergeCell ref="C106:G106"/>
    <mergeCell ref="C93:G93"/>
    <mergeCell ref="C94:G94"/>
    <mergeCell ref="C96:G96"/>
    <mergeCell ref="C97:G97"/>
    <mergeCell ref="C98:G98"/>
    <mergeCell ref="C99:G99"/>
    <mergeCell ref="C102:G102"/>
    <mergeCell ref="C103:G103"/>
    <mergeCell ref="C100:G100"/>
    <mergeCell ref="C101:G101"/>
    <mergeCell ref="I222:M222"/>
    <mergeCell ref="I223:M223"/>
    <mergeCell ref="I224:M224"/>
    <mergeCell ref="I225:M225"/>
    <mergeCell ref="I226:M226"/>
    <mergeCell ref="I227:M227"/>
    <mergeCell ref="I228:M228"/>
    <mergeCell ref="I215:M215"/>
    <mergeCell ref="I216:M216"/>
    <mergeCell ref="I217:M217"/>
    <mergeCell ref="I218:M218"/>
    <mergeCell ref="I219:M219"/>
    <mergeCell ref="I220:M220"/>
    <mergeCell ref="I221:M221"/>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229:M229"/>
    <mergeCell ref="I230:M230"/>
    <mergeCell ref="I231:M231"/>
    <mergeCell ref="I232:M232"/>
    <mergeCell ref="I233:M233"/>
    <mergeCell ref="I234:M234"/>
    <mergeCell ref="I235:M235"/>
    <mergeCell ref="I186:M186"/>
    <mergeCell ref="I187:M187"/>
    <mergeCell ref="I188:M188"/>
    <mergeCell ref="I189:M189"/>
    <mergeCell ref="I190:M190"/>
    <mergeCell ref="I191:M191"/>
    <mergeCell ref="I192:M192"/>
    <mergeCell ref="I202:M202"/>
    <mergeCell ref="I203:M203"/>
    <mergeCell ref="I204:M204"/>
    <mergeCell ref="I205:M205"/>
    <mergeCell ref="I206:M206"/>
    <mergeCell ref="I208:M208"/>
    <mergeCell ref="I209:M209"/>
    <mergeCell ref="I210:M210"/>
    <mergeCell ref="I211:M211"/>
    <mergeCell ref="I213:M213"/>
    <mergeCell ref="I214:M214"/>
    <mergeCell ref="I212:M212"/>
    <mergeCell ref="I207:M207"/>
    <mergeCell ref="I28:M28"/>
    <mergeCell ref="I29:M29"/>
    <mergeCell ref="I152:M152"/>
    <mergeCell ref="I153:M153"/>
    <mergeCell ref="I145:M145"/>
    <mergeCell ref="I146:M146"/>
    <mergeCell ref="I147:M147"/>
    <mergeCell ref="I148:M148"/>
    <mergeCell ref="I149:M149"/>
    <mergeCell ref="I150:M150"/>
    <mergeCell ref="I151:M151"/>
    <mergeCell ref="I161:M161"/>
    <mergeCell ref="I162:M162"/>
    <mergeCell ref="I154:M154"/>
    <mergeCell ref="I155:M155"/>
    <mergeCell ref="I156:M156"/>
    <mergeCell ref="I157:M157"/>
    <mergeCell ref="I158:M158"/>
    <mergeCell ref="I159:M159"/>
    <mergeCell ref="I160:M160"/>
    <mergeCell ref="I170:M170"/>
    <mergeCell ref="I171:M171"/>
    <mergeCell ref="I163:M163"/>
    <mergeCell ref="I164:M164"/>
    <mergeCell ref="I165:M165"/>
    <mergeCell ref="I166:M166"/>
    <mergeCell ref="I167:M167"/>
    <mergeCell ref="I168:M168"/>
    <mergeCell ref="I169:M169"/>
    <mergeCell ref="I184:M184"/>
    <mergeCell ref="I185:M185"/>
    <mergeCell ref="I173:M173"/>
    <mergeCell ref="I174:M174"/>
    <mergeCell ref="I175:M175"/>
    <mergeCell ref="I176:M176"/>
    <mergeCell ref="I172:M172"/>
    <mergeCell ref="I178:M178"/>
    <mergeCell ref="I179:M179"/>
    <mergeCell ref="I180:M180"/>
    <mergeCell ref="I181:M181"/>
    <mergeCell ref="I182:M182"/>
    <mergeCell ref="I183:M183"/>
    <mergeCell ref="I177:M177"/>
    <mergeCell ref="I200:M200"/>
    <mergeCell ref="I201:M201"/>
    <mergeCell ref="I193:M193"/>
    <mergeCell ref="I194:M194"/>
    <mergeCell ref="I195:M195"/>
    <mergeCell ref="I196:M196"/>
    <mergeCell ref="I197:M197"/>
    <mergeCell ref="I198:M198"/>
    <mergeCell ref="I199:M199"/>
    <mergeCell ref="I59:M59"/>
    <mergeCell ref="I60:M60"/>
    <mergeCell ref="I61:M61"/>
    <mergeCell ref="I62:M62"/>
    <mergeCell ref="I54:M54"/>
    <mergeCell ref="I55:M55"/>
    <mergeCell ref="I56:M56"/>
    <mergeCell ref="I57:M57"/>
    <mergeCell ref="I58:M58"/>
    <mergeCell ref="I30:M30"/>
    <mergeCell ref="I31:M31"/>
    <mergeCell ref="I24:M24"/>
    <mergeCell ref="I25:M25"/>
    <mergeCell ref="I33:M33"/>
    <mergeCell ref="I34:M34"/>
    <mergeCell ref="I35:M35"/>
    <mergeCell ref="I26:M26"/>
    <mergeCell ref="I27:M27"/>
    <mergeCell ref="C208:G208"/>
    <mergeCell ref="C205:G205"/>
    <mergeCell ref="C206:G206"/>
    <mergeCell ref="C207:G207"/>
    <mergeCell ref="C197:G197"/>
    <mergeCell ref="C198:G198"/>
    <mergeCell ref="C200:G200"/>
    <mergeCell ref="C204:G204"/>
    <mergeCell ref="C202:G202"/>
    <mergeCell ref="C203:G203"/>
    <mergeCell ref="C201:G201"/>
    <mergeCell ref="C195:G195"/>
    <mergeCell ref="C196:G196"/>
    <mergeCell ref="C199:G199"/>
    <mergeCell ref="C210:G210"/>
    <mergeCell ref="C211:G211"/>
    <mergeCell ref="C192:G192"/>
    <mergeCell ref="C193:G193"/>
    <mergeCell ref="C209:G209"/>
    <mergeCell ref="C194:G194"/>
    <mergeCell ref="C223:G223"/>
    <mergeCell ref="C224:G224"/>
    <mergeCell ref="C227:G227"/>
    <mergeCell ref="C228:G228"/>
    <mergeCell ref="C229:G229"/>
    <mergeCell ref="C225:G225"/>
    <mergeCell ref="C226:G226"/>
    <mergeCell ref="C222:G222"/>
    <mergeCell ref="C219:G219"/>
    <mergeCell ref="C220:G220"/>
    <mergeCell ref="C221:G221"/>
    <mergeCell ref="C212:G212"/>
    <mergeCell ref="C213:G213"/>
    <mergeCell ref="C214:G214"/>
    <mergeCell ref="C217:G217"/>
    <mergeCell ref="C218:G218"/>
    <mergeCell ref="C215:G215"/>
    <mergeCell ref="C216:G216"/>
    <mergeCell ref="C138:G138"/>
    <mergeCell ref="C139:G139"/>
    <mergeCell ref="C142:G142"/>
    <mergeCell ref="C143:G143"/>
    <mergeCell ref="C137:G137"/>
    <mergeCell ref="C140:G140"/>
    <mergeCell ref="C144:G144"/>
    <mergeCell ref="C147:G147"/>
    <mergeCell ref="C148:G148"/>
    <mergeCell ref="C149:G149"/>
    <mergeCell ref="C152:G152"/>
    <mergeCell ref="C153:G153"/>
    <mergeCell ref="C150:G150"/>
    <mergeCell ref="C151:G151"/>
    <mergeCell ref="C136:G136"/>
    <mergeCell ref="C160:G160"/>
    <mergeCell ref="C157:G157"/>
    <mergeCell ref="C158:G158"/>
    <mergeCell ref="C159:G159"/>
    <mergeCell ref="C156:G156"/>
    <mergeCell ref="C141:G141"/>
    <mergeCell ref="C248:G248"/>
    <mergeCell ref="C245:G245"/>
    <mergeCell ref="C246:G246"/>
    <mergeCell ref="C247:G247"/>
    <mergeCell ref="C239:G239"/>
    <mergeCell ref="C242:G242"/>
    <mergeCell ref="C240:G240"/>
    <mergeCell ref="C241:G241"/>
    <mergeCell ref="C243:G243"/>
    <mergeCell ref="C244:G244"/>
    <mergeCell ref="C249:G249"/>
    <mergeCell ref="C234:G234"/>
    <mergeCell ref="C232:G232"/>
    <mergeCell ref="C233:G233"/>
    <mergeCell ref="C230:G230"/>
    <mergeCell ref="C231:G231"/>
    <mergeCell ref="C238:G238"/>
    <mergeCell ref="C154:G154"/>
    <mergeCell ref="C155:G155"/>
    <mergeCell ref="C163:G163"/>
    <mergeCell ref="C164:G164"/>
    <mergeCell ref="C167:G167"/>
    <mergeCell ref="C168:G168"/>
    <mergeCell ref="C169:G169"/>
    <mergeCell ref="C165:G165"/>
    <mergeCell ref="C166:G166"/>
    <mergeCell ref="C179:G179"/>
    <mergeCell ref="C180:G180"/>
    <mergeCell ref="C181:G181"/>
    <mergeCell ref="C189:G189"/>
    <mergeCell ref="C190:G190"/>
    <mergeCell ref="C191:G191"/>
    <mergeCell ref="C182:G182"/>
    <mergeCell ref="C183:G183"/>
    <mergeCell ref="C187:G187"/>
    <mergeCell ref="C188:G188"/>
    <mergeCell ref="C184:G184"/>
    <mergeCell ref="C185:G185"/>
    <mergeCell ref="C186:G186"/>
    <mergeCell ref="C145:G145"/>
    <mergeCell ref="C146:G146"/>
    <mergeCell ref="C235:G235"/>
    <mergeCell ref="C237:G237"/>
    <mergeCell ref="C236:G236"/>
    <mergeCell ref="C60:G60"/>
    <mergeCell ref="C61:G61"/>
    <mergeCell ref="I63:M63"/>
    <mergeCell ref="I64:M64"/>
    <mergeCell ref="I65:M65"/>
    <mergeCell ref="I66:M66"/>
    <mergeCell ref="I67:M67"/>
    <mergeCell ref="C62:G62"/>
    <mergeCell ref="C63:G63"/>
    <mergeCell ref="C64:G64"/>
    <mergeCell ref="C67:G67"/>
    <mergeCell ref="C68:G68"/>
    <mergeCell ref="C69:G69"/>
    <mergeCell ref="C65:G65"/>
    <mergeCell ref="C66:G66"/>
    <mergeCell ref="C72:G72"/>
    <mergeCell ref="C73:G73"/>
    <mergeCell ref="C70:G70"/>
    <mergeCell ref="C71:G71"/>
    <mergeCell ref="C74:G74"/>
    <mergeCell ref="I68:M68"/>
    <mergeCell ref="I69:M69"/>
    <mergeCell ref="I70:M70"/>
    <mergeCell ref="I71:M71"/>
    <mergeCell ref="I72:M72"/>
    <mergeCell ref="I73:M73"/>
    <mergeCell ref="I74:M74"/>
    <mergeCell ref="C46:G46"/>
    <mergeCell ref="C47:G47"/>
    <mergeCell ref="C48:G48"/>
    <mergeCell ref="C49:G49"/>
    <mergeCell ref="C45:G45"/>
    <mergeCell ref="I46:M46"/>
    <mergeCell ref="I47:M47"/>
    <mergeCell ref="I48:M48"/>
    <mergeCell ref="I49:M49"/>
    <mergeCell ref="I50:M50"/>
    <mergeCell ref="I45:M45"/>
    <mergeCell ref="C50:G50"/>
    <mergeCell ref="I43:M43"/>
    <mergeCell ref="I44:M44"/>
    <mergeCell ref="I37:M37"/>
    <mergeCell ref="I38:M38"/>
    <mergeCell ref="I39:M39"/>
    <mergeCell ref="I40:M40"/>
    <mergeCell ref="C35:G35"/>
    <mergeCell ref="I36:M36"/>
    <mergeCell ref="C36:G36"/>
    <mergeCell ref="C37:G37"/>
    <mergeCell ref="C38:G38"/>
    <mergeCell ref="C39:G39"/>
    <mergeCell ref="C40:G40"/>
    <mergeCell ref="C33:G33"/>
    <mergeCell ref="C34:G34"/>
    <mergeCell ref="I42:M42"/>
    <mergeCell ref="C43:G43"/>
    <mergeCell ref="C44:G44"/>
    <mergeCell ref="C42:G42"/>
    <mergeCell ref="I41:M41"/>
    <mergeCell ref="C41:G41"/>
    <mergeCell ref="C55:G55"/>
    <mergeCell ref="C56:G56"/>
    <mergeCell ref="C77:G77"/>
    <mergeCell ref="C78:G78"/>
    <mergeCell ref="C76:G76"/>
    <mergeCell ref="C75:G75"/>
    <mergeCell ref="I77:M77"/>
    <mergeCell ref="I51:M51"/>
    <mergeCell ref="I52:M52"/>
    <mergeCell ref="I53:M53"/>
    <mergeCell ref="C54:G54"/>
    <mergeCell ref="C57:G57"/>
    <mergeCell ref="C58:G58"/>
    <mergeCell ref="C59:G59"/>
    <mergeCell ref="C51:G51"/>
    <mergeCell ref="I138:M138"/>
    <mergeCell ref="I139:M139"/>
    <mergeCell ref="I140:M140"/>
    <mergeCell ref="I141:M141"/>
    <mergeCell ref="I142:M142"/>
    <mergeCell ref="I143:M143"/>
    <mergeCell ref="I144:M144"/>
    <mergeCell ref="C135:G135"/>
    <mergeCell ref="C129:G129"/>
    <mergeCell ref="C132:G132"/>
    <mergeCell ref="C133:G133"/>
    <mergeCell ref="C134:G134"/>
    <mergeCell ref="C130:G130"/>
    <mergeCell ref="C131:G131"/>
    <mergeCell ref="I125:M125"/>
    <mergeCell ref="I126:M126"/>
    <mergeCell ref="I127:M127"/>
    <mergeCell ref="I128:M128"/>
    <mergeCell ref="I129:M129"/>
    <mergeCell ref="I131:M131"/>
    <mergeCell ref="I132:M132"/>
    <mergeCell ref="I133:M133"/>
    <mergeCell ref="I134:M134"/>
    <mergeCell ref="I135:M135"/>
    <mergeCell ref="I136:M136"/>
    <mergeCell ref="I137:M137"/>
    <mergeCell ref="I130:M130"/>
    <mergeCell ref="I78:M78"/>
    <mergeCell ref="I79:M79"/>
    <mergeCell ref="I80:M80"/>
    <mergeCell ref="I81:M81"/>
    <mergeCell ref="C52:G52"/>
    <mergeCell ref="C53:G53"/>
    <mergeCell ref="C161:G161"/>
    <mergeCell ref="C162:G162"/>
    <mergeCell ref="C175:G175"/>
    <mergeCell ref="C176:G176"/>
    <mergeCell ref="C170:G170"/>
    <mergeCell ref="C171:G171"/>
    <mergeCell ref="C172:G172"/>
    <mergeCell ref="C173:G173"/>
    <mergeCell ref="C174:G174"/>
    <mergeCell ref="C177:G177"/>
    <mergeCell ref="C178:G178"/>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373</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374</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C127:G127"/>
    <mergeCell ref="C126:G126"/>
    <mergeCell ref="C117:G117"/>
    <mergeCell ref="C118:G118"/>
    <mergeCell ref="C115:G115"/>
    <mergeCell ref="C116:G116"/>
    <mergeCell ref="C124:G124"/>
    <mergeCell ref="C125:G125"/>
    <mergeCell ref="C122:G122"/>
    <mergeCell ref="C123:G123"/>
    <mergeCell ref="C120:G120"/>
    <mergeCell ref="C121:G121"/>
    <mergeCell ref="C128:G128"/>
    <mergeCell ref="C119:G119"/>
    <mergeCell ref="I75:M75"/>
    <mergeCell ref="I76:M76"/>
    <mergeCell ref="I82:M82"/>
    <mergeCell ref="I83:M83"/>
    <mergeCell ref="I84:M84"/>
    <mergeCell ref="I85:M85"/>
    <mergeCell ref="I86:M86"/>
    <mergeCell ref="C79:G79"/>
    <mergeCell ref="C80:G80"/>
    <mergeCell ref="C81:G81"/>
    <mergeCell ref="C87:G87"/>
    <mergeCell ref="C88:G88"/>
    <mergeCell ref="C89:G89"/>
    <mergeCell ref="C90:G90"/>
    <mergeCell ref="I87:M87"/>
    <mergeCell ref="I88:M88"/>
    <mergeCell ref="C85:G85"/>
    <mergeCell ref="C86:G86"/>
    <mergeCell ref="C82:G82"/>
    <mergeCell ref="C83:G83"/>
    <mergeCell ref="C84:G84"/>
    <mergeCell ref="I96:M96"/>
    <mergeCell ref="I97:M97"/>
    <mergeCell ref="I89:M89"/>
    <mergeCell ref="I90:M90"/>
    <mergeCell ref="I91:M91"/>
    <mergeCell ref="I92:M92"/>
    <mergeCell ref="I93:M93"/>
    <mergeCell ref="I94:M94"/>
    <mergeCell ref="I95:M95"/>
    <mergeCell ref="I114:M114"/>
    <mergeCell ref="I115:M115"/>
    <mergeCell ref="I107:M107"/>
    <mergeCell ref="I108:M108"/>
    <mergeCell ref="I109:M109"/>
    <mergeCell ref="I110:M110"/>
    <mergeCell ref="I111:M111"/>
    <mergeCell ref="I112:M112"/>
    <mergeCell ref="I113:M113"/>
    <mergeCell ref="I123:M123"/>
    <mergeCell ref="I124:M124"/>
    <mergeCell ref="I116:M116"/>
    <mergeCell ref="I117:M117"/>
    <mergeCell ref="I118:M118"/>
    <mergeCell ref="I119:M119"/>
    <mergeCell ref="I120:M120"/>
    <mergeCell ref="I121:M121"/>
    <mergeCell ref="I122:M122"/>
    <mergeCell ref="C24:G24"/>
    <mergeCell ref="C25:G25"/>
    <mergeCell ref="C26:G26"/>
    <mergeCell ref="C27:G27"/>
    <mergeCell ref="C28:G28"/>
    <mergeCell ref="C29:G29"/>
    <mergeCell ref="C32:G32"/>
    <mergeCell ref="I32:M32"/>
    <mergeCell ref="C1:J1"/>
    <mergeCell ref="C2:G2"/>
    <mergeCell ref="H2:L2"/>
    <mergeCell ref="C23:G23"/>
    <mergeCell ref="I23:M23"/>
    <mergeCell ref="C31:G31"/>
    <mergeCell ref="C30:G30"/>
    <mergeCell ref="C110:G110"/>
    <mergeCell ref="C111:G111"/>
    <mergeCell ref="C109:G109"/>
    <mergeCell ref="C112:G112"/>
    <mergeCell ref="C113:G113"/>
    <mergeCell ref="C114:G114"/>
    <mergeCell ref="C95:G95"/>
    <mergeCell ref="C92:G92"/>
    <mergeCell ref="C91:G91"/>
    <mergeCell ref="I98:M98"/>
    <mergeCell ref="I99:M99"/>
    <mergeCell ref="I100:M100"/>
    <mergeCell ref="I101:M101"/>
    <mergeCell ref="I102:M102"/>
    <mergeCell ref="I103:M103"/>
    <mergeCell ref="I104:M104"/>
    <mergeCell ref="I105:M105"/>
    <mergeCell ref="I106:M106"/>
    <mergeCell ref="C104:G104"/>
    <mergeCell ref="C107:G107"/>
    <mergeCell ref="C108:G108"/>
    <mergeCell ref="C105:G105"/>
    <mergeCell ref="C106:G106"/>
    <mergeCell ref="C93:G93"/>
    <mergeCell ref="C94:G94"/>
    <mergeCell ref="C96:G96"/>
    <mergeCell ref="C97:G97"/>
    <mergeCell ref="C98:G98"/>
    <mergeCell ref="C99:G99"/>
    <mergeCell ref="C102:G102"/>
    <mergeCell ref="C103:G103"/>
    <mergeCell ref="C100:G100"/>
    <mergeCell ref="C101:G101"/>
    <mergeCell ref="I222:M222"/>
    <mergeCell ref="I223:M223"/>
    <mergeCell ref="I224:M224"/>
    <mergeCell ref="I225:M225"/>
    <mergeCell ref="I226:M226"/>
    <mergeCell ref="I227:M227"/>
    <mergeCell ref="I228:M228"/>
    <mergeCell ref="I215:M215"/>
    <mergeCell ref="I216:M216"/>
    <mergeCell ref="I217:M217"/>
    <mergeCell ref="I218:M218"/>
    <mergeCell ref="I219:M219"/>
    <mergeCell ref="I220:M220"/>
    <mergeCell ref="I221:M221"/>
    <mergeCell ref="I243:M243"/>
    <mergeCell ref="I244:M244"/>
    <mergeCell ref="I245:M245"/>
    <mergeCell ref="I246:M246"/>
    <mergeCell ref="I247:M247"/>
    <mergeCell ref="I248:M248"/>
    <mergeCell ref="I249:M249"/>
    <mergeCell ref="I236:M236"/>
    <mergeCell ref="I237:M237"/>
    <mergeCell ref="I238:M238"/>
    <mergeCell ref="I239:M239"/>
    <mergeCell ref="I240:M240"/>
    <mergeCell ref="I241:M241"/>
    <mergeCell ref="I242:M242"/>
    <mergeCell ref="I229:M229"/>
    <mergeCell ref="I230:M230"/>
    <mergeCell ref="I231:M231"/>
    <mergeCell ref="I232:M232"/>
    <mergeCell ref="I233:M233"/>
    <mergeCell ref="I234:M234"/>
    <mergeCell ref="I235:M235"/>
    <mergeCell ref="I186:M186"/>
    <mergeCell ref="I187:M187"/>
    <mergeCell ref="I188:M188"/>
    <mergeCell ref="I189:M189"/>
    <mergeCell ref="I190:M190"/>
    <mergeCell ref="I191:M191"/>
    <mergeCell ref="I192:M192"/>
    <mergeCell ref="I202:M202"/>
    <mergeCell ref="I203:M203"/>
    <mergeCell ref="I204:M204"/>
    <mergeCell ref="I205:M205"/>
    <mergeCell ref="I206:M206"/>
    <mergeCell ref="I208:M208"/>
    <mergeCell ref="I209:M209"/>
    <mergeCell ref="I210:M210"/>
    <mergeCell ref="I211:M211"/>
    <mergeCell ref="I213:M213"/>
    <mergeCell ref="I214:M214"/>
    <mergeCell ref="I212:M212"/>
    <mergeCell ref="I207:M207"/>
    <mergeCell ref="I28:M28"/>
    <mergeCell ref="I29:M29"/>
    <mergeCell ref="I152:M152"/>
    <mergeCell ref="I153:M153"/>
    <mergeCell ref="I145:M145"/>
    <mergeCell ref="I146:M146"/>
    <mergeCell ref="I147:M147"/>
    <mergeCell ref="I148:M148"/>
    <mergeCell ref="I149:M149"/>
    <mergeCell ref="I150:M150"/>
    <mergeCell ref="I151:M151"/>
    <mergeCell ref="I161:M161"/>
    <mergeCell ref="I162:M162"/>
    <mergeCell ref="I154:M154"/>
    <mergeCell ref="I155:M155"/>
    <mergeCell ref="I156:M156"/>
    <mergeCell ref="I157:M157"/>
    <mergeCell ref="I158:M158"/>
    <mergeCell ref="I159:M159"/>
    <mergeCell ref="I160:M160"/>
    <mergeCell ref="I170:M170"/>
    <mergeCell ref="I171:M171"/>
    <mergeCell ref="I163:M163"/>
    <mergeCell ref="I164:M164"/>
    <mergeCell ref="I165:M165"/>
    <mergeCell ref="I166:M166"/>
    <mergeCell ref="I167:M167"/>
    <mergeCell ref="I168:M168"/>
    <mergeCell ref="I169:M169"/>
    <mergeCell ref="I184:M184"/>
    <mergeCell ref="I185:M185"/>
    <mergeCell ref="I173:M173"/>
    <mergeCell ref="I174:M174"/>
    <mergeCell ref="I175:M175"/>
    <mergeCell ref="I176:M176"/>
    <mergeCell ref="I172:M172"/>
    <mergeCell ref="I178:M178"/>
    <mergeCell ref="I179:M179"/>
    <mergeCell ref="I180:M180"/>
    <mergeCell ref="I181:M181"/>
    <mergeCell ref="I182:M182"/>
    <mergeCell ref="I183:M183"/>
    <mergeCell ref="I177:M177"/>
    <mergeCell ref="I200:M200"/>
    <mergeCell ref="I201:M201"/>
    <mergeCell ref="I193:M193"/>
    <mergeCell ref="I194:M194"/>
    <mergeCell ref="I195:M195"/>
    <mergeCell ref="I196:M196"/>
    <mergeCell ref="I197:M197"/>
    <mergeCell ref="I198:M198"/>
    <mergeCell ref="I199:M199"/>
    <mergeCell ref="I59:M59"/>
    <mergeCell ref="I60:M60"/>
    <mergeCell ref="I61:M61"/>
    <mergeCell ref="I62:M62"/>
    <mergeCell ref="I54:M54"/>
    <mergeCell ref="I55:M55"/>
    <mergeCell ref="I56:M56"/>
    <mergeCell ref="I57:M57"/>
    <mergeCell ref="I58:M58"/>
    <mergeCell ref="I30:M30"/>
    <mergeCell ref="I31:M31"/>
    <mergeCell ref="I24:M24"/>
    <mergeCell ref="I25:M25"/>
    <mergeCell ref="I33:M33"/>
    <mergeCell ref="I34:M34"/>
    <mergeCell ref="I35:M35"/>
    <mergeCell ref="I26:M26"/>
    <mergeCell ref="I27:M27"/>
    <mergeCell ref="C208:G208"/>
    <mergeCell ref="C205:G205"/>
    <mergeCell ref="C206:G206"/>
    <mergeCell ref="C207:G207"/>
    <mergeCell ref="C197:G197"/>
    <mergeCell ref="C198:G198"/>
    <mergeCell ref="C200:G200"/>
    <mergeCell ref="C204:G204"/>
    <mergeCell ref="C202:G202"/>
    <mergeCell ref="C203:G203"/>
    <mergeCell ref="C201:G201"/>
    <mergeCell ref="C195:G195"/>
    <mergeCell ref="C196:G196"/>
    <mergeCell ref="C199:G199"/>
    <mergeCell ref="C210:G210"/>
    <mergeCell ref="C211:G211"/>
    <mergeCell ref="C192:G192"/>
    <mergeCell ref="C193:G193"/>
    <mergeCell ref="C209:G209"/>
    <mergeCell ref="C194:G194"/>
    <mergeCell ref="C223:G223"/>
    <mergeCell ref="C224:G224"/>
    <mergeCell ref="C227:G227"/>
    <mergeCell ref="C228:G228"/>
    <mergeCell ref="C229:G229"/>
    <mergeCell ref="C225:G225"/>
    <mergeCell ref="C226:G226"/>
    <mergeCell ref="C222:G222"/>
    <mergeCell ref="C219:G219"/>
    <mergeCell ref="C220:G220"/>
    <mergeCell ref="C221:G221"/>
    <mergeCell ref="C212:G212"/>
    <mergeCell ref="C213:G213"/>
    <mergeCell ref="C214:G214"/>
    <mergeCell ref="C217:G217"/>
    <mergeCell ref="C218:G218"/>
    <mergeCell ref="C215:G215"/>
    <mergeCell ref="C216:G216"/>
    <mergeCell ref="C138:G138"/>
    <mergeCell ref="C139:G139"/>
    <mergeCell ref="C142:G142"/>
    <mergeCell ref="C143:G143"/>
    <mergeCell ref="C137:G137"/>
    <mergeCell ref="C140:G140"/>
    <mergeCell ref="C144:G144"/>
    <mergeCell ref="C147:G147"/>
    <mergeCell ref="C148:G148"/>
    <mergeCell ref="C149:G149"/>
    <mergeCell ref="C152:G152"/>
    <mergeCell ref="C153:G153"/>
    <mergeCell ref="C150:G150"/>
    <mergeCell ref="C151:G151"/>
    <mergeCell ref="C136:G136"/>
    <mergeCell ref="C160:G160"/>
    <mergeCell ref="C157:G157"/>
    <mergeCell ref="C158:G158"/>
    <mergeCell ref="C159:G159"/>
    <mergeCell ref="C156:G156"/>
    <mergeCell ref="C141:G141"/>
    <mergeCell ref="C248:G248"/>
    <mergeCell ref="C245:G245"/>
    <mergeCell ref="C246:G246"/>
    <mergeCell ref="C247:G247"/>
    <mergeCell ref="C239:G239"/>
    <mergeCell ref="C242:G242"/>
    <mergeCell ref="C240:G240"/>
    <mergeCell ref="C241:G241"/>
    <mergeCell ref="C243:G243"/>
    <mergeCell ref="C244:G244"/>
    <mergeCell ref="C249:G249"/>
    <mergeCell ref="C234:G234"/>
    <mergeCell ref="C232:G232"/>
    <mergeCell ref="C233:G233"/>
    <mergeCell ref="C230:G230"/>
    <mergeCell ref="C231:G231"/>
    <mergeCell ref="C238:G238"/>
    <mergeCell ref="C154:G154"/>
    <mergeCell ref="C155:G155"/>
    <mergeCell ref="C163:G163"/>
    <mergeCell ref="C164:G164"/>
    <mergeCell ref="C167:G167"/>
    <mergeCell ref="C168:G168"/>
    <mergeCell ref="C169:G169"/>
    <mergeCell ref="C165:G165"/>
    <mergeCell ref="C166:G166"/>
    <mergeCell ref="C179:G179"/>
    <mergeCell ref="C180:G180"/>
    <mergeCell ref="C181:G181"/>
    <mergeCell ref="C189:G189"/>
    <mergeCell ref="C190:G190"/>
    <mergeCell ref="C191:G191"/>
    <mergeCell ref="C182:G182"/>
    <mergeCell ref="C183:G183"/>
    <mergeCell ref="C187:G187"/>
    <mergeCell ref="C188:G188"/>
    <mergeCell ref="C184:G184"/>
    <mergeCell ref="C185:G185"/>
    <mergeCell ref="C186:G186"/>
    <mergeCell ref="C145:G145"/>
    <mergeCell ref="C146:G146"/>
    <mergeCell ref="C235:G235"/>
    <mergeCell ref="C237:G237"/>
    <mergeCell ref="C236:G236"/>
    <mergeCell ref="C60:G60"/>
    <mergeCell ref="C61:G61"/>
    <mergeCell ref="I63:M63"/>
    <mergeCell ref="I64:M64"/>
    <mergeCell ref="I65:M65"/>
    <mergeCell ref="I66:M66"/>
    <mergeCell ref="I67:M67"/>
    <mergeCell ref="C62:G62"/>
    <mergeCell ref="C63:G63"/>
    <mergeCell ref="C64:G64"/>
    <mergeCell ref="C67:G67"/>
    <mergeCell ref="C68:G68"/>
    <mergeCell ref="C69:G69"/>
    <mergeCell ref="C65:G65"/>
    <mergeCell ref="C66:G66"/>
    <mergeCell ref="C72:G72"/>
    <mergeCell ref="C73:G73"/>
    <mergeCell ref="C70:G70"/>
    <mergeCell ref="C71:G71"/>
    <mergeCell ref="C74:G74"/>
    <mergeCell ref="I68:M68"/>
    <mergeCell ref="I69:M69"/>
    <mergeCell ref="I70:M70"/>
    <mergeCell ref="I71:M71"/>
    <mergeCell ref="I72:M72"/>
    <mergeCell ref="I73:M73"/>
    <mergeCell ref="I74:M74"/>
    <mergeCell ref="C46:G46"/>
    <mergeCell ref="C47:G47"/>
    <mergeCell ref="C48:G48"/>
    <mergeCell ref="C49:G49"/>
    <mergeCell ref="C45:G45"/>
    <mergeCell ref="I46:M46"/>
    <mergeCell ref="I47:M47"/>
    <mergeCell ref="I48:M48"/>
    <mergeCell ref="I49:M49"/>
    <mergeCell ref="I50:M50"/>
    <mergeCell ref="I45:M45"/>
    <mergeCell ref="C50:G50"/>
    <mergeCell ref="I43:M43"/>
    <mergeCell ref="I44:M44"/>
    <mergeCell ref="I37:M37"/>
    <mergeCell ref="I38:M38"/>
    <mergeCell ref="I39:M39"/>
    <mergeCell ref="I40:M40"/>
    <mergeCell ref="C35:G35"/>
    <mergeCell ref="I36:M36"/>
    <mergeCell ref="C36:G36"/>
    <mergeCell ref="C37:G37"/>
    <mergeCell ref="C38:G38"/>
    <mergeCell ref="C39:G39"/>
    <mergeCell ref="C40:G40"/>
    <mergeCell ref="C33:G33"/>
    <mergeCell ref="C34:G34"/>
    <mergeCell ref="I42:M42"/>
    <mergeCell ref="C43:G43"/>
    <mergeCell ref="C44:G44"/>
    <mergeCell ref="C42:G42"/>
    <mergeCell ref="I41:M41"/>
    <mergeCell ref="C41:G41"/>
    <mergeCell ref="C55:G55"/>
    <mergeCell ref="C56:G56"/>
    <mergeCell ref="C77:G77"/>
    <mergeCell ref="C78:G78"/>
    <mergeCell ref="C76:G76"/>
    <mergeCell ref="C75:G75"/>
    <mergeCell ref="I77:M77"/>
    <mergeCell ref="I51:M51"/>
    <mergeCell ref="I52:M52"/>
    <mergeCell ref="I53:M53"/>
    <mergeCell ref="C54:G54"/>
    <mergeCell ref="C57:G57"/>
    <mergeCell ref="C58:G58"/>
    <mergeCell ref="C59:G59"/>
    <mergeCell ref="C51:G51"/>
    <mergeCell ref="I138:M138"/>
    <mergeCell ref="I139:M139"/>
    <mergeCell ref="I140:M140"/>
    <mergeCell ref="I141:M141"/>
    <mergeCell ref="I142:M142"/>
    <mergeCell ref="I143:M143"/>
    <mergeCell ref="I144:M144"/>
    <mergeCell ref="C135:G135"/>
    <mergeCell ref="C129:G129"/>
    <mergeCell ref="C132:G132"/>
    <mergeCell ref="C133:G133"/>
    <mergeCell ref="C134:G134"/>
    <mergeCell ref="C130:G130"/>
    <mergeCell ref="C131:G131"/>
    <mergeCell ref="I125:M125"/>
    <mergeCell ref="I126:M126"/>
    <mergeCell ref="I127:M127"/>
    <mergeCell ref="I128:M128"/>
    <mergeCell ref="I129:M129"/>
    <mergeCell ref="I131:M131"/>
    <mergeCell ref="I132:M132"/>
    <mergeCell ref="I133:M133"/>
    <mergeCell ref="I134:M134"/>
    <mergeCell ref="I135:M135"/>
    <mergeCell ref="I136:M136"/>
    <mergeCell ref="I137:M137"/>
    <mergeCell ref="I130:M130"/>
    <mergeCell ref="I78:M78"/>
    <mergeCell ref="I79:M79"/>
    <mergeCell ref="I80:M80"/>
    <mergeCell ref="I81:M81"/>
    <mergeCell ref="C52:G52"/>
    <mergeCell ref="C53:G53"/>
    <mergeCell ref="C161:G161"/>
    <mergeCell ref="C162:G162"/>
    <mergeCell ref="C175:G175"/>
    <mergeCell ref="C176:G176"/>
    <mergeCell ref="C170:G170"/>
    <mergeCell ref="C171:G171"/>
    <mergeCell ref="C172:G172"/>
    <mergeCell ref="C173:G173"/>
    <mergeCell ref="C174:G174"/>
    <mergeCell ref="C177:G177"/>
    <mergeCell ref="C178:G178"/>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375</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86"/>
    <col customWidth="1" min="2" max="2" width="32.71"/>
    <col customWidth="1" min="3" max="7" width="11.43"/>
    <col customWidth="1" min="8" max="8" width="14.29"/>
    <col customWidth="1" min="9" max="12" width="11.43"/>
    <col customWidth="1" min="13" max="13" width="10.43"/>
    <col customWidth="1" min="14" max="14" width="11.71"/>
    <col customWidth="1" min="15" max="15" width="22.14"/>
    <col customWidth="1" min="16" max="27" width="19.0"/>
  </cols>
  <sheetData>
    <row r="1">
      <c r="A1" s="54"/>
      <c r="B1" s="55" t="s">
        <v>66</v>
      </c>
      <c r="C1" s="56" t="s">
        <v>376</v>
      </c>
      <c r="D1" s="57"/>
      <c r="E1" s="57"/>
      <c r="F1" s="57"/>
      <c r="G1" s="57"/>
      <c r="H1" s="57"/>
      <c r="I1" s="57"/>
      <c r="J1" s="57"/>
      <c r="K1" s="58" t="s">
        <v>68</v>
      </c>
      <c r="L1" s="59">
        <f>AVERAGE(L4:L21)</f>
        <v>0</v>
      </c>
      <c r="M1" s="60"/>
      <c r="N1" s="61"/>
      <c r="O1" s="62"/>
      <c r="P1" s="63"/>
    </row>
    <row r="2">
      <c r="A2" s="64" t="s">
        <v>69</v>
      </c>
      <c r="B2" s="65" t="s">
        <v>70</v>
      </c>
      <c r="C2" s="66" t="s">
        <v>71</v>
      </c>
      <c r="D2" s="67"/>
      <c r="E2" s="67"/>
      <c r="F2" s="67"/>
      <c r="G2" s="68"/>
      <c r="H2" s="66" t="s">
        <v>72</v>
      </c>
      <c r="I2" s="67"/>
      <c r="J2" s="67"/>
      <c r="K2" s="67"/>
      <c r="L2" s="68"/>
      <c r="M2" s="60"/>
      <c r="N2" s="61"/>
      <c r="O2" s="62"/>
      <c r="P2" s="63"/>
    </row>
    <row r="3">
      <c r="A3" s="64" t="s">
        <v>73</v>
      </c>
      <c r="B3" s="64" t="s">
        <v>74</v>
      </c>
      <c r="C3" s="69" t="s">
        <v>75</v>
      </c>
      <c r="D3" s="65" t="s">
        <v>76</v>
      </c>
      <c r="E3" s="65" t="s">
        <v>77</v>
      </c>
      <c r="F3" s="69" t="s">
        <v>78</v>
      </c>
      <c r="G3" s="65" t="s">
        <v>79</v>
      </c>
      <c r="H3" s="65" t="s">
        <v>75</v>
      </c>
      <c r="I3" s="65" t="s">
        <v>76</v>
      </c>
      <c r="J3" s="65" t="s">
        <v>78</v>
      </c>
      <c r="K3" s="65" t="s">
        <v>80</v>
      </c>
      <c r="L3" s="69" t="s">
        <v>81</v>
      </c>
      <c r="M3" s="60"/>
      <c r="N3" s="61"/>
      <c r="O3" s="62"/>
      <c r="P3" s="63"/>
    </row>
    <row r="4">
      <c r="A4" s="70" t="s">
        <v>0</v>
      </c>
      <c r="B4" s="71" t="s">
        <v>82</v>
      </c>
      <c r="C4" s="72">
        <f t="shared" ref="C4:C21" si="1">COUNTIFS($A$23:$A$249,$A4,$B$23:$B249,$B4,$H$23:$H$249,$C$3,$N$23:$N$249,"")+COUNTIFS($A$23:$A$249,$A4,$B$23:$B$249,$B4,$H$23:$H$249,$C$3,$N$23:$N$249,$B$2)</f>
        <v>2</v>
      </c>
      <c r="D4" s="14">
        <f t="shared" ref="D4:D21" si="2">COUNTIFS($A$23:$A$249,$A4,$B$23:$B$249,$B4,$H$23:$H$249,$D$3,$N$23:$N$249,"")+COUNTIFS($A$23:$A$249,$A4,$B$23:$B$249,$B4,$H$23:$H$249,$D$3,$N$23:$N$249,$B$2)</f>
        <v>8</v>
      </c>
      <c r="E4" s="14">
        <v>5.0</v>
      </c>
      <c r="F4" s="14">
        <f t="shared" ref="F4:F21" si="3">COUNTIFS($A$23:$A$249,$A4,$B$23:$B$249,$B4,$H$23:$H$249,$F$3)</f>
        <v>1</v>
      </c>
      <c r="G4" s="73">
        <f t="shared" ref="G4:G21" si="4">C4+E4</f>
        <v>7</v>
      </c>
      <c r="H4" s="72">
        <f t="shared" ref="H4:H21" si="5">COUNTIFS($A$23:$A$249,$A4,$B$23:$B$249,$B4,$H$23:$H$249,$H$3,$N$23:$N$249,"",$P$23:$P$249,"Sim")+COUNTIFS($A$23:$A$249,$A4,$B$23:$B$249,$B4,$H$23:$H$249,$H$3,$N$23:$N249,$B$2,$P$23:$P$249,"Sim")</f>
        <v>0</v>
      </c>
      <c r="I4" s="14">
        <f t="shared" ref="I4:I21" si="6">COUNTIFS($A$23:$A$249,$A4,$B$23:$B$249,$B4,$H$23:$H$249,$I$3,$N$23:$N$249,"",$P$23:$P$249,"Sim")+COUNTIFS($A$23:$A$249,$A4,$B$23:$B$249,$B4,$H$23:$H$249,$I$3,$N$23:$N$249,$B$2,$P$23:$P$249,"Sim")</f>
        <v>0</v>
      </c>
      <c r="J4" s="14">
        <f t="shared" ref="J4:J21" si="7">COUNTIFS($A$23:$A$249,$A4,$B$23:$B$249,$B4,$H$23:$H$249,$J$3,$N$23:$N$249,"",$P$23:$P$249,"Sim")+COUNTIFS($A$23:$A$249,$A4,$B$23:$B$249,$B4,$H$23:$H$249,$J$3,$N$23:$N$249,$B$2,$P$23:$P$249,"Sim")</f>
        <v>0</v>
      </c>
      <c r="K4" s="14">
        <f t="shared" ref="K4:K21" si="8">IF(J4=0,IF(I4&gt;=E4,E4,I4),if(J4&gt;=F4,E4))+IF(H4&gt;=C4,C4,H4)</f>
        <v>0</v>
      </c>
      <c r="L4" s="74">
        <f t="shared" ref="L4:L21" si="9">K4/G4</f>
        <v>0</v>
      </c>
      <c r="M4" s="60"/>
      <c r="N4" s="61"/>
      <c r="O4" s="62"/>
      <c r="P4" s="63"/>
    </row>
    <row r="5">
      <c r="A5" s="70" t="s">
        <v>0</v>
      </c>
      <c r="B5" s="71" t="s">
        <v>13</v>
      </c>
      <c r="C5" s="72">
        <f t="shared" si="1"/>
        <v>1</v>
      </c>
      <c r="D5" s="14">
        <f t="shared" si="2"/>
        <v>10</v>
      </c>
      <c r="E5" s="14">
        <v>4.0</v>
      </c>
      <c r="F5" s="14">
        <f t="shared" si="3"/>
        <v>0</v>
      </c>
      <c r="G5" s="73">
        <f t="shared" si="4"/>
        <v>5</v>
      </c>
      <c r="H5" s="72">
        <f t="shared" si="5"/>
        <v>0</v>
      </c>
      <c r="I5" s="14">
        <f t="shared" si="6"/>
        <v>0</v>
      </c>
      <c r="J5" s="14">
        <f t="shared" si="7"/>
        <v>0</v>
      </c>
      <c r="K5" s="14">
        <f t="shared" si="8"/>
        <v>0</v>
      </c>
      <c r="L5" s="74">
        <f t="shared" si="9"/>
        <v>0</v>
      </c>
      <c r="M5" s="60"/>
      <c r="N5" s="61"/>
      <c r="O5" s="62"/>
      <c r="P5" s="63"/>
    </row>
    <row r="6">
      <c r="A6" s="70" t="s">
        <v>0</v>
      </c>
      <c r="B6" s="71" t="s">
        <v>14</v>
      </c>
      <c r="C6" s="72">
        <f t="shared" si="1"/>
        <v>2</v>
      </c>
      <c r="D6" s="14">
        <f t="shared" si="2"/>
        <v>10</v>
      </c>
      <c r="E6" s="14">
        <v>5.0</v>
      </c>
      <c r="F6" s="14">
        <f t="shared" si="3"/>
        <v>1</v>
      </c>
      <c r="G6" s="73">
        <f t="shared" si="4"/>
        <v>7</v>
      </c>
      <c r="H6" s="72">
        <f t="shared" si="5"/>
        <v>0</v>
      </c>
      <c r="I6" s="14">
        <f t="shared" si="6"/>
        <v>0</v>
      </c>
      <c r="J6" s="14">
        <f t="shared" si="7"/>
        <v>0</v>
      </c>
      <c r="K6" s="14">
        <f t="shared" si="8"/>
        <v>0</v>
      </c>
      <c r="L6" s="74">
        <f t="shared" si="9"/>
        <v>0</v>
      </c>
      <c r="M6" s="60"/>
      <c r="N6" s="61"/>
      <c r="O6" s="62"/>
      <c r="P6" s="63"/>
    </row>
    <row r="7">
      <c r="A7" s="70" t="s">
        <v>0</v>
      </c>
      <c r="B7" s="71" t="s">
        <v>15</v>
      </c>
      <c r="C7" s="72">
        <f t="shared" si="1"/>
        <v>1</v>
      </c>
      <c r="D7" s="14">
        <f t="shared" si="2"/>
        <v>8</v>
      </c>
      <c r="E7" s="14">
        <v>3.0</v>
      </c>
      <c r="F7" s="14">
        <f t="shared" si="3"/>
        <v>0</v>
      </c>
      <c r="G7" s="73">
        <f t="shared" si="4"/>
        <v>4</v>
      </c>
      <c r="H7" s="72">
        <f t="shared" si="5"/>
        <v>0</v>
      </c>
      <c r="I7" s="14">
        <f t="shared" si="6"/>
        <v>0</v>
      </c>
      <c r="J7" s="14">
        <f t="shared" si="7"/>
        <v>0</v>
      </c>
      <c r="K7" s="14">
        <f t="shared" si="8"/>
        <v>0</v>
      </c>
      <c r="L7" s="74">
        <f t="shared" si="9"/>
        <v>0</v>
      </c>
      <c r="M7" s="60"/>
      <c r="N7" s="61"/>
      <c r="O7" s="62"/>
      <c r="P7" s="63"/>
    </row>
    <row r="8">
      <c r="A8" s="75" t="s">
        <v>1</v>
      </c>
      <c r="B8" s="76" t="s">
        <v>19</v>
      </c>
      <c r="C8" s="77">
        <f t="shared" si="1"/>
        <v>2</v>
      </c>
      <c r="D8" s="15">
        <f t="shared" si="2"/>
        <v>20</v>
      </c>
      <c r="E8" s="16">
        <v>5.0</v>
      </c>
      <c r="F8" s="15">
        <f t="shared" si="3"/>
        <v>4</v>
      </c>
      <c r="G8" s="78">
        <f t="shared" si="4"/>
        <v>7</v>
      </c>
      <c r="H8" s="77">
        <f t="shared" si="5"/>
        <v>0</v>
      </c>
      <c r="I8" s="15">
        <f t="shared" si="6"/>
        <v>0</v>
      </c>
      <c r="J8" s="15">
        <f t="shared" si="7"/>
        <v>0</v>
      </c>
      <c r="K8" s="15">
        <f t="shared" si="8"/>
        <v>0</v>
      </c>
      <c r="L8" s="79">
        <f t="shared" si="9"/>
        <v>0</v>
      </c>
      <c r="M8" s="60"/>
      <c r="N8" s="61"/>
      <c r="O8" s="62"/>
      <c r="P8" s="63"/>
    </row>
    <row r="9">
      <c r="A9" s="75" t="s">
        <v>1</v>
      </c>
      <c r="B9" s="76" t="s">
        <v>20</v>
      </c>
      <c r="C9" s="77">
        <f t="shared" si="1"/>
        <v>0</v>
      </c>
      <c r="D9" s="15">
        <f t="shared" si="2"/>
        <v>8</v>
      </c>
      <c r="E9" s="16">
        <v>4.0</v>
      </c>
      <c r="F9" s="15">
        <f t="shared" si="3"/>
        <v>2</v>
      </c>
      <c r="G9" s="78">
        <f t="shared" si="4"/>
        <v>4</v>
      </c>
      <c r="H9" s="77">
        <f t="shared" si="5"/>
        <v>0</v>
      </c>
      <c r="I9" s="15">
        <f t="shared" si="6"/>
        <v>0</v>
      </c>
      <c r="J9" s="15">
        <f t="shared" si="7"/>
        <v>0</v>
      </c>
      <c r="K9" s="15">
        <f t="shared" si="8"/>
        <v>0</v>
      </c>
      <c r="L9" s="79">
        <f t="shared" si="9"/>
        <v>0</v>
      </c>
      <c r="M9" s="60"/>
      <c r="N9" s="61"/>
      <c r="O9" s="62"/>
      <c r="P9" s="63"/>
    </row>
    <row r="10">
      <c r="A10" s="75" t="s">
        <v>1</v>
      </c>
      <c r="B10" s="76" t="s">
        <v>21</v>
      </c>
      <c r="C10" s="77">
        <f t="shared" si="1"/>
        <v>1</v>
      </c>
      <c r="D10" s="15">
        <f t="shared" si="2"/>
        <v>4</v>
      </c>
      <c r="E10" s="16">
        <v>5.0</v>
      </c>
      <c r="F10" s="15">
        <f t="shared" si="3"/>
        <v>0</v>
      </c>
      <c r="G10" s="78">
        <f t="shared" si="4"/>
        <v>6</v>
      </c>
      <c r="H10" s="77">
        <f t="shared" si="5"/>
        <v>0</v>
      </c>
      <c r="I10" s="15">
        <f t="shared" si="6"/>
        <v>0</v>
      </c>
      <c r="J10" s="15">
        <f t="shared" si="7"/>
        <v>0</v>
      </c>
      <c r="K10" s="15">
        <f t="shared" si="8"/>
        <v>0</v>
      </c>
      <c r="L10" s="79">
        <f t="shared" si="9"/>
        <v>0</v>
      </c>
      <c r="M10" s="60"/>
      <c r="N10" s="61"/>
      <c r="O10" s="62"/>
      <c r="P10" s="63"/>
    </row>
    <row r="11">
      <c r="A11" s="75" t="s">
        <v>1</v>
      </c>
      <c r="B11" s="76" t="s">
        <v>22</v>
      </c>
      <c r="C11" s="77">
        <f t="shared" si="1"/>
        <v>8</v>
      </c>
      <c r="D11" s="15">
        <f t="shared" si="2"/>
        <v>10</v>
      </c>
      <c r="E11" s="16">
        <v>4.0</v>
      </c>
      <c r="F11" s="15">
        <f t="shared" si="3"/>
        <v>1</v>
      </c>
      <c r="G11" s="78">
        <f t="shared" si="4"/>
        <v>12</v>
      </c>
      <c r="H11" s="77">
        <f t="shared" si="5"/>
        <v>0</v>
      </c>
      <c r="I11" s="15">
        <f t="shared" si="6"/>
        <v>0</v>
      </c>
      <c r="J11" s="15">
        <f t="shared" si="7"/>
        <v>0</v>
      </c>
      <c r="K11" s="15">
        <f t="shared" si="8"/>
        <v>0</v>
      </c>
      <c r="L11" s="79">
        <f t="shared" si="9"/>
        <v>0</v>
      </c>
      <c r="M11" s="60"/>
      <c r="N11" s="61"/>
      <c r="O11" s="62"/>
      <c r="P11" s="63"/>
    </row>
    <row r="12">
      <c r="A12" s="80" t="s">
        <v>2</v>
      </c>
      <c r="B12" s="81" t="s">
        <v>23</v>
      </c>
      <c r="C12" s="82">
        <f t="shared" si="1"/>
        <v>2</v>
      </c>
      <c r="D12" s="17">
        <f t="shared" si="2"/>
        <v>5</v>
      </c>
      <c r="E12" s="18">
        <v>3.0</v>
      </c>
      <c r="F12" s="17">
        <f t="shared" si="3"/>
        <v>2</v>
      </c>
      <c r="G12" s="83">
        <f t="shared" si="4"/>
        <v>5</v>
      </c>
      <c r="H12" s="82">
        <f t="shared" si="5"/>
        <v>0</v>
      </c>
      <c r="I12" s="17">
        <f t="shared" si="6"/>
        <v>0</v>
      </c>
      <c r="J12" s="17">
        <f t="shared" si="7"/>
        <v>0</v>
      </c>
      <c r="K12" s="17">
        <f t="shared" si="8"/>
        <v>0</v>
      </c>
      <c r="L12" s="84">
        <f t="shared" si="9"/>
        <v>0</v>
      </c>
      <c r="M12" s="60"/>
      <c r="N12" s="61"/>
      <c r="O12" s="62"/>
      <c r="P12" s="63"/>
    </row>
    <row r="13">
      <c r="A13" s="80" t="s">
        <v>2</v>
      </c>
      <c r="B13" s="81" t="s">
        <v>24</v>
      </c>
      <c r="C13" s="82">
        <f t="shared" si="1"/>
        <v>3</v>
      </c>
      <c r="D13" s="17">
        <f t="shared" si="2"/>
        <v>5</v>
      </c>
      <c r="E13" s="18">
        <v>2.0</v>
      </c>
      <c r="F13" s="17">
        <f t="shared" si="3"/>
        <v>0</v>
      </c>
      <c r="G13" s="83">
        <f t="shared" si="4"/>
        <v>5</v>
      </c>
      <c r="H13" s="82">
        <f t="shared" si="5"/>
        <v>0</v>
      </c>
      <c r="I13" s="17">
        <f t="shared" si="6"/>
        <v>0</v>
      </c>
      <c r="J13" s="17">
        <f t="shared" si="7"/>
        <v>0</v>
      </c>
      <c r="K13" s="17">
        <f t="shared" si="8"/>
        <v>0</v>
      </c>
      <c r="L13" s="84">
        <f t="shared" si="9"/>
        <v>0</v>
      </c>
      <c r="M13" s="60"/>
      <c r="N13" s="61"/>
      <c r="O13" s="62"/>
      <c r="P13" s="63"/>
    </row>
    <row r="14">
      <c r="A14" s="80" t="s">
        <v>2</v>
      </c>
      <c r="B14" s="81" t="s">
        <v>25</v>
      </c>
      <c r="C14" s="82">
        <f t="shared" si="1"/>
        <v>1</v>
      </c>
      <c r="D14" s="17">
        <f t="shared" si="2"/>
        <v>13</v>
      </c>
      <c r="E14" s="18">
        <v>5.0</v>
      </c>
      <c r="F14" s="17">
        <f t="shared" si="3"/>
        <v>1</v>
      </c>
      <c r="G14" s="83">
        <f t="shared" si="4"/>
        <v>6</v>
      </c>
      <c r="H14" s="82">
        <f t="shared" si="5"/>
        <v>0</v>
      </c>
      <c r="I14" s="17">
        <f t="shared" si="6"/>
        <v>0</v>
      </c>
      <c r="J14" s="17">
        <f t="shared" si="7"/>
        <v>0</v>
      </c>
      <c r="K14" s="17">
        <f t="shared" si="8"/>
        <v>0</v>
      </c>
      <c r="L14" s="84">
        <f t="shared" si="9"/>
        <v>0</v>
      </c>
      <c r="M14" s="60"/>
      <c r="N14" s="61"/>
      <c r="O14" s="62"/>
      <c r="P14" s="63"/>
    </row>
    <row r="15">
      <c r="A15" s="80" t="s">
        <v>2</v>
      </c>
      <c r="B15" s="81" t="s">
        <v>26</v>
      </c>
      <c r="C15" s="82">
        <f t="shared" si="1"/>
        <v>1</v>
      </c>
      <c r="D15" s="17">
        <f t="shared" si="2"/>
        <v>9</v>
      </c>
      <c r="E15" s="18">
        <v>5.0</v>
      </c>
      <c r="F15" s="17">
        <f t="shared" si="3"/>
        <v>1</v>
      </c>
      <c r="G15" s="83">
        <f t="shared" si="4"/>
        <v>6</v>
      </c>
      <c r="H15" s="82">
        <f t="shared" si="5"/>
        <v>0</v>
      </c>
      <c r="I15" s="17">
        <f t="shared" si="6"/>
        <v>0</v>
      </c>
      <c r="J15" s="17">
        <f t="shared" si="7"/>
        <v>0</v>
      </c>
      <c r="K15" s="17">
        <f t="shared" si="8"/>
        <v>0</v>
      </c>
      <c r="L15" s="84">
        <f t="shared" si="9"/>
        <v>0</v>
      </c>
      <c r="M15" s="60"/>
      <c r="N15" s="61"/>
      <c r="O15" s="62"/>
      <c r="P15" s="63"/>
    </row>
    <row r="16">
      <c r="A16" s="80" t="s">
        <v>2</v>
      </c>
      <c r="B16" s="81" t="s">
        <v>27</v>
      </c>
      <c r="C16" s="82">
        <f t="shared" si="1"/>
        <v>1</v>
      </c>
      <c r="D16" s="17">
        <f t="shared" si="2"/>
        <v>6</v>
      </c>
      <c r="E16" s="18">
        <v>5.0</v>
      </c>
      <c r="F16" s="17">
        <f t="shared" si="3"/>
        <v>1</v>
      </c>
      <c r="G16" s="83">
        <f t="shared" si="4"/>
        <v>6</v>
      </c>
      <c r="H16" s="82">
        <f t="shared" si="5"/>
        <v>0</v>
      </c>
      <c r="I16" s="17">
        <f t="shared" si="6"/>
        <v>0</v>
      </c>
      <c r="J16" s="17">
        <f t="shared" si="7"/>
        <v>0</v>
      </c>
      <c r="K16" s="17">
        <f t="shared" si="8"/>
        <v>0</v>
      </c>
      <c r="L16" s="84">
        <f t="shared" si="9"/>
        <v>0</v>
      </c>
      <c r="M16" s="60"/>
      <c r="N16" s="61"/>
      <c r="O16" s="62"/>
      <c r="P16" s="63"/>
    </row>
    <row r="17">
      <c r="A17" s="85" t="s">
        <v>3</v>
      </c>
      <c r="B17" s="86" t="s">
        <v>28</v>
      </c>
      <c r="C17" s="87">
        <f t="shared" si="1"/>
        <v>3</v>
      </c>
      <c r="D17" s="19">
        <f t="shared" si="2"/>
        <v>9</v>
      </c>
      <c r="E17" s="20">
        <v>4.0</v>
      </c>
      <c r="F17" s="19">
        <f t="shared" si="3"/>
        <v>1</v>
      </c>
      <c r="G17" s="88">
        <f t="shared" si="4"/>
        <v>7</v>
      </c>
      <c r="H17" s="87">
        <f t="shared" si="5"/>
        <v>0</v>
      </c>
      <c r="I17" s="19">
        <f t="shared" si="6"/>
        <v>0</v>
      </c>
      <c r="J17" s="19">
        <f t="shared" si="7"/>
        <v>0</v>
      </c>
      <c r="K17" s="19">
        <f t="shared" si="8"/>
        <v>0</v>
      </c>
      <c r="L17" s="89">
        <f t="shared" si="9"/>
        <v>0</v>
      </c>
      <c r="M17" s="60"/>
      <c r="N17" s="61"/>
      <c r="O17" s="62"/>
      <c r="P17" s="63"/>
    </row>
    <row r="18">
      <c r="A18" s="85" t="s">
        <v>3</v>
      </c>
      <c r="B18" s="86" t="s">
        <v>29</v>
      </c>
      <c r="C18" s="87">
        <f t="shared" si="1"/>
        <v>0</v>
      </c>
      <c r="D18" s="19">
        <f t="shared" si="2"/>
        <v>6</v>
      </c>
      <c r="E18" s="20">
        <v>4.0</v>
      </c>
      <c r="F18" s="19">
        <f t="shared" si="3"/>
        <v>2</v>
      </c>
      <c r="G18" s="88">
        <f t="shared" si="4"/>
        <v>4</v>
      </c>
      <c r="H18" s="87">
        <f t="shared" si="5"/>
        <v>0</v>
      </c>
      <c r="I18" s="19">
        <f t="shared" si="6"/>
        <v>0</v>
      </c>
      <c r="J18" s="19">
        <f t="shared" si="7"/>
        <v>0</v>
      </c>
      <c r="K18" s="19">
        <f t="shared" si="8"/>
        <v>0</v>
      </c>
      <c r="L18" s="89">
        <f t="shared" si="9"/>
        <v>0</v>
      </c>
      <c r="M18" s="60"/>
      <c r="N18" s="61"/>
      <c r="O18" s="62"/>
      <c r="P18" s="63"/>
    </row>
    <row r="19">
      <c r="A19" s="85" t="s">
        <v>3</v>
      </c>
      <c r="B19" s="86" t="s">
        <v>30</v>
      </c>
      <c r="C19" s="87">
        <f t="shared" si="1"/>
        <v>2</v>
      </c>
      <c r="D19" s="19">
        <f t="shared" si="2"/>
        <v>9</v>
      </c>
      <c r="E19" s="20">
        <v>5.0</v>
      </c>
      <c r="F19" s="19">
        <f t="shared" si="3"/>
        <v>1</v>
      </c>
      <c r="G19" s="88">
        <f t="shared" si="4"/>
        <v>7</v>
      </c>
      <c r="H19" s="87">
        <f t="shared" si="5"/>
        <v>0</v>
      </c>
      <c r="I19" s="19">
        <f t="shared" si="6"/>
        <v>0</v>
      </c>
      <c r="J19" s="19">
        <f t="shared" si="7"/>
        <v>0</v>
      </c>
      <c r="K19" s="19">
        <f t="shared" si="8"/>
        <v>0</v>
      </c>
      <c r="L19" s="89">
        <f t="shared" si="9"/>
        <v>0</v>
      </c>
      <c r="M19" s="60"/>
      <c r="N19" s="61"/>
      <c r="O19" s="62"/>
      <c r="P19" s="63"/>
    </row>
    <row r="20">
      <c r="A20" s="85" t="s">
        <v>3</v>
      </c>
      <c r="B20" s="86" t="s">
        <v>31</v>
      </c>
      <c r="C20" s="87">
        <f t="shared" si="1"/>
        <v>2</v>
      </c>
      <c r="D20" s="19">
        <f t="shared" si="2"/>
        <v>6</v>
      </c>
      <c r="E20" s="20">
        <v>4.0</v>
      </c>
      <c r="F20" s="19">
        <f t="shared" si="3"/>
        <v>1</v>
      </c>
      <c r="G20" s="88">
        <f t="shared" si="4"/>
        <v>6</v>
      </c>
      <c r="H20" s="87">
        <f t="shared" si="5"/>
        <v>0</v>
      </c>
      <c r="I20" s="19">
        <f t="shared" si="6"/>
        <v>0</v>
      </c>
      <c r="J20" s="19">
        <f t="shared" si="7"/>
        <v>0</v>
      </c>
      <c r="K20" s="19">
        <f t="shared" si="8"/>
        <v>0</v>
      </c>
      <c r="L20" s="89">
        <f t="shared" si="9"/>
        <v>0</v>
      </c>
      <c r="M20" s="60"/>
      <c r="N20" s="61"/>
      <c r="O20" s="62"/>
      <c r="P20" s="63"/>
    </row>
    <row r="21">
      <c r="A21" s="90" t="s">
        <v>3</v>
      </c>
      <c r="B21" s="91" t="s">
        <v>32</v>
      </c>
      <c r="C21" s="92">
        <f t="shared" si="1"/>
        <v>1</v>
      </c>
      <c r="D21" s="93">
        <f t="shared" si="2"/>
        <v>10</v>
      </c>
      <c r="E21" s="94">
        <v>5.0</v>
      </c>
      <c r="F21" s="93">
        <f t="shared" si="3"/>
        <v>1</v>
      </c>
      <c r="G21" s="95">
        <f t="shared" si="4"/>
        <v>6</v>
      </c>
      <c r="H21" s="92">
        <f t="shared" si="5"/>
        <v>0</v>
      </c>
      <c r="I21" s="93">
        <f t="shared" si="6"/>
        <v>0</v>
      </c>
      <c r="J21" s="93">
        <f t="shared" si="7"/>
        <v>0</v>
      </c>
      <c r="K21" s="93">
        <f t="shared" si="8"/>
        <v>0</v>
      </c>
      <c r="L21" s="96">
        <f t="shared" si="9"/>
        <v>0</v>
      </c>
      <c r="M21" s="60"/>
      <c r="N21" s="61"/>
      <c r="O21" s="62"/>
      <c r="P21" s="63"/>
    </row>
    <row r="22">
      <c r="A22" s="60"/>
      <c r="B22" s="60"/>
      <c r="C22" s="62"/>
      <c r="D22" s="62"/>
      <c r="E22" s="62"/>
      <c r="F22" s="62"/>
      <c r="G22" s="62"/>
      <c r="H22" s="60"/>
      <c r="I22" s="62"/>
      <c r="J22" s="62"/>
      <c r="K22" s="62"/>
      <c r="L22" s="62"/>
      <c r="M22" s="60"/>
      <c r="N22" s="61"/>
      <c r="O22" s="62"/>
      <c r="P22" s="97"/>
      <c r="Q22" s="97"/>
      <c r="R22" s="97"/>
      <c r="S22" s="97"/>
      <c r="T22" s="97"/>
      <c r="U22" s="97"/>
      <c r="V22" s="97"/>
      <c r="W22" s="97"/>
      <c r="X22" s="97"/>
      <c r="Y22" s="97"/>
      <c r="Z22" s="97"/>
      <c r="AA22" s="97"/>
    </row>
    <row r="23">
      <c r="A23" s="60" t="s">
        <v>73</v>
      </c>
      <c r="B23" s="60" t="s">
        <v>74</v>
      </c>
      <c r="C23" s="97" t="s">
        <v>83</v>
      </c>
      <c r="H23" s="60" t="s">
        <v>84</v>
      </c>
      <c r="I23" s="60" t="s">
        <v>85</v>
      </c>
      <c r="N23" s="97" t="s">
        <v>86</v>
      </c>
      <c r="O23" s="97" t="s">
        <v>87</v>
      </c>
      <c r="P23" s="97" t="s">
        <v>88</v>
      </c>
      <c r="Q23" s="97" t="s">
        <v>89</v>
      </c>
      <c r="R23" s="97"/>
      <c r="S23" s="97"/>
      <c r="T23" s="97"/>
      <c r="U23" s="97"/>
      <c r="V23" s="97"/>
      <c r="W23" s="97"/>
      <c r="X23" s="97"/>
      <c r="Y23" s="97"/>
      <c r="Z23" s="97"/>
      <c r="AA23" s="97"/>
    </row>
    <row r="24">
      <c r="A24" s="54" t="s">
        <v>0</v>
      </c>
      <c r="B24" s="54" t="s">
        <v>82</v>
      </c>
      <c r="C24" s="11" t="s">
        <v>90</v>
      </c>
      <c r="H24" s="98" t="s">
        <v>75</v>
      </c>
      <c r="I24" s="11" t="s">
        <v>91</v>
      </c>
      <c r="N24" s="98"/>
      <c r="O24" s="99"/>
      <c r="P24" s="100"/>
      <c r="Q24" s="101"/>
      <c r="R24" s="101"/>
      <c r="S24" s="101"/>
      <c r="T24" s="101"/>
      <c r="U24" s="101"/>
      <c r="V24" s="101"/>
      <c r="W24" s="101"/>
      <c r="X24" s="101"/>
      <c r="Y24" s="101"/>
      <c r="Z24" s="101"/>
      <c r="AA24" s="101"/>
    </row>
    <row r="25">
      <c r="A25" s="54" t="s">
        <v>0</v>
      </c>
      <c r="B25" s="54" t="s">
        <v>82</v>
      </c>
      <c r="C25" s="11" t="s">
        <v>90</v>
      </c>
      <c r="H25" s="98" t="s">
        <v>75</v>
      </c>
      <c r="I25" s="11" t="s">
        <v>92</v>
      </c>
      <c r="N25" s="98"/>
      <c r="O25" s="99"/>
      <c r="P25" s="100"/>
      <c r="Q25" s="101"/>
      <c r="R25" s="101"/>
      <c r="S25" s="101"/>
      <c r="T25" s="101"/>
      <c r="U25" s="101"/>
      <c r="V25" s="101"/>
      <c r="W25" s="101"/>
      <c r="X25" s="101"/>
      <c r="Y25" s="101"/>
      <c r="Z25" s="101"/>
      <c r="AA25" s="101"/>
    </row>
    <row r="26">
      <c r="A26" s="54" t="s">
        <v>0</v>
      </c>
      <c r="B26" s="54" t="s">
        <v>82</v>
      </c>
      <c r="C26" s="11" t="s">
        <v>90</v>
      </c>
      <c r="H26" s="98" t="s">
        <v>75</v>
      </c>
      <c r="I26" s="11" t="s">
        <v>93</v>
      </c>
      <c r="N26" s="12" t="s">
        <v>94</v>
      </c>
      <c r="O26" s="99"/>
      <c r="P26" s="100"/>
      <c r="Q26" s="101"/>
      <c r="R26" s="101"/>
      <c r="S26" s="101"/>
      <c r="T26" s="101"/>
      <c r="U26" s="101"/>
      <c r="V26" s="101"/>
      <c r="W26" s="101"/>
      <c r="X26" s="101"/>
      <c r="Y26" s="101"/>
      <c r="Z26" s="101"/>
      <c r="AA26" s="101"/>
    </row>
    <row r="27">
      <c r="A27" s="54" t="s">
        <v>0</v>
      </c>
      <c r="B27" s="54" t="s">
        <v>82</v>
      </c>
      <c r="C27" s="11" t="s">
        <v>90</v>
      </c>
      <c r="H27" s="12" t="s">
        <v>75</v>
      </c>
      <c r="I27" s="11" t="s">
        <v>95</v>
      </c>
      <c r="N27" s="12" t="s">
        <v>96</v>
      </c>
      <c r="O27" s="99"/>
      <c r="P27" s="100"/>
      <c r="Q27" s="101"/>
      <c r="R27" s="101"/>
      <c r="S27" s="101"/>
      <c r="T27" s="101"/>
      <c r="U27" s="101"/>
      <c r="V27" s="101"/>
      <c r="W27" s="101"/>
      <c r="X27" s="101"/>
      <c r="Y27" s="101"/>
      <c r="Z27" s="101"/>
      <c r="AA27" s="101"/>
    </row>
    <row r="28">
      <c r="A28" s="54" t="s">
        <v>0</v>
      </c>
      <c r="B28" s="54" t="s">
        <v>82</v>
      </c>
      <c r="C28" s="11" t="s">
        <v>90</v>
      </c>
      <c r="H28" s="98" t="s">
        <v>76</v>
      </c>
      <c r="I28" s="11" t="s">
        <v>97</v>
      </c>
      <c r="N28" s="98"/>
      <c r="O28" s="1" t="s">
        <v>98</v>
      </c>
      <c r="P28" s="100"/>
      <c r="Q28" s="101"/>
      <c r="R28" s="101"/>
      <c r="S28" s="101"/>
      <c r="T28" s="101"/>
      <c r="U28" s="101"/>
      <c r="V28" s="101"/>
      <c r="W28" s="101"/>
      <c r="X28" s="101"/>
      <c r="Y28" s="101"/>
      <c r="Z28" s="101"/>
      <c r="AA28" s="101"/>
    </row>
    <row r="29">
      <c r="A29" s="54" t="s">
        <v>0</v>
      </c>
      <c r="B29" s="54" t="s">
        <v>82</v>
      </c>
      <c r="C29" s="11" t="s">
        <v>90</v>
      </c>
      <c r="H29" s="98" t="s">
        <v>76</v>
      </c>
      <c r="I29" s="11" t="s">
        <v>99</v>
      </c>
      <c r="N29" s="98"/>
      <c r="O29" s="1" t="s">
        <v>98</v>
      </c>
      <c r="P29" s="100"/>
      <c r="Q29" s="101"/>
      <c r="R29" s="101"/>
      <c r="S29" s="101"/>
      <c r="T29" s="101"/>
      <c r="U29" s="101"/>
      <c r="V29" s="101"/>
      <c r="W29" s="101"/>
      <c r="X29" s="101"/>
      <c r="Y29" s="101"/>
      <c r="Z29" s="101"/>
      <c r="AA29" s="101"/>
    </row>
    <row r="30">
      <c r="A30" s="54" t="s">
        <v>0</v>
      </c>
      <c r="B30" s="54" t="s">
        <v>82</v>
      </c>
      <c r="C30" s="11" t="s">
        <v>90</v>
      </c>
      <c r="H30" s="98" t="s">
        <v>76</v>
      </c>
      <c r="I30" s="11" t="s">
        <v>100</v>
      </c>
      <c r="N30" s="98"/>
      <c r="O30" s="1" t="s">
        <v>98</v>
      </c>
      <c r="P30" s="100"/>
      <c r="Q30" s="101"/>
      <c r="R30" s="101"/>
      <c r="S30" s="101"/>
      <c r="T30" s="101"/>
      <c r="U30" s="101"/>
      <c r="V30" s="101"/>
      <c r="W30" s="101"/>
      <c r="X30" s="101"/>
      <c r="Y30" s="101"/>
      <c r="Z30" s="101"/>
      <c r="AA30" s="101"/>
    </row>
    <row r="31">
      <c r="A31" s="54" t="s">
        <v>0</v>
      </c>
      <c r="B31" s="54" t="s">
        <v>82</v>
      </c>
      <c r="C31" s="11" t="s">
        <v>90</v>
      </c>
      <c r="H31" s="98" t="s">
        <v>76</v>
      </c>
      <c r="I31" s="11" t="s">
        <v>101</v>
      </c>
      <c r="N31" s="98"/>
      <c r="O31" s="1" t="s">
        <v>98</v>
      </c>
      <c r="P31" s="100"/>
      <c r="Q31" s="101"/>
      <c r="R31" s="101"/>
      <c r="S31" s="101"/>
      <c r="T31" s="101"/>
      <c r="U31" s="101"/>
      <c r="V31" s="101"/>
      <c r="W31" s="101"/>
      <c r="X31" s="101"/>
      <c r="Y31" s="101"/>
      <c r="Z31" s="101"/>
      <c r="AA31" s="101"/>
    </row>
    <row r="32">
      <c r="A32" s="54" t="s">
        <v>0</v>
      </c>
      <c r="B32" s="54" t="s">
        <v>82</v>
      </c>
      <c r="C32" s="11" t="s">
        <v>90</v>
      </c>
      <c r="H32" s="98" t="s">
        <v>76</v>
      </c>
      <c r="I32" s="11" t="s">
        <v>102</v>
      </c>
      <c r="N32" s="98"/>
      <c r="O32" s="1" t="s">
        <v>98</v>
      </c>
      <c r="P32" s="100"/>
      <c r="Q32" s="101"/>
      <c r="R32" s="101"/>
      <c r="S32" s="101"/>
      <c r="T32" s="101"/>
      <c r="U32" s="101"/>
      <c r="V32" s="101"/>
      <c r="W32" s="101"/>
      <c r="X32" s="101"/>
      <c r="Y32" s="101"/>
      <c r="Z32" s="101"/>
      <c r="AA32" s="101"/>
    </row>
    <row r="33">
      <c r="A33" s="54" t="s">
        <v>0</v>
      </c>
      <c r="B33" s="54" t="s">
        <v>82</v>
      </c>
      <c r="C33" s="11" t="s">
        <v>90</v>
      </c>
      <c r="H33" s="98" t="s">
        <v>76</v>
      </c>
      <c r="I33" s="11" t="s">
        <v>103</v>
      </c>
      <c r="N33" s="98"/>
      <c r="O33" s="1" t="s">
        <v>98</v>
      </c>
      <c r="P33" s="100"/>
      <c r="Q33" s="101"/>
      <c r="R33" s="101"/>
      <c r="S33" s="101"/>
      <c r="T33" s="101"/>
      <c r="U33" s="101"/>
      <c r="V33" s="101"/>
      <c r="W33" s="101"/>
      <c r="X33" s="101"/>
      <c r="Y33" s="101"/>
      <c r="Z33" s="101"/>
      <c r="AA33" s="101"/>
    </row>
    <row r="34">
      <c r="A34" s="54" t="s">
        <v>0</v>
      </c>
      <c r="B34" s="54" t="s">
        <v>82</v>
      </c>
      <c r="C34" s="11" t="s">
        <v>90</v>
      </c>
      <c r="H34" s="98" t="s">
        <v>76</v>
      </c>
      <c r="I34" s="11" t="s">
        <v>104</v>
      </c>
      <c r="N34" s="98"/>
      <c r="O34" s="1" t="s">
        <v>98</v>
      </c>
      <c r="P34" s="100"/>
      <c r="Q34" s="101"/>
      <c r="R34" s="101"/>
      <c r="S34" s="101"/>
      <c r="T34" s="101"/>
      <c r="U34" s="101"/>
      <c r="V34" s="101"/>
      <c r="W34" s="101"/>
      <c r="X34" s="101"/>
      <c r="Y34" s="101"/>
      <c r="Z34" s="101"/>
      <c r="AA34" s="101"/>
    </row>
    <row r="35">
      <c r="A35" s="54" t="s">
        <v>0</v>
      </c>
      <c r="B35" s="54" t="s">
        <v>82</v>
      </c>
      <c r="C35" s="11" t="s">
        <v>90</v>
      </c>
      <c r="H35" s="98" t="s">
        <v>76</v>
      </c>
      <c r="I35" s="11" t="s">
        <v>105</v>
      </c>
      <c r="N35" s="98"/>
      <c r="O35" s="1" t="s">
        <v>98</v>
      </c>
      <c r="P35" s="100"/>
      <c r="Q35" s="101"/>
      <c r="R35" s="101"/>
      <c r="S35" s="101"/>
      <c r="T35" s="101"/>
      <c r="U35" s="101"/>
      <c r="V35" s="101"/>
      <c r="W35" s="101"/>
      <c r="X35" s="101"/>
      <c r="Y35" s="101"/>
      <c r="Z35" s="101"/>
      <c r="AA35" s="101"/>
    </row>
    <row r="36">
      <c r="A36" s="54" t="s">
        <v>0</v>
      </c>
      <c r="B36" s="54" t="s">
        <v>82</v>
      </c>
      <c r="C36" s="11" t="s">
        <v>90</v>
      </c>
      <c r="H36" s="98" t="s">
        <v>76</v>
      </c>
      <c r="I36" s="11" t="s">
        <v>106</v>
      </c>
      <c r="N36" s="12" t="s">
        <v>94</v>
      </c>
      <c r="O36" s="1" t="s">
        <v>98</v>
      </c>
      <c r="P36" s="100"/>
      <c r="Q36" s="101"/>
      <c r="R36" s="101"/>
      <c r="S36" s="101"/>
      <c r="T36" s="101"/>
      <c r="U36" s="101"/>
      <c r="V36" s="101"/>
      <c r="W36" s="101"/>
      <c r="X36" s="101"/>
      <c r="Y36" s="101"/>
      <c r="Z36" s="101"/>
      <c r="AA36" s="101"/>
    </row>
    <row r="37">
      <c r="A37" s="54" t="s">
        <v>0</v>
      </c>
      <c r="B37" s="54" t="s">
        <v>82</v>
      </c>
      <c r="C37" s="11" t="s">
        <v>90</v>
      </c>
      <c r="H37" s="98" t="s">
        <v>76</v>
      </c>
      <c r="I37" s="11" t="s">
        <v>107</v>
      </c>
      <c r="N37" s="98" t="s">
        <v>94</v>
      </c>
      <c r="O37" s="1" t="s">
        <v>98</v>
      </c>
      <c r="P37" s="100"/>
      <c r="Q37" s="101"/>
      <c r="R37" s="101"/>
      <c r="S37" s="101"/>
      <c r="T37" s="101"/>
      <c r="U37" s="101"/>
      <c r="V37" s="101"/>
      <c r="W37" s="101"/>
      <c r="X37" s="101"/>
      <c r="Y37" s="101"/>
      <c r="Z37" s="101"/>
      <c r="AA37" s="101"/>
    </row>
    <row r="38">
      <c r="A38" s="54" t="s">
        <v>0</v>
      </c>
      <c r="B38" s="54" t="s">
        <v>82</v>
      </c>
      <c r="C38" s="11" t="s">
        <v>90</v>
      </c>
      <c r="H38" s="98" t="s">
        <v>76</v>
      </c>
      <c r="I38" s="11" t="s">
        <v>108</v>
      </c>
      <c r="N38" s="12" t="s">
        <v>96</v>
      </c>
      <c r="O38" s="1" t="s">
        <v>98</v>
      </c>
      <c r="P38" s="100"/>
      <c r="Q38" s="101"/>
      <c r="R38" s="101"/>
      <c r="S38" s="101"/>
      <c r="T38" s="101"/>
      <c r="U38" s="101"/>
      <c r="V38" s="101"/>
      <c r="W38" s="101"/>
      <c r="X38" s="101"/>
      <c r="Y38" s="101"/>
      <c r="Z38" s="101"/>
      <c r="AA38" s="101"/>
    </row>
    <row r="39">
      <c r="A39" s="54" t="s">
        <v>0</v>
      </c>
      <c r="B39" s="54" t="s">
        <v>82</v>
      </c>
      <c r="C39" s="11" t="s">
        <v>90</v>
      </c>
      <c r="H39" s="98" t="s">
        <v>76</v>
      </c>
      <c r="I39" s="11" t="s">
        <v>109</v>
      </c>
      <c r="N39" s="98" t="s">
        <v>96</v>
      </c>
      <c r="O39" s="1" t="s">
        <v>98</v>
      </c>
      <c r="P39" s="100"/>
      <c r="Q39" s="101"/>
      <c r="R39" s="101"/>
      <c r="S39" s="101"/>
      <c r="T39" s="101"/>
      <c r="U39" s="101"/>
      <c r="V39" s="101"/>
      <c r="W39" s="101"/>
      <c r="X39" s="101"/>
      <c r="Y39" s="101"/>
      <c r="Z39" s="101"/>
      <c r="AA39" s="101"/>
    </row>
    <row r="40">
      <c r="A40" s="54" t="s">
        <v>0</v>
      </c>
      <c r="B40" s="54" t="s">
        <v>82</v>
      </c>
      <c r="C40" s="11" t="s">
        <v>90</v>
      </c>
      <c r="H40" s="12" t="s">
        <v>78</v>
      </c>
      <c r="I40" s="11" t="s">
        <v>110</v>
      </c>
      <c r="N40" s="98"/>
      <c r="O40" s="99" t="s">
        <v>111</v>
      </c>
      <c r="P40" s="100"/>
      <c r="Q40" s="101"/>
      <c r="R40" s="101"/>
      <c r="S40" s="101"/>
      <c r="T40" s="101"/>
      <c r="U40" s="101"/>
      <c r="V40" s="101"/>
      <c r="W40" s="101"/>
      <c r="X40" s="101"/>
      <c r="Y40" s="101"/>
      <c r="Z40" s="101"/>
      <c r="AA40" s="101"/>
    </row>
    <row r="41">
      <c r="A41" s="54" t="s">
        <v>0</v>
      </c>
      <c r="B41" s="11" t="s">
        <v>13</v>
      </c>
      <c r="C41" s="11" t="s">
        <v>112</v>
      </c>
      <c r="H41" s="12" t="s">
        <v>75</v>
      </c>
      <c r="I41" s="11" t="s">
        <v>113</v>
      </c>
      <c r="N41" s="98"/>
      <c r="O41" s="1"/>
      <c r="P41" s="100"/>
      <c r="Q41" s="101"/>
      <c r="R41" s="101"/>
      <c r="S41" s="101"/>
      <c r="T41" s="101"/>
      <c r="U41" s="101"/>
      <c r="V41" s="101"/>
      <c r="W41" s="101"/>
      <c r="X41" s="101"/>
      <c r="Y41" s="101"/>
      <c r="Z41" s="101"/>
      <c r="AA41" s="101"/>
    </row>
    <row r="42">
      <c r="A42" s="54" t="s">
        <v>0</v>
      </c>
      <c r="B42" s="11" t="s">
        <v>13</v>
      </c>
      <c r="C42" s="11" t="s">
        <v>112</v>
      </c>
      <c r="H42" s="12" t="s">
        <v>75</v>
      </c>
      <c r="I42" s="11" t="s">
        <v>114</v>
      </c>
      <c r="N42" s="12" t="s">
        <v>96</v>
      </c>
      <c r="O42" s="99"/>
      <c r="P42" s="100"/>
      <c r="Q42" s="101"/>
      <c r="R42" s="101"/>
      <c r="S42" s="101"/>
      <c r="T42" s="101"/>
      <c r="U42" s="101"/>
      <c r="V42" s="101"/>
      <c r="W42" s="101"/>
      <c r="X42" s="101"/>
      <c r="Y42" s="101"/>
      <c r="Z42" s="101"/>
      <c r="AA42" s="101"/>
    </row>
    <row r="43">
      <c r="A43" s="54" t="s">
        <v>0</v>
      </c>
      <c r="B43" s="11" t="s">
        <v>13</v>
      </c>
      <c r="C43" s="11" t="s">
        <v>112</v>
      </c>
      <c r="H43" s="98" t="s">
        <v>76</v>
      </c>
      <c r="I43" s="11" t="s">
        <v>115</v>
      </c>
      <c r="N43" s="98"/>
      <c r="O43" s="99" t="s">
        <v>116</v>
      </c>
      <c r="P43" s="100"/>
      <c r="Q43" s="101"/>
      <c r="R43" s="101"/>
      <c r="S43" s="101"/>
      <c r="T43" s="101"/>
      <c r="U43" s="101"/>
      <c r="V43" s="101"/>
      <c r="W43" s="101"/>
      <c r="X43" s="101"/>
      <c r="Y43" s="101"/>
      <c r="Z43" s="101"/>
      <c r="AA43" s="101"/>
    </row>
    <row r="44">
      <c r="A44" s="54" t="s">
        <v>0</v>
      </c>
      <c r="B44" s="11" t="s">
        <v>13</v>
      </c>
      <c r="C44" s="11" t="s">
        <v>112</v>
      </c>
      <c r="H44" s="98" t="s">
        <v>76</v>
      </c>
      <c r="I44" s="11" t="s">
        <v>117</v>
      </c>
      <c r="N44" s="98"/>
      <c r="O44" s="99" t="s">
        <v>116</v>
      </c>
      <c r="P44" s="100"/>
      <c r="Q44" s="101"/>
      <c r="R44" s="101"/>
      <c r="S44" s="101"/>
      <c r="T44" s="101"/>
      <c r="U44" s="101"/>
      <c r="V44" s="101"/>
      <c r="W44" s="101"/>
      <c r="X44" s="101"/>
      <c r="Y44" s="101"/>
      <c r="Z44" s="101"/>
      <c r="AA44" s="101"/>
    </row>
    <row r="45">
      <c r="A45" s="54" t="s">
        <v>0</v>
      </c>
      <c r="B45" s="11" t="s">
        <v>13</v>
      </c>
      <c r="C45" s="11" t="s">
        <v>112</v>
      </c>
      <c r="H45" s="98" t="s">
        <v>76</v>
      </c>
      <c r="I45" s="11" t="s">
        <v>118</v>
      </c>
      <c r="N45" s="98"/>
      <c r="O45" s="99" t="s">
        <v>116</v>
      </c>
      <c r="P45" s="100"/>
      <c r="Q45" s="101"/>
      <c r="R45" s="101"/>
      <c r="S45" s="101"/>
      <c r="T45" s="101"/>
      <c r="U45" s="101"/>
      <c r="V45" s="101"/>
      <c r="W45" s="101"/>
      <c r="X45" s="101"/>
      <c r="Y45" s="101"/>
      <c r="Z45" s="101"/>
      <c r="AA45" s="101"/>
    </row>
    <row r="46">
      <c r="A46" s="54" t="s">
        <v>0</v>
      </c>
      <c r="B46" s="11" t="s">
        <v>13</v>
      </c>
      <c r="C46" s="11" t="s">
        <v>112</v>
      </c>
      <c r="H46" s="98" t="s">
        <v>76</v>
      </c>
      <c r="I46" s="11" t="s">
        <v>119</v>
      </c>
      <c r="N46" s="98"/>
      <c r="O46" s="99" t="s">
        <v>116</v>
      </c>
      <c r="P46" s="100"/>
      <c r="Q46" s="101"/>
      <c r="R46" s="101"/>
      <c r="S46" s="101"/>
      <c r="T46" s="101"/>
      <c r="U46" s="101"/>
      <c r="V46" s="101"/>
      <c r="W46" s="101"/>
      <c r="X46" s="101"/>
      <c r="Y46" s="101"/>
      <c r="Z46" s="101"/>
      <c r="AA46" s="101"/>
    </row>
    <row r="47">
      <c r="A47" s="54" t="s">
        <v>0</v>
      </c>
      <c r="B47" s="11" t="s">
        <v>13</v>
      </c>
      <c r="C47" s="11" t="s">
        <v>112</v>
      </c>
      <c r="H47" s="98" t="s">
        <v>76</v>
      </c>
      <c r="I47" s="11" t="s">
        <v>120</v>
      </c>
      <c r="N47" s="98"/>
      <c r="O47" s="99" t="s">
        <v>116</v>
      </c>
      <c r="P47" s="100"/>
      <c r="Q47" s="101"/>
      <c r="R47" s="101"/>
      <c r="S47" s="101"/>
      <c r="T47" s="101"/>
      <c r="U47" s="101"/>
      <c r="V47" s="101"/>
      <c r="W47" s="101"/>
      <c r="X47" s="101"/>
      <c r="Y47" s="101"/>
      <c r="Z47" s="101"/>
      <c r="AA47" s="101"/>
    </row>
    <row r="48">
      <c r="A48" s="54" t="s">
        <v>0</v>
      </c>
      <c r="B48" s="11" t="s">
        <v>13</v>
      </c>
      <c r="C48" s="11" t="s">
        <v>112</v>
      </c>
      <c r="H48" s="98" t="s">
        <v>76</v>
      </c>
      <c r="I48" s="1" t="s">
        <v>121</v>
      </c>
      <c r="N48" s="98"/>
      <c r="O48" s="99" t="s">
        <v>116</v>
      </c>
      <c r="P48" s="100"/>
      <c r="Q48" s="101"/>
      <c r="R48" s="101"/>
      <c r="S48" s="101"/>
      <c r="T48" s="101"/>
      <c r="U48" s="101"/>
      <c r="V48" s="101"/>
      <c r="W48" s="101"/>
      <c r="X48" s="101"/>
      <c r="Y48" s="101"/>
      <c r="Z48" s="101"/>
      <c r="AA48" s="101"/>
    </row>
    <row r="49">
      <c r="A49" s="54" t="s">
        <v>0</v>
      </c>
      <c r="B49" s="11" t="s">
        <v>13</v>
      </c>
      <c r="C49" s="11" t="s">
        <v>112</v>
      </c>
      <c r="H49" s="98" t="s">
        <v>76</v>
      </c>
      <c r="I49" s="11" t="s">
        <v>122</v>
      </c>
      <c r="N49" s="98"/>
      <c r="O49" s="99" t="s">
        <v>116</v>
      </c>
      <c r="P49" s="100"/>
      <c r="Q49" s="101"/>
      <c r="R49" s="101"/>
      <c r="S49" s="101"/>
      <c r="T49" s="101"/>
      <c r="U49" s="101"/>
      <c r="V49" s="101"/>
      <c r="W49" s="101"/>
      <c r="X49" s="101"/>
      <c r="Y49" s="101"/>
      <c r="Z49" s="101"/>
      <c r="AA49" s="101"/>
    </row>
    <row r="50">
      <c r="A50" s="54" t="s">
        <v>0</v>
      </c>
      <c r="B50" s="11" t="s">
        <v>13</v>
      </c>
      <c r="C50" s="11" t="s">
        <v>112</v>
      </c>
      <c r="H50" s="98" t="s">
        <v>76</v>
      </c>
      <c r="I50" s="11" t="s">
        <v>123</v>
      </c>
      <c r="N50" s="98"/>
      <c r="O50" s="99" t="s">
        <v>116</v>
      </c>
      <c r="P50" s="100"/>
      <c r="Q50" s="101"/>
      <c r="R50" s="101"/>
      <c r="S50" s="101"/>
      <c r="T50" s="101"/>
      <c r="U50" s="101"/>
      <c r="V50" s="101"/>
      <c r="W50" s="101"/>
      <c r="X50" s="101"/>
      <c r="Y50" s="101"/>
      <c r="Z50" s="101"/>
      <c r="AA50" s="101"/>
    </row>
    <row r="51">
      <c r="A51" s="54" t="s">
        <v>0</v>
      </c>
      <c r="B51" s="11" t="s">
        <v>13</v>
      </c>
      <c r="C51" s="11" t="s">
        <v>112</v>
      </c>
      <c r="H51" s="98" t="s">
        <v>76</v>
      </c>
      <c r="I51" s="11" t="s">
        <v>124</v>
      </c>
      <c r="N51" s="98"/>
      <c r="O51" s="99" t="s">
        <v>116</v>
      </c>
      <c r="P51" s="100"/>
      <c r="Q51" s="101"/>
      <c r="R51" s="101"/>
      <c r="S51" s="101"/>
      <c r="T51" s="101"/>
      <c r="U51" s="101"/>
      <c r="V51" s="101"/>
      <c r="W51" s="101"/>
      <c r="X51" s="101"/>
      <c r="Y51" s="101"/>
      <c r="Z51" s="101"/>
      <c r="AA51" s="101"/>
    </row>
    <row r="52">
      <c r="A52" s="54" t="s">
        <v>0</v>
      </c>
      <c r="B52" s="11" t="s">
        <v>13</v>
      </c>
      <c r="C52" s="11" t="s">
        <v>112</v>
      </c>
      <c r="H52" s="98" t="s">
        <v>76</v>
      </c>
      <c r="I52" s="11" t="s">
        <v>125</v>
      </c>
      <c r="N52" s="98"/>
      <c r="O52" s="99" t="s">
        <v>116</v>
      </c>
      <c r="P52" s="100"/>
      <c r="Q52" s="101"/>
      <c r="R52" s="101"/>
      <c r="S52" s="101"/>
      <c r="T52" s="101"/>
      <c r="U52" s="101"/>
      <c r="V52" s="101"/>
      <c r="W52" s="101"/>
      <c r="X52" s="101"/>
      <c r="Y52" s="101"/>
      <c r="Z52" s="101"/>
      <c r="AA52" s="101"/>
    </row>
    <row r="53">
      <c r="A53" s="54" t="s">
        <v>0</v>
      </c>
      <c r="B53" s="11" t="s">
        <v>14</v>
      </c>
      <c r="C53" s="11" t="s">
        <v>126</v>
      </c>
      <c r="H53" s="12" t="s">
        <v>75</v>
      </c>
      <c r="I53" s="11" t="s">
        <v>127</v>
      </c>
      <c r="N53" s="98"/>
      <c r="O53" s="1"/>
      <c r="P53" s="100"/>
      <c r="Q53" s="101"/>
      <c r="R53" s="101"/>
      <c r="S53" s="101"/>
      <c r="T53" s="101"/>
      <c r="U53" s="101"/>
      <c r="V53" s="101"/>
      <c r="W53" s="101"/>
      <c r="X53" s="101"/>
      <c r="Y53" s="101"/>
      <c r="Z53" s="101"/>
      <c r="AA53" s="101"/>
    </row>
    <row r="54">
      <c r="A54" s="54" t="s">
        <v>0</v>
      </c>
      <c r="B54" s="11" t="s">
        <v>14</v>
      </c>
      <c r="C54" s="11" t="s">
        <v>126</v>
      </c>
      <c r="H54" s="12" t="s">
        <v>75</v>
      </c>
      <c r="I54" s="11" t="s">
        <v>128</v>
      </c>
      <c r="N54" s="98"/>
      <c r="O54" s="99"/>
      <c r="P54" s="100"/>
      <c r="Q54" s="101"/>
      <c r="R54" s="101"/>
      <c r="S54" s="101"/>
      <c r="T54" s="101"/>
      <c r="U54" s="101"/>
      <c r="V54" s="101"/>
      <c r="W54" s="101"/>
      <c r="X54" s="101"/>
      <c r="Y54" s="101"/>
      <c r="Z54" s="101"/>
      <c r="AA54" s="101"/>
    </row>
    <row r="55">
      <c r="A55" s="54" t="s">
        <v>0</v>
      </c>
      <c r="B55" s="11" t="s">
        <v>14</v>
      </c>
      <c r="C55" s="11" t="s">
        <v>126</v>
      </c>
      <c r="H55" s="12" t="s">
        <v>75</v>
      </c>
      <c r="I55" s="11" t="s">
        <v>129</v>
      </c>
      <c r="N55" s="12" t="s">
        <v>94</v>
      </c>
      <c r="O55" s="99"/>
      <c r="P55" s="100"/>
      <c r="Q55" s="101"/>
      <c r="R55" s="101"/>
      <c r="S55" s="101"/>
      <c r="T55" s="101"/>
      <c r="U55" s="101"/>
      <c r="V55" s="101"/>
      <c r="W55" s="101"/>
      <c r="X55" s="101"/>
      <c r="Y55" s="101"/>
      <c r="Z55" s="101"/>
      <c r="AA55" s="101"/>
    </row>
    <row r="56">
      <c r="A56" s="54" t="s">
        <v>0</v>
      </c>
      <c r="B56" s="11" t="s">
        <v>14</v>
      </c>
      <c r="C56" s="11" t="s">
        <v>126</v>
      </c>
      <c r="H56" s="12" t="s">
        <v>75</v>
      </c>
      <c r="I56" s="11" t="s">
        <v>130</v>
      </c>
      <c r="N56" s="12" t="s">
        <v>96</v>
      </c>
      <c r="O56" s="99"/>
      <c r="P56" s="100"/>
      <c r="Q56" s="101"/>
      <c r="R56" s="101"/>
      <c r="S56" s="101"/>
      <c r="T56" s="101"/>
      <c r="U56" s="101"/>
      <c r="V56" s="101"/>
      <c r="W56" s="101"/>
      <c r="X56" s="101"/>
      <c r="Y56" s="101"/>
      <c r="Z56" s="101"/>
      <c r="AA56" s="101"/>
    </row>
    <row r="57">
      <c r="A57" s="54" t="s">
        <v>0</v>
      </c>
      <c r="B57" s="11" t="s">
        <v>14</v>
      </c>
      <c r="C57" s="11" t="s">
        <v>126</v>
      </c>
      <c r="H57" s="98" t="s">
        <v>76</v>
      </c>
      <c r="I57" s="11" t="s">
        <v>131</v>
      </c>
      <c r="N57" s="98"/>
      <c r="O57" s="1" t="s">
        <v>98</v>
      </c>
      <c r="P57" s="100"/>
      <c r="Q57" s="101"/>
      <c r="R57" s="101"/>
      <c r="S57" s="101"/>
      <c r="T57" s="101"/>
      <c r="U57" s="101"/>
      <c r="V57" s="101"/>
      <c r="W57" s="101"/>
      <c r="X57" s="101"/>
      <c r="Y57" s="101"/>
      <c r="Z57" s="101"/>
      <c r="AA57" s="101"/>
    </row>
    <row r="58">
      <c r="A58" s="54" t="s">
        <v>0</v>
      </c>
      <c r="B58" s="11" t="s">
        <v>14</v>
      </c>
      <c r="C58" s="11" t="s">
        <v>126</v>
      </c>
      <c r="H58" s="98" t="s">
        <v>76</v>
      </c>
      <c r="I58" s="11" t="s">
        <v>132</v>
      </c>
      <c r="N58" s="98"/>
      <c r="O58" s="1" t="s">
        <v>98</v>
      </c>
      <c r="P58" s="100"/>
      <c r="Q58" s="101"/>
      <c r="R58" s="101"/>
      <c r="S58" s="101"/>
      <c r="T58" s="101"/>
      <c r="U58" s="101"/>
      <c r="V58" s="101"/>
      <c r="W58" s="101"/>
      <c r="X58" s="101"/>
      <c r="Y58" s="101"/>
      <c r="Z58" s="101"/>
      <c r="AA58" s="101"/>
    </row>
    <row r="59">
      <c r="A59" s="54" t="s">
        <v>0</v>
      </c>
      <c r="B59" s="11" t="s">
        <v>14</v>
      </c>
      <c r="C59" s="11" t="s">
        <v>126</v>
      </c>
      <c r="H59" s="98" t="s">
        <v>76</v>
      </c>
      <c r="I59" s="11" t="s">
        <v>133</v>
      </c>
      <c r="N59" s="98"/>
      <c r="O59" s="1" t="s">
        <v>98</v>
      </c>
      <c r="P59" s="100"/>
      <c r="Q59" s="101"/>
      <c r="R59" s="101"/>
      <c r="S59" s="101"/>
      <c r="T59" s="101"/>
      <c r="U59" s="101"/>
      <c r="V59" s="101"/>
      <c r="W59" s="101"/>
      <c r="X59" s="101"/>
      <c r="Y59" s="101"/>
      <c r="Z59" s="101"/>
      <c r="AA59" s="101"/>
    </row>
    <row r="60">
      <c r="A60" s="54" t="s">
        <v>0</v>
      </c>
      <c r="B60" s="11" t="s">
        <v>14</v>
      </c>
      <c r="C60" s="11" t="s">
        <v>126</v>
      </c>
      <c r="H60" s="98" t="s">
        <v>76</v>
      </c>
      <c r="I60" s="11" t="s">
        <v>134</v>
      </c>
      <c r="N60" s="98"/>
      <c r="O60" s="1" t="s">
        <v>98</v>
      </c>
      <c r="P60" s="100"/>
      <c r="Q60" s="101"/>
      <c r="R60" s="101"/>
      <c r="S60" s="101"/>
      <c r="T60" s="101"/>
      <c r="U60" s="101"/>
      <c r="V60" s="101"/>
      <c r="W60" s="101"/>
      <c r="X60" s="101"/>
      <c r="Y60" s="101"/>
      <c r="Z60" s="101"/>
      <c r="AA60" s="101"/>
    </row>
    <row r="61">
      <c r="A61" s="54" t="s">
        <v>0</v>
      </c>
      <c r="B61" s="11" t="s">
        <v>14</v>
      </c>
      <c r="C61" s="11" t="s">
        <v>126</v>
      </c>
      <c r="H61" s="98" t="s">
        <v>76</v>
      </c>
      <c r="I61" s="11" t="s">
        <v>135</v>
      </c>
      <c r="N61" s="98"/>
      <c r="O61" s="1" t="s">
        <v>98</v>
      </c>
      <c r="P61" s="100"/>
      <c r="Q61" s="101"/>
      <c r="R61" s="101"/>
      <c r="S61" s="101"/>
      <c r="T61" s="101"/>
      <c r="U61" s="101"/>
      <c r="V61" s="101"/>
      <c r="W61" s="101"/>
      <c r="X61" s="101"/>
      <c r="Y61" s="101"/>
      <c r="Z61" s="101"/>
      <c r="AA61" s="101"/>
    </row>
    <row r="62">
      <c r="A62" s="54" t="s">
        <v>0</v>
      </c>
      <c r="B62" s="11" t="s">
        <v>14</v>
      </c>
      <c r="C62" s="11" t="s">
        <v>126</v>
      </c>
      <c r="H62" s="98" t="s">
        <v>76</v>
      </c>
      <c r="I62" s="1" t="s">
        <v>136</v>
      </c>
      <c r="N62" s="98"/>
      <c r="O62" s="1" t="s">
        <v>98</v>
      </c>
      <c r="P62" s="100"/>
      <c r="Q62" s="101"/>
      <c r="R62" s="101"/>
      <c r="S62" s="101"/>
      <c r="T62" s="101"/>
      <c r="U62" s="101"/>
      <c r="V62" s="101"/>
      <c r="W62" s="101"/>
      <c r="X62" s="101"/>
      <c r="Y62" s="101"/>
      <c r="Z62" s="101"/>
      <c r="AA62" s="101"/>
    </row>
    <row r="63">
      <c r="A63" s="54" t="s">
        <v>0</v>
      </c>
      <c r="B63" s="11" t="s">
        <v>14</v>
      </c>
      <c r="C63" s="11" t="s">
        <v>126</v>
      </c>
      <c r="H63" s="98" t="s">
        <v>76</v>
      </c>
      <c r="I63" s="11" t="s">
        <v>137</v>
      </c>
      <c r="N63" s="98"/>
      <c r="O63" s="1" t="s">
        <v>98</v>
      </c>
      <c r="P63" s="100"/>
      <c r="Q63" s="101"/>
      <c r="R63" s="101"/>
      <c r="S63" s="101"/>
      <c r="T63" s="101"/>
      <c r="U63" s="101"/>
      <c r="V63" s="101"/>
      <c r="W63" s="101"/>
      <c r="X63" s="101"/>
      <c r="Y63" s="101"/>
      <c r="Z63" s="101"/>
      <c r="AA63" s="101"/>
    </row>
    <row r="64">
      <c r="A64" s="54" t="s">
        <v>0</v>
      </c>
      <c r="B64" s="11" t="s">
        <v>14</v>
      </c>
      <c r="C64" s="11" t="s">
        <v>126</v>
      </c>
      <c r="H64" s="98" t="s">
        <v>76</v>
      </c>
      <c r="I64" s="1" t="s">
        <v>138</v>
      </c>
      <c r="N64" s="98"/>
      <c r="O64" s="1" t="s">
        <v>98</v>
      </c>
      <c r="P64" s="100"/>
      <c r="Q64" s="101"/>
      <c r="R64" s="101"/>
      <c r="S64" s="101"/>
      <c r="T64" s="101"/>
      <c r="U64" s="101"/>
      <c r="V64" s="101"/>
      <c r="W64" s="101"/>
      <c r="X64" s="101"/>
      <c r="Y64" s="101"/>
      <c r="Z64" s="101"/>
      <c r="AA64" s="101"/>
    </row>
    <row r="65">
      <c r="A65" s="54" t="s">
        <v>0</v>
      </c>
      <c r="B65" s="11" t="s">
        <v>14</v>
      </c>
      <c r="C65" s="11" t="s">
        <v>126</v>
      </c>
      <c r="H65" s="98" t="s">
        <v>76</v>
      </c>
      <c r="I65" s="11" t="s">
        <v>139</v>
      </c>
      <c r="N65" s="98"/>
      <c r="O65" s="1" t="s">
        <v>98</v>
      </c>
      <c r="P65" s="100"/>
      <c r="Q65" s="101"/>
      <c r="R65" s="101"/>
      <c r="S65" s="101"/>
      <c r="T65" s="101"/>
      <c r="U65" s="101"/>
      <c r="V65" s="101"/>
      <c r="W65" s="101"/>
      <c r="X65" s="101"/>
      <c r="Y65" s="101"/>
      <c r="Z65" s="101"/>
      <c r="AA65" s="101"/>
    </row>
    <row r="66">
      <c r="A66" s="54" t="s">
        <v>0</v>
      </c>
      <c r="B66" s="11" t="s">
        <v>14</v>
      </c>
      <c r="C66" s="11" t="s">
        <v>126</v>
      </c>
      <c r="H66" s="98" t="s">
        <v>76</v>
      </c>
      <c r="I66" s="1" t="s">
        <v>140</v>
      </c>
      <c r="N66" s="98"/>
      <c r="O66" s="1" t="s">
        <v>98</v>
      </c>
      <c r="P66" s="100"/>
      <c r="Q66" s="101"/>
      <c r="R66" s="101"/>
      <c r="S66" s="101"/>
      <c r="T66" s="101"/>
      <c r="U66" s="101"/>
      <c r="V66" s="101"/>
      <c r="W66" s="101"/>
      <c r="X66" s="101"/>
      <c r="Y66" s="101"/>
      <c r="Z66" s="101"/>
      <c r="AA66" s="101"/>
    </row>
    <row r="67">
      <c r="A67" s="54" t="s">
        <v>0</v>
      </c>
      <c r="B67" s="11" t="s">
        <v>14</v>
      </c>
      <c r="C67" s="11" t="s">
        <v>126</v>
      </c>
      <c r="H67" s="98" t="s">
        <v>76</v>
      </c>
      <c r="I67" s="11" t="s">
        <v>141</v>
      </c>
      <c r="N67" s="12" t="s">
        <v>94</v>
      </c>
      <c r="O67" s="1" t="s">
        <v>98</v>
      </c>
      <c r="P67" s="100"/>
      <c r="Q67" s="101"/>
      <c r="R67" s="101"/>
      <c r="S67" s="101"/>
      <c r="T67" s="101"/>
      <c r="U67" s="101"/>
      <c r="V67" s="101"/>
      <c r="W67" s="101"/>
      <c r="X67" s="101"/>
      <c r="Y67" s="101"/>
      <c r="Z67" s="101"/>
      <c r="AA67" s="101"/>
    </row>
    <row r="68">
      <c r="A68" s="54" t="s">
        <v>0</v>
      </c>
      <c r="B68" s="11" t="s">
        <v>14</v>
      </c>
      <c r="C68" s="11" t="s">
        <v>126</v>
      </c>
      <c r="H68" s="12" t="s">
        <v>76</v>
      </c>
      <c r="I68" s="11" t="s">
        <v>142</v>
      </c>
      <c r="N68" s="12" t="s">
        <v>96</v>
      </c>
      <c r="O68" s="1" t="s">
        <v>98</v>
      </c>
      <c r="P68" s="100"/>
      <c r="Q68" s="101"/>
      <c r="R68" s="101"/>
      <c r="S68" s="101"/>
      <c r="T68" s="101"/>
      <c r="U68" s="101"/>
      <c r="V68" s="101"/>
      <c r="W68" s="101"/>
      <c r="X68" s="101"/>
      <c r="Y68" s="101"/>
      <c r="Z68" s="101"/>
      <c r="AA68" s="101"/>
    </row>
    <row r="69">
      <c r="A69" s="54" t="s">
        <v>0</v>
      </c>
      <c r="B69" s="11" t="s">
        <v>14</v>
      </c>
      <c r="C69" s="11" t="s">
        <v>126</v>
      </c>
      <c r="H69" s="12" t="s">
        <v>78</v>
      </c>
      <c r="I69" s="11" t="s">
        <v>143</v>
      </c>
      <c r="N69" s="98"/>
      <c r="O69" s="99"/>
      <c r="P69" s="100"/>
      <c r="Q69" s="101"/>
      <c r="R69" s="101"/>
      <c r="S69" s="101"/>
      <c r="T69" s="101"/>
      <c r="U69" s="101"/>
      <c r="V69" s="101"/>
      <c r="W69" s="101"/>
      <c r="X69" s="101"/>
      <c r="Y69" s="101"/>
      <c r="Z69" s="101"/>
      <c r="AA69" s="101"/>
    </row>
    <row r="70">
      <c r="A70" s="54" t="s">
        <v>0</v>
      </c>
      <c r="B70" s="11" t="s">
        <v>15</v>
      </c>
      <c r="C70" s="11" t="s">
        <v>144</v>
      </c>
      <c r="H70" s="12" t="s">
        <v>75</v>
      </c>
      <c r="I70" s="11" t="s">
        <v>145</v>
      </c>
      <c r="N70" s="98"/>
      <c r="O70" s="99"/>
      <c r="P70" s="100"/>
      <c r="Q70" s="101"/>
      <c r="R70" s="101"/>
      <c r="S70" s="101"/>
      <c r="T70" s="101"/>
      <c r="U70" s="101"/>
      <c r="V70" s="101"/>
      <c r="W70" s="101"/>
      <c r="X70" s="101"/>
      <c r="Y70" s="101"/>
      <c r="Z70" s="101"/>
      <c r="AA70" s="101"/>
    </row>
    <row r="71">
      <c r="A71" s="54" t="s">
        <v>0</v>
      </c>
      <c r="B71" s="11" t="s">
        <v>15</v>
      </c>
      <c r="C71" s="11" t="s">
        <v>144</v>
      </c>
      <c r="H71" s="98" t="s">
        <v>76</v>
      </c>
      <c r="I71" s="11" t="s">
        <v>146</v>
      </c>
      <c r="N71" s="98"/>
      <c r="O71" s="1" t="s">
        <v>98</v>
      </c>
      <c r="P71" s="100"/>
      <c r="Q71" s="101"/>
      <c r="R71" s="101"/>
      <c r="S71" s="101"/>
      <c r="T71" s="101"/>
      <c r="U71" s="101"/>
      <c r="V71" s="101"/>
      <c r="W71" s="101"/>
      <c r="X71" s="101"/>
      <c r="Y71" s="101"/>
      <c r="Z71" s="101"/>
      <c r="AA71" s="101"/>
    </row>
    <row r="72">
      <c r="A72" s="54" t="s">
        <v>0</v>
      </c>
      <c r="B72" s="11" t="s">
        <v>15</v>
      </c>
      <c r="C72" s="11" t="s">
        <v>144</v>
      </c>
      <c r="H72" s="98" t="s">
        <v>76</v>
      </c>
      <c r="I72" s="11" t="s">
        <v>147</v>
      </c>
      <c r="N72" s="98"/>
      <c r="O72" s="1" t="s">
        <v>98</v>
      </c>
      <c r="P72" s="100"/>
      <c r="Q72" s="101"/>
      <c r="R72" s="101"/>
      <c r="S72" s="101"/>
      <c r="T72" s="101"/>
      <c r="U72" s="101"/>
      <c r="V72" s="101"/>
      <c r="W72" s="101"/>
      <c r="X72" s="101"/>
      <c r="Y72" s="101"/>
      <c r="Z72" s="101"/>
      <c r="AA72" s="101"/>
    </row>
    <row r="73">
      <c r="A73" s="54" t="s">
        <v>0</v>
      </c>
      <c r="B73" s="11" t="s">
        <v>15</v>
      </c>
      <c r="C73" s="11" t="s">
        <v>144</v>
      </c>
      <c r="H73" s="98" t="s">
        <v>76</v>
      </c>
      <c r="I73" s="11" t="s">
        <v>148</v>
      </c>
      <c r="N73" s="98"/>
      <c r="O73" s="1" t="s">
        <v>98</v>
      </c>
      <c r="P73" s="100"/>
      <c r="Q73" s="101"/>
      <c r="R73" s="101"/>
      <c r="S73" s="101"/>
      <c r="T73" s="101"/>
      <c r="U73" s="101"/>
      <c r="V73" s="101"/>
      <c r="W73" s="101"/>
      <c r="X73" s="101"/>
      <c r="Y73" s="101"/>
      <c r="Z73" s="101"/>
      <c r="AA73" s="101"/>
    </row>
    <row r="74">
      <c r="A74" s="54" t="s">
        <v>0</v>
      </c>
      <c r="B74" s="11" t="s">
        <v>15</v>
      </c>
      <c r="C74" s="11" t="s">
        <v>144</v>
      </c>
      <c r="H74" s="98" t="s">
        <v>76</v>
      </c>
      <c r="I74" s="11" t="s">
        <v>149</v>
      </c>
      <c r="N74" s="98"/>
      <c r="O74" s="1" t="s">
        <v>98</v>
      </c>
      <c r="P74" s="100"/>
      <c r="Q74" s="101"/>
      <c r="R74" s="101"/>
      <c r="S74" s="101"/>
      <c r="T74" s="101"/>
      <c r="U74" s="101"/>
      <c r="V74" s="101"/>
      <c r="W74" s="101"/>
      <c r="X74" s="101"/>
      <c r="Y74" s="101"/>
      <c r="Z74" s="101"/>
      <c r="AA74" s="101"/>
    </row>
    <row r="75">
      <c r="A75" s="54" t="s">
        <v>0</v>
      </c>
      <c r="B75" s="11" t="s">
        <v>15</v>
      </c>
      <c r="C75" s="11" t="s">
        <v>144</v>
      </c>
      <c r="H75" s="98" t="s">
        <v>76</v>
      </c>
      <c r="I75" s="11" t="s">
        <v>150</v>
      </c>
      <c r="N75" s="98"/>
      <c r="O75" s="1" t="s">
        <v>98</v>
      </c>
      <c r="P75" s="100"/>
      <c r="Q75" s="101"/>
      <c r="R75" s="101"/>
      <c r="S75" s="101"/>
      <c r="T75" s="101"/>
      <c r="U75" s="101"/>
      <c r="V75" s="101"/>
      <c r="W75" s="101"/>
      <c r="X75" s="101"/>
      <c r="Y75" s="101"/>
      <c r="Z75" s="101"/>
      <c r="AA75" s="101"/>
    </row>
    <row r="76">
      <c r="A76" s="54" t="s">
        <v>0</v>
      </c>
      <c r="B76" s="11" t="s">
        <v>15</v>
      </c>
      <c r="C76" s="11" t="s">
        <v>144</v>
      </c>
      <c r="H76" s="98" t="s">
        <v>76</v>
      </c>
      <c r="I76" s="11" t="s">
        <v>151</v>
      </c>
      <c r="N76" s="98"/>
      <c r="O76" s="1" t="s">
        <v>98</v>
      </c>
      <c r="P76" s="100"/>
      <c r="Q76" s="101"/>
      <c r="R76" s="101"/>
      <c r="S76" s="101"/>
      <c r="T76" s="101"/>
      <c r="U76" s="101"/>
      <c r="V76" s="101"/>
      <c r="W76" s="101"/>
      <c r="X76" s="101"/>
      <c r="Y76" s="101"/>
      <c r="Z76" s="101"/>
      <c r="AA76" s="101"/>
    </row>
    <row r="77">
      <c r="A77" s="54" t="s">
        <v>0</v>
      </c>
      <c r="B77" s="11" t="s">
        <v>15</v>
      </c>
      <c r="C77" s="11" t="s">
        <v>144</v>
      </c>
      <c r="H77" s="98" t="s">
        <v>76</v>
      </c>
      <c r="I77" s="11" t="s">
        <v>152</v>
      </c>
      <c r="N77" s="98"/>
      <c r="O77" s="1" t="s">
        <v>98</v>
      </c>
      <c r="P77" s="100"/>
      <c r="Q77" s="101"/>
      <c r="R77" s="101"/>
      <c r="S77" s="101"/>
      <c r="T77" s="101"/>
      <c r="U77" s="101"/>
      <c r="V77" s="101"/>
      <c r="W77" s="101"/>
      <c r="X77" s="101"/>
      <c r="Y77" s="101"/>
      <c r="Z77" s="101"/>
      <c r="AA77" s="101"/>
    </row>
    <row r="78">
      <c r="A78" s="54" t="s">
        <v>0</v>
      </c>
      <c r="B78" s="11" t="s">
        <v>15</v>
      </c>
      <c r="C78" s="11" t="s">
        <v>144</v>
      </c>
      <c r="H78" s="98" t="s">
        <v>76</v>
      </c>
      <c r="I78" s="11" t="s">
        <v>153</v>
      </c>
      <c r="N78" s="98"/>
      <c r="O78" s="1" t="s">
        <v>98</v>
      </c>
      <c r="P78" s="100"/>
      <c r="Q78" s="101"/>
      <c r="R78" s="101"/>
      <c r="S78" s="101"/>
      <c r="T78" s="101"/>
      <c r="U78" s="101"/>
      <c r="V78" s="101"/>
      <c r="W78" s="101"/>
      <c r="X78" s="101"/>
      <c r="Y78" s="101"/>
      <c r="Z78" s="101"/>
      <c r="AA78" s="101"/>
    </row>
    <row r="79">
      <c r="A79" s="11" t="s">
        <v>1</v>
      </c>
      <c r="B79" s="11" t="s">
        <v>19</v>
      </c>
      <c r="C79" s="11" t="s">
        <v>154</v>
      </c>
      <c r="H79" s="12" t="s">
        <v>75</v>
      </c>
      <c r="I79" s="11" t="s">
        <v>155</v>
      </c>
      <c r="N79" s="98"/>
      <c r="O79" s="99"/>
      <c r="P79" s="100"/>
      <c r="Q79" s="101"/>
      <c r="R79" s="101"/>
      <c r="S79" s="101"/>
      <c r="T79" s="101"/>
      <c r="U79" s="101"/>
      <c r="V79" s="101"/>
      <c r="W79" s="101"/>
      <c r="X79" s="101"/>
      <c r="Y79" s="101"/>
      <c r="Z79" s="101"/>
      <c r="AA79" s="101"/>
    </row>
    <row r="80">
      <c r="A80" s="11" t="s">
        <v>1</v>
      </c>
      <c r="B80" s="11" t="s">
        <v>19</v>
      </c>
      <c r="C80" s="11" t="s">
        <v>154</v>
      </c>
      <c r="H80" s="12" t="s">
        <v>75</v>
      </c>
      <c r="I80" s="11" t="s">
        <v>156</v>
      </c>
      <c r="N80" s="98"/>
      <c r="O80" s="99"/>
      <c r="P80" s="100"/>
      <c r="Q80" s="101"/>
      <c r="R80" s="101"/>
      <c r="S80" s="101"/>
      <c r="T80" s="101"/>
      <c r="U80" s="101"/>
      <c r="V80" s="101"/>
      <c r="W80" s="101"/>
      <c r="X80" s="101"/>
      <c r="Y80" s="101"/>
      <c r="Z80" s="101"/>
      <c r="AA80" s="101"/>
    </row>
    <row r="81">
      <c r="A81" s="11" t="s">
        <v>1</v>
      </c>
      <c r="B81" s="11" t="s">
        <v>19</v>
      </c>
      <c r="C81" s="11" t="s">
        <v>154</v>
      </c>
      <c r="H81" s="98" t="s">
        <v>76</v>
      </c>
      <c r="I81" s="11" t="s">
        <v>157</v>
      </c>
      <c r="N81" s="98"/>
      <c r="O81" s="99" t="s">
        <v>116</v>
      </c>
      <c r="P81" s="100"/>
      <c r="Q81" s="101"/>
      <c r="R81" s="101"/>
      <c r="S81" s="101"/>
      <c r="T81" s="101"/>
      <c r="U81" s="101"/>
      <c r="V81" s="101"/>
      <c r="W81" s="101"/>
      <c r="X81" s="101"/>
      <c r="Y81" s="101"/>
      <c r="Z81" s="101"/>
      <c r="AA81" s="101"/>
    </row>
    <row r="82">
      <c r="A82" s="11" t="s">
        <v>1</v>
      </c>
      <c r="B82" s="11" t="s">
        <v>19</v>
      </c>
      <c r="C82" s="11" t="s">
        <v>154</v>
      </c>
      <c r="H82" s="98" t="s">
        <v>76</v>
      </c>
      <c r="I82" s="11" t="s">
        <v>158</v>
      </c>
      <c r="N82" s="98"/>
      <c r="O82" s="99" t="s">
        <v>116</v>
      </c>
      <c r="P82" s="100"/>
      <c r="Q82" s="101"/>
      <c r="R82" s="101"/>
      <c r="S82" s="101"/>
      <c r="T82" s="101"/>
      <c r="U82" s="101"/>
      <c r="V82" s="101"/>
      <c r="W82" s="101"/>
      <c r="X82" s="101"/>
      <c r="Y82" s="101"/>
      <c r="Z82" s="101"/>
      <c r="AA82" s="101"/>
    </row>
    <row r="83">
      <c r="A83" s="11" t="s">
        <v>1</v>
      </c>
      <c r="B83" s="11" t="s">
        <v>19</v>
      </c>
      <c r="C83" s="11" t="s">
        <v>154</v>
      </c>
      <c r="H83" s="12" t="s">
        <v>76</v>
      </c>
      <c r="I83" s="11" t="s">
        <v>159</v>
      </c>
      <c r="N83" s="98"/>
      <c r="O83" s="99" t="s">
        <v>116</v>
      </c>
      <c r="P83" s="100"/>
      <c r="Q83" s="101"/>
      <c r="R83" s="101"/>
      <c r="S83" s="101"/>
      <c r="T83" s="101"/>
      <c r="U83" s="101"/>
      <c r="V83" s="101"/>
      <c r="W83" s="101"/>
      <c r="X83" s="101"/>
      <c r="Y83" s="101"/>
      <c r="Z83" s="101"/>
      <c r="AA83" s="101"/>
    </row>
    <row r="84">
      <c r="A84" s="102" t="s">
        <v>1</v>
      </c>
      <c r="B84" s="102" t="s">
        <v>19</v>
      </c>
      <c r="C84" s="11" t="s">
        <v>154</v>
      </c>
      <c r="H84" s="103" t="s">
        <v>76</v>
      </c>
      <c r="I84" s="102" t="s">
        <v>160</v>
      </c>
      <c r="N84" s="104"/>
      <c r="O84" s="99" t="s">
        <v>116</v>
      </c>
      <c r="P84" s="100"/>
      <c r="Q84" s="101"/>
      <c r="R84" s="101"/>
      <c r="S84" s="101"/>
      <c r="T84" s="101"/>
      <c r="U84" s="101"/>
      <c r="V84" s="101"/>
      <c r="W84" s="101"/>
      <c r="X84" s="101"/>
      <c r="Y84" s="101"/>
      <c r="Z84" s="101"/>
      <c r="AA84" s="101"/>
    </row>
    <row r="85">
      <c r="A85" s="102" t="s">
        <v>1</v>
      </c>
      <c r="B85" s="102" t="s">
        <v>19</v>
      </c>
      <c r="C85" s="11" t="s">
        <v>154</v>
      </c>
      <c r="H85" s="103" t="s">
        <v>76</v>
      </c>
      <c r="I85" s="102" t="s">
        <v>161</v>
      </c>
      <c r="N85" s="104"/>
      <c r="O85" s="99" t="s">
        <v>116</v>
      </c>
      <c r="P85" s="100"/>
      <c r="Q85" s="101"/>
      <c r="R85" s="101"/>
      <c r="S85" s="101"/>
      <c r="T85" s="101"/>
      <c r="U85" s="101"/>
      <c r="V85" s="101"/>
      <c r="W85" s="101"/>
      <c r="X85" s="101"/>
      <c r="Y85" s="101"/>
      <c r="Z85" s="101"/>
      <c r="AA85" s="101"/>
    </row>
    <row r="86">
      <c r="A86" s="102" t="s">
        <v>1</v>
      </c>
      <c r="B86" s="102" t="s">
        <v>19</v>
      </c>
      <c r="C86" s="11" t="s">
        <v>154</v>
      </c>
      <c r="H86" s="104" t="s">
        <v>76</v>
      </c>
      <c r="I86" s="102" t="s">
        <v>162</v>
      </c>
      <c r="N86" s="104"/>
      <c r="O86" s="99" t="s">
        <v>116</v>
      </c>
      <c r="P86" s="100"/>
      <c r="Q86" s="101"/>
      <c r="R86" s="101"/>
      <c r="S86" s="101"/>
      <c r="T86" s="101"/>
      <c r="U86" s="101"/>
      <c r="V86" s="101"/>
      <c r="W86" s="101"/>
      <c r="X86" s="101"/>
      <c r="Y86" s="101"/>
      <c r="Z86" s="101"/>
      <c r="AA86" s="101"/>
    </row>
    <row r="87">
      <c r="A87" s="102" t="s">
        <v>1</v>
      </c>
      <c r="B87" s="102" t="s">
        <v>19</v>
      </c>
      <c r="C87" s="11" t="s">
        <v>154</v>
      </c>
      <c r="H87" s="104" t="s">
        <v>76</v>
      </c>
      <c r="I87" s="102" t="s">
        <v>163</v>
      </c>
      <c r="N87" s="104"/>
      <c r="O87" s="99" t="s">
        <v>116</v>
      </c>
      <c r="P87" s="100"/>
      <c r="Q87" s="101"/>
      <c r="R87" s="101"/>
      <c r="S87" s="101"/>
      <c r="T87" s="101"/>
      <c r="U87" s="101"/>
      <c r="V87" s="101"/>
      <c r="W87" s="101"/>
      <c r="X87" s="101"/>
      <c r="Y87" s="101"/>
      <c r="Z87" s="101"/>
      <c r="AA87" s="101"/>
    </row>
    <row r="88">
      <c r="A88" s="102" t="s">
        <v>1</v>
      </c>
      <c r="B88" s="102" t="s">
        <v>19</v>
      </c>
      <c r="C88" s="11" t="s">
        <v>154</v>
      </c>
      <c r="H88" s="104" t="s">
        <v>76</v>
      </c>
      <c r="I88" s="102" t="s">
        <v>164</v>
      </c>
      <c r="N88" s="104"/>
      <c r="O88" s="105" t="s">
        <v>98</v>
      </c>
      <c r="P88" s="100"/>
      <c r="Q88" s="101"/>
      <c r="R88" s="101"/>
      <c r="S88" s="101"/>
      <c r="T88" s="101"/>
      <c r="U88" s="101"/>
      <c r="V88" s="101"/>
      <c r="W88" s="101"/>
      <c r="X88" s="101"/>
      <c r="Y88" s="101"/>
      <c r="Z88" s="101"/>
      <c r="AA88" s="101"/>
    </row>
    <row r="89">
      <c r="A89" s="102" t="s">
        <v>1</v>
      </c>
      <c r="B89" s="102" t="s">
        <v>19</v>
      </c>
      <c r="C89" s="11" t="s">
        <v>154</v>
      </c>
      <c r="H89" s="104" t="s">
        <v>76</v>
      </c>
      <c r="I89" s="102" t="s">
        <v>165</v>
      </c>
      <c r="N89" s="104"/>
      <c r="O89" s="105" t="s">
        <v>98</v>
      </c>
      <c r="P89" s="100"/>
      <c r="Q89" s="101"/>
      <c r="R89" s="101"/>
      <c r="S89" s="101"/>
      <c r="T89" s="101"/>
      <c r="U89" s="101"/>
      <c r="V89" s="101"/>
      <c r="W89" s="101"/>
      <c r="X89" s="101"/>
      <c r="Y89" s="101"/>
      <c r="Z89" s="101"/>
      <c r="AA89" s="101"/>
    </row>
    <row r="90">
      <c r="A90" s="102" t="s">
        <v>1</v>
      </c>
      <c r="B90" s="102" t="s">
        <v>19</v>
      </c>
      <c r="C90" s="11" t="s">
        <v>154</v>
      </c>
      <c r="H90" s="104" t="s">
        <v>76</v>
      </c>
      <c r="I90" s="102" t="s">
        <v>166</v>
      </c>
      <c r="N90" s="104"/>
      <c r="O90" s="105" t="s">
        <v>98</v>
      </c>
      <c r="P90" s="100"/>
      <c r="Q90" s="101"/>
      <c r="R90" s="101"/>
      <c r="S90" s="101"/>
      <c r="T90" s="101"/>
      <c r="U90" s="101"/>
      <c r="V90" s="101"/>
      <c r="W90" s="101"/>
      <c r="X90" s="101"/>
      <c r="Y90" s="101"/>
      <c r="Z90" s="101"/>
      <c r="AA90" s="101"/>
    </row>
    <row r="91">
      <c r="A91" s="102" t="s">
        <v>1</v>
      </c>
      <c r="B91" s="102" t="s">
        <v>19</v>
      </c>
      <c r="C91" s="11" t="s">
        <v>154</v>
      </c>
      <c r="H91" s="104" t="s">
        <v>76</v>
      </c>
      <c r="I91" s="102" t="s">
        <v>167</v>
      </c>
      <c r="N91" s="104"/>
      <c r="O91" s="105" t="s">
        <v>98</v>
      </c>
      <c r="P91" s="100"/>
      <c r="Q91" s="101"/>
      <c r="R91" s="101"/>
      <c r="S91" s="101"/>
      <c r="T91" s="101"/>
      <c r="U91" s="101"/>
      <c r="V91" s="101"/>
      <c r="W91" s="101"/>
      <c r="X91" s="101"/>
      <c r="Y91" s="101"/>
      <c r="Z91" s="101"/>
      <c r="AA91" s="101"/>
    </row>
    <row r="92">
      <c r="A92" s="102" t="s">
        <v>1</v>
      </c>
      <c r="B92" s="102" t="s">
        <v>19</v>
      </c>
      <c r="C92" s="11" t="s">
        <v>154</v>
      </c>
      <c r="H92" s="103" t="s">
        <v>76</v>
      </c>
      <c r="I92" s="102" t="s">
        <v>168</v>
      </c>
      <c r="N92" s="104"/>
      <c r="O92" s="105" t="s">
        <v>98</v>
      </c>
      <c r="P92" s="100"/>
      <c r="Q92" s="101"/>
      <c r="R92" s="101"/>
      <c r="S92" s="101"/>
      <c r="T92" s="101"/>
      <c r="U92" s="101"/>
      <c r="V92" s="101"/>
      <c r="W92" s="101"/>
      <c r="X92" s="101"/>
      <c r="Y92" s="101"/>
      <c r="Z92" s="101"/>
      <c r="AA92" s="101"/>
    </row>
    <row r="93">
      <c r="A93" s="102" t="s">
        <v>1</v>
      </c>
      <c r="B93" s="102" t="s">
        <v>19</v>
      </c>
      <c r="C93" s="11" t="s">
        <v>154</v>
      </c>
      <c r="H93" s="103" t="s">
        <v>76</v>
      </c>
      <c r="I93" s="102" t="s">
        <v>169</v>
      </c>
      <c r="N93" s="104"/>
      <c r="O93" s="105" t="s">
        <v>98</v>
      </c>
      <c r="P93" s="100"/>
      <c r="Q93" s="101"/>
      <c r="R93" s="101"/>
      <c r="S93" s="101"/>
      <c r="T93" s="101"/>
      <c r="U93" s="101"/>
      <c r="V93" s="101"/>
      <c r="W93" s="101"/>
      <c r="X93" s="101"/>
      <c r="Y93" s="101"/>
      <c r="Z93" s="101"/>
      <c r="AA93" s="101"/>
    </row>
    <row r="94">
      <c r="A94" s="102" t="s">
        <v>1</v>
      </c>
      <c r="B94" s="102" t="s">
        <v>19</v>
      </c>
      <c r="C94" s="11" t="s">
        <v>154</v>
      </c>
      <c r="H94" s="103" t="s">
        <v>78</v>
      </c>
      <c r="I94" s="102" t="s">
        <v>170</v>
      </c>
      <c r="N94" s="104"/>
      <c r="O94" s="101" t="s">
        <v>111</v>
      </c>
      <c r="P94" s="100"/>
      <c r="Q94" s="101"/>
      <c r="R94" s="101"/>
      <c r="S94" s="101"/>
      <c r="T94" s="101"/>
      <c r="U94" s="101"/>
      <c r="V94" s="101"/>
      <c r="W94" s="101"/>
      <c r="X94" s="101"/>
      <c r="Y94" s="101"/>
      <c r="Z94" s="101"/>
      <c r="AA94" s="101"/>
    </row>
    <row r="95">
      <c r="A95" s="102" t="s">
        <v>1</v>
      </c>
      <c r="B95" s="102" t="s">
        <v>19</v>
      </c>
      <c r="C95" s="11" t="s">
        <v>154</v>
      </c>
      <c r="H95" s="103" t="s">
        <v>78</v>
      </c>
      <c r="I95" s="102" t="s">
        <v>171</v>
      </c>
      <c r="N95" s="104"/>
      <c r="O95" s="101" t="s">
        <v>111</v>
      </c>
      <c r="P95" s="100"/>
      <c r="Q95" s="101"/>
      <c r="R95" s="101"/>
      <c r="S95" s="101"/>
      <c r="T95" s="101"/>
      <c r="U95" s="101"/>
      <c r="V95" s="101"/>
      <c r="W95" s="101"/>
      <c r="X95" s="101"/>
      <c r="Y95" s="101"/>
      <c r="Z95" s="101"/>
      <c r="AA95" s="101"/>
    </row>
    <row r="96">
      <c r="A96" s="102" t="s">
        <v>1</v>
      </c>
      <c r="B96" s="102" t="s">
        <v>20</v>
      </c>
      <c r="C96" s="102" t="s">
        <v>172</v>
      </c>
      <c r="H96" s="104" t="s">
        <v>76</v>
      </c>
      <c r="I96" s="102" t="s">
        <v>173</v>
      </c>
      <c r="N96" s="104"/>
      <c r="O96" s="105" t="s">
        <v>116</v>
      </c>
      <c r="P96" s="100"/>
      <c r="Q96" s="101"/>
      <c r="R96" s="101"/>
      <c r="S96" s="101"/>
      <c r="T96" s="101"/>
      <c r="U96" s="101"/>
      <c r="V96" s="101"/>
      <c r="W96" s="101"/>
      <c r="X96" s="101"/>
      <c r="Y96" s="101"/>
      <c r="Z96" s="101"/>
      <c r="AA96" s="101"/>
    </row>
    <row r="97">
      <c r="A97" s="102" t="s">
        <v>1</v>
      </c>
      <c r="B97" s="102" t="s">
        <v>20</v>
      </c>
      <c r="C97" s="102" t="s">
        <v>172</v>
      </c>
      <c r="H97" s="104" t="s">
        <v>76</v>
      </c>
      <c r="I97" s="102" t="s">
        <v>174</v>
      </c>
      <c r="N97" s="104"/>
      <c r="O97" s="105" t="s">
        <v>116</v>
      </c>
      <c r="P97" s="100"/>
      <c r="Q97" s="101"/>
      <c r="R97" s="101"/>
      <c r="S97" s="101"/>
      <c r="T97" s="101"/>
      <c r="U97" s="101"/>
      <c r="V97" s="101"/>
      <c r="W97" s="101"/>
      <c r="X97" s="101"/>
      <c r="Y97" s="101"/>
      <c r="Z97" s="101"/>
      <c r="AA97" s="101"/>
    </row>
    <row r="98">
      <c r="A98" s="102" t="s">
        <v>1</v>
      </c>
      <c r="B98" s="102" t="s">
        <v>20</v>
      </c>
      <c r="C98" s="102" t="s">
        <v>172</v>
      </c>
      <c r="H98" s="104" t="s">
        <v>76</v>
      </c>
      <c r="I98" s="102" t="s">
        <v>175</v>
      </c>
      <c r="N98" s="104"/>
      <c r="O98" s="105" t="s">
        <v>116</v>
      </c>
      <c r="P98" s="100"/>
      <c r="Q98" s="101"/>
      <c r="R98" s="101"/>
      <c r="S98" s="101"/>
      <c r="T98" s="101"/>
      <c r="U98" s="101"/>
      <c r="V98" s="101"/>
      <c r="W98" s="101"/>
      <c r="X98" s="101"/>
      <c r="Y98" s="101"/>
      <c r="Z98" s="101"/>
      <c r="AA98" s="101"/>
    </row>
    <row r="99">
      <c r="A99" s="102" t="s">
        <v>1</v>
      </c>
      <c r="B99" s="102" t="s">
        <v>20</v>
      </c>
      <c r="C99" s="102" t="s">
        <v>172</v>
      </c>
      <c r="H99" s="104" t="s">
        <v>76</v>
      </c>
      <c r="I99" s="102" t="s">
        <v>176</v>
      </c>
      <c r="N99" s="104"/>
      <c r="O99" s="105" t="s">
        <v>116</v>
      </c>
      <c r="P99" s="100"/>
      <c r="Q99" s="101"/>
      <c r="R99" s="101"/>
      <c r="S99" s="101"/>
      <c r="T99" s="101"/>
      <c r="U99" s="101"/>
      <c r="V99" s="101"/>
      <c r="W99" s="101"/>
      <c r="X99" s="101"/>
      <c r="Y99" s="101"/>
      <c r="Z99" s="101"/>
      <c r="AA99" s="101"/>
    </row>
    <row r="100">
      <c r="A100" s="102" t="s">
        <v>1</v>
      </c>
      <c r="B100" s="102" t="s">
        <v>20</v>
      </c>
      <c r="C100" s="102" t="s">
        <v>172</v>
      </c>
      <c r="H100" s="104" t="s">
        <v>76</v>
      </c>
      <c r="I100" s="102" t="s">
        <v>177</v>
      </c>
      <c r="N100" s="104"/>
      <c r="O100" s="105" t="s">
        <v>116</v>
      </c>
      <c r="P100" s="100"/>
      <c r="Q100" s="101"/>
      <c r="R100" s="101"/>
      <c r="S100" s="101"/>
      <c r="T100" s="101"/>
      <c r="U100" s="101"/>
      <c r="V100" s="101"/>
      <c r="W100" s="101"/>
      <c r="X100" s="101"/>
      <c r="Y100" s="101"/>
      <c r="Z100" s="101"/>
      <c r="AA100" s="101"/>
    </row>
    <row r="101">
      <c r="A101" s="102" t="s">
        <v>1</v>
      </c>
      <c r="B101" s="102" t="s">
        <v>20</v>
      </c>
      <c r="C101" s="102" t="s">
        <v>172</v>
      </c>
      <c r="H101" s="104" t="s">
        <v>76</v>
      </c>
      <c r="I101" s="102" t="s">
        <v>178</v>
      </c>
      <c r="N101" s="104"/>
      <c r="O101" s="105" t="s">
        <v>116</v>
      </c>
      <c r="P101" s="100"/>
      <c r="Q101" s="101"/>
      <c r="R101" s="101"/>
      <c r="S101" s="101"/>
      <c r="T101" s="101"/>
      <c r="U101" s="101"/>
      <c r="V101" s="101"/>
      <c r="W101" s="101"/>
      <c r="X101" s="101"/>
      <c r="Y101" s="101"/>
      <c r="Z101" s="101"/>
      <c r="AA101" s="101"/>
    </row>
    <row r="102">
      <c r="A102" s="102" t="s">
        <v>1</v>
      </c>
      <c r="B102" s="102" t="s">
        <v>20</v>
      </c>
      <c r="C102" s="102" t="s">
        <v>172</v>
      </c>
      <c r="H102" s="104" t="s">
        <v>76</v>
      </c>
      <c r="I102" s="102" t="s">
        <v>179</v>
      </c>
      <c r="N102" s="104"/>
      <c r="O102" s="105" t="s">
        <v>116</v>
      </c>
      <c r="P102" s="100"/>
      <c r="Q102" s="101"/>
      <c r="R102" s="101"/>
      <c r="S102" s="101"/>
      <c r="T102" s="101"/>
      <c r="U102" s="101"/>
      <c r="V102" s="101"/>
      <c r="W102" s="101"/>
      <c r="X102" s="101"/>
      <c r="Y102" s="101"/>
      <c r="Z102" s="101"/>
      <c r="AA102" s="101"/>
    </row>
    <row r="103">
      <c r="A103" s="102" t="s">
        <v>1</v>
      </c>
      <c r="B103" s="102" t="s">
        <v>20</v>
      </c>
      <c r="C103" s="102" t="s">
        <v>172</v>
      </c>
      <c r="H103" s="104" t="s">
        <v>76</v>
      </c>
      <c r="I103" s="102" t="s">
        <v>180</v>
      </c>
      <c r="N103" s="104"/>
      <c r="O103" s="105" t="s">
        <v>116</v>
      </c>
      <c r="P103" s="100"/>
      <c r="Q103" s="101"/>
      <c r="R103" s="101"/>
      <c r="S103" s="101"/>
      <c r="T103" s="101"/>
      <c r="U103" s="101"/>
      <c r="V103" s="101"/>
      <c r="W103" s="101"/>
      <c r="X103" s="101"/>
      <c r="Y103" s="101"/>
      <c r="Z103" s="101"/>
      <c r="AA103" s="101"/>
    </row>
    <row r="104">
      <c r="A104" s="102" t="s">
        <v>1</v>
      </c>
      <c r="B104" s="102" t="s">
        <v>20</v>
      </c>
      <c r="C104" s="102" t="s">
        <v>172</v>
      </c>
      <c r="H104" s="103" t="s">
        <v>78</v>
      </c>
      <c r="I104" s="102" t="s">
        <v>181</v>
      </c>
      <c r="N104" s="104"/>
      <c r="O104" s="101" t="s">
        <v>111</v>
      </c>
      <c r="P104" s="100"/>
      <c r="Q104" s="101"/>
      <c r="R104" s="101"/>
      <c r="S104" s="101"/>
      <c r="T104" s="101"/>
      <c r="U104" s="101"/>
      <c r="V104" s="101"/>
      <c r="W104" s="101"/>
      <c r="X104" s="101"/>
      <c r="Y104" s="101"/>
      <c r="Z104" s="101"/>
      <c r="AA104" s="101"/>
    </row>
    <row r="105">
      <c r="A105" s="102" t="s">
        <v>1</v>
      </c>
      <c r="B105" s="102" t="s">
        <v>20</v>
      </c>
      <c r="C105" s="102" t="s">
        <v>172</v>
      </c>
      <c r="H105" s="103" t="s">
        <v>78</v>
      </c>
      <c r="I105" s="102" t="s">
        <v>182</v>
      </c>
      <c r="N105" s="104"/>
      <c r="O105" s="101" t="s">
        <v>111</v>
      </c>
      <c r="P105" s="100"/>
      <c r="Q105" s="101"/>
      <c r="R105" s="101"/>
      <c r="S105" s="101"/>
      <c r="T105" s="101"/>
      <c r="U105" s="101"/>
      <c r="V105" s="101"/>
      <c r="W105" s="101"/>
      <c r="X105" s="101"/>
      <c r="Y105" s="101"/>
      <c r="Z105" s="101"/>
      <c r="AA105" s="101"/>
    </row>
    <row r="106">
      <c r="A106" s="102" t="s">
        <v>1</v>
      </c>
      <c r="B106" s="102" t="s">
        <v>21</v>
      </c>
      <c r="C106" s="102" t="s">
        <v>183</v>
      </c>
      <c r="H106" s="103" t="s">
        <v>75</v>
      </c>
      <c r="I106" s="102" t="s">
        <v>184</v>
      </c>
      <c r="N106" s="104"/>
      <c r="O106" s="105"/>
      <c r="P106" s="100"/>
      <c r="Q106" s="101"/>
      <c r="R106" s="101"/>
      <c r="S106" s="101"/>
      <c r="T106" s="101"/>
      <c r="U106" s="101"/>
      <c r="V106" s="101"/>
      <c r="W106" s="101"/>
      <c r="X106" s="101"/>
      <c r="Y106" s="101"/>
      <c r="Z106" s="101"/>
      <c r="AA106" s="101"/>
    </row>
    <row r="107">
      <c r="A107" s="102" t="s">
        <v>1</v>
      </c>
      <c r="B107" s="102" t="s">
        <v>21</v>
      </c>
      <c r="C107" s="102" t="s">
        <v>183</v>
      </c>
      <c r="H107" s="103" t="s">
        <v>75</v>
      </c>
      <c r="I107" s="102" t="s">
        <v>185</v>
      </c>
      <c r="N107" s="103" t="s">
        <v>94</v>
      </c>
      <c r="O107" s="105"/>
      <c r="P107" s="100"/>
      <c r="Q107" s="101"/>
      <c r="R107" s="101"/>
      <c r="S107" s="101"/>
      <c r="T107" s="101"/>
      <c r="U107" s="101"/>
      <c r="V107" s="101"/>
      <c r="W107" s="101"/>
      <c r="X107" s="101"/>
      <c r="Y107" s="101"/>
      <c r="Z107" s="101"/>
      <c r="AA107" s="101"/>
    </row>
    <row r="108">
      <c r="A108" s="102" t="s">
        <v>1</v>
      </c>
      <c r="B108" s="102" t="s">
        <v>21</v>
      </c>
      <c r="C108" s="102" t="s">
        <v>183</v>
      </c>
      <c r="H108" s="103" t="s">
        <v>75</v>
      </c>
      <c r="I108" s="102" t="s">
        <v>186</v>
      </c>
      <c r="N108" s="103" t="s">
        <v>96</v>
      </c>
      <c r="O108" s="105"/>
      <c r="P108" s="100"/>
      <c r="Q108" s="101"/>
      <c r="R108" s="101"/>
      <c r="S108" s="101"/>
      <c r="T108" s="101"/>
      <c r="U108" s="101"/>
      <c r="V108" s="101"/>
      <c r="W108" s="101"/>
      <c r="X108" s="101"/>
      <c r="Y108" s="101"/>
      <c r="Z108" s="101"/>
      <c r="AA108" s="101"/>
    </row>
    <row r="109">
      <c r="A109" s="102" t="s">
        <v>1</v>
      </c>
      <c r="B109" s="102" t="s">
        <v>21</v>
      </c>
      <c r="C109" s="102" t="s">
        <v>183</v>
      </c>
      <c r="H109" s="103" t="s">
        <v>76</v>
      </c>
      <c r="I109" s="102" t="s">
        <v>187</v>
      </c>
      <c r="N109" s="104"/>
      <c r="O109" s="101" t="s">
        <v>116</v>
      </c>
      <c r="P109" s="100"/>
      <c r="Q109" s="101"/>
      <c r="R109" s="101"/>
      <c r="S109" s="101"/>
      <c r="T109" s="101"/>
      <c r="U109" s="101"/>
      <c r="V109" s="101"/>
      <c r="W109" s="101"/>
      <c r="X109" s="101"/>
      <c r="Y109" s="101"/>
      <c r="Z109" s="101"/>
      <c r="AA109" s="101"/>
    </row>
    <row r="110">
      <c r="A110" s="102" t="s">
        <v>1</v>
      </c>
      <c r="B110" s="102" t="s">
        <v>21</v>
      </c>
      <c r="C110" s="102" t="s">
        <v>183</v>
      </c>
      <c r="H110" s="104" t="s">
        <v>76</v>
      </c>
      <c r="I110" s="102" t="s">
        <v>188</v>
      </c>
      <c r="N110" s="104"/>
      <c r="O110" s="101" t="s">
        <v>116</v>
      </c>
      <c r="P110" s="100"/>
      <c r="Q110" s="101"/>
      <c r="R110" s="101"/>
      <c r="S110" s="101"/>
      <c r="T110" s="101"/>
      <c r="U110" s="101"/>
      <c r="V110" s="101"/>
      <c r="W110" s="101"/>
      <c r="X110" s="101"/>
      <c r="Y110" s="101"/>
      <c r="Z110" s="101"/>
      <c r="AA110" s="101"/>
    </row>
    <row r="111">
      <c r="A111" s="102" t="s">
        <v>1</v>
      </c>
      <c r="B111" s="102" t="s">
        <v>21</v>
      </c>
      <c r="C111" s="102" t="s">
        <v>183</v>
      </c>
      <c r="H111" s="104" t="s">
        <v>76</v>
      </c>
      <c r="I111" s="102" t="s">
        <v>189</v>
      </c>
      <c r="N111" s="104"/>
      <c r="O111" s="101" t="s">
        <v>116</v>
      </c>
      <c r="P111" s="100"/>
      <c r="Q111" s="101"/>
      <c r="R111" s="101"/>
      <c r="S111" s="101"/>
      <c r="T111" s="101"/>
      <c r="U111" s="101"/>
      <c r="V111" s="101"/>
      <c r="W111" s="101"/>
      <c r="X111" s="101"/>
      <c r="Y111" s="101"/>
      <c r="Z111" s="101"/>
      <c r="AA111" s="101"/>
    </row>
    <row r="112">
      <c r="A112" s="102" t="s">
        <v>1</v>
      </c>
      <c r="B112" s="102" t="s">
        <v>21</v>
      </c>
      <c r="C112" s="102" t="s">
        <v>183</v>
      </c>
      <c r="H112" s="104" t="s">
        <v>76</v>
      </c>
      <c r="I112" s="102" t="s">
        <v>190</v>
      </c>
      <c r="N112" s="104"/>
      <c r="O112" s="101" t="s">
        <v>116</v>
      </c>
      <c r="P112" s="100"/>
      <c r="Q112" s="101"/>
      <c r="R112" s="101"/>
      <c r="S112" s="101"/>
      <c r="T112" s="101"/>
      <c r="U112" s="101"/>
      <c r="V112" s="101"/>
      <c r="W112" s="101"/>
      <c r="X112" s="101"/>
      <c r="Y112" s="101"/>
      <c r="Z112" s="101"/>
      <c r="AA112" s="101"/>
    </row>
    <row r="113">
      <c r="A113" s="106" t="s">
        <v>1</v>
      </c>
      <c r="B113" s="106" t="s">
        <v>19</v>
      </c>
      <c r="C113" s="102" t="s">
        <v>183</v>
      </c>
      <c r="H113" s="103" t="s">
        <v>76</v>
      </c>
      <c r="I113" s="102" t="s">
        <v>191</v>
      </c>
      <c r="N113" s="104"/>
      <c r="O113" s="101" t="s">
        <v>116</v>
      </c>
      <c r="P113" s="100"/>
      <c r="Q113" s="101"/>
      <c r="R113" s="101"/>
      <c r="S113" s="101"/>
      <c r="T113" s="101"/>
      <c r="U113" s="101"/>
      <c r="V113" s="101"/>
      <c r="W113" s="101"/>
      <c r="X113" s="101"/>
      <c r="Y113" s="101"/>
      <c r="Z113" s="101"/>
      <c r="AA113" s="101"/>
    </row>
    <row r="114">
      <c r="A114" s="106" t="s">
        <v>1</v>
      </c>
      <c r="B114" s="106" t="s">
        <v>19</v>
      </c>
      <c r="C114" s="102" t="s">
        <v>183</v>
      </c>
      <c r="H114" s="104" t="s">
        <v>76</v>
      </c>
      <c r="I114" s="102" t="s">
        <v>192</v>
      </c>
      <c r="N114" s="104"/>
      <c r="O114" s="101" t="s">
        <v>116</v>
      </c>
      <c r="P114" s="100"/>
      <c r="Q114" s="101"/>
      <c r="R114" s="101"/>
      <c r="S114" s="101"/>
      <c r="T114" s="101"/>
      <c r="U114" s="101"/>
      <c r="V114" s="101"/>
      <c r="W114" s="101"/>
      <c r="X114" s="101"/>
      <c r="Y114" s="101"/>
      <c r="Z114" s="101"/>
      <c r="AA114" s="101"/>
    </row>
    <row r="115">
      <c r="A115" s="106" t="s">
        <v>1</v>
      </c>
      <c r="B115" s="106" t="s">
        <v>19</v>
      </c>
      <c r="C115" s="102" t="s">
        <v>183</v>
      </c>
      <c r="H115" s="104" t="s">
        <v>76</v>
      </c>
      <c r="I115" s="102" t="s">
        <v>193</v>
      </c>
      <c r="N115" s="104"/>
      <c r="O115" s="101" t="s">
        <v>116</v>
      </c>
      <c r="P115" s="100"/>
      <c r="Q115" s="101"/>
      <c r="R115" s="101"/>
      <c r="S115" s="101"/>
      <c r="T115" s="101"/>
      <c r="U115" s="101"/>
      <c r="V115" s="101"/>
      <c r="W115" s="101"/>
      <c r="X115" s="101"/>
      <c r="Y115" s="101"/>
      <c r="Z115" s="101"/>
      <c r="AA115" s="101"/>
    </row>
    <row r="116">
      <c r="A116" s="106" t="s">
        <v>1</v>
      </c>
      <c r="B116" s="106" t="s">
        <v>19</v>
      </c>
      <c r="C116" s="102" t="s">
        <v>183</v>
      </c>
      <c r="H116" s="104" t="s">
        <v>76</v>
      </c>
      <c r="I116" s="102" t="s">
        <v>194</v>
      </c>
      <c r="N116" s="104"/>
      <c r="O116" s="101" t="s">
        <v>116</v>
      </c>
      <c r="P116" s="100"/>
      <c r="Q116" s="101"/>
      <c r="R116" s="101"/>
      <c r="S116" s="101"/>
      <c r="T116" s="101"/>
      <c r="U116" s="101"/>
      <c r="V116" s="101"/>
      <c r="W116" s="101"/>
      <c r="X116" s="101"/>
      <c r="Y116" s="101"/>
      <c r="Z116" s="101"/>
      <c r="AA116" s="101"/>
    </row>
    <row r="117">
      <c r="A117" s="106" t="s">
        <v>1</v>
      </c>
      <c r="B117" s="106" t="s">
        <v>19</v>
      </c>
      <c r="C117" s="102" t="s">
        <v>183</v>
      </c>
      <c r="H117" s="104" t="s">
        <v>76</v>
      </c>
      <c r="I117" s="102" t="s">
        <v>195</v>
      </c>
      <c r="N117" s="104"/>
      <c r="O117" s="101" t="s">
        <v>116</v>
      </c>
      <c r="P117" s="100"/>
      <c r="Q117" s="101"/>
      <c r="R117" s="101"/>
      <c r="S117" s="101"/>
      <c r="T117" s="101"/>
      <c r="U117" s="101"/>
      <c r="V117" s="101"/>
      <c r="W117" s="101"/>
      <c r="X117" s="101"/>
      <c r="Y117" s="101"/>
      <c r="Z117" s="101"/>
      <c r="AA117" s="101"/>
    </row>
    <row r="118">
      <c r="A118" s="106" t="s">
        <v>1</v>
      </c>
      <c r="B118" s="106" t="s">
        <v>19</v>
      </c>
      <c r="C118" s="102" t="s">
        <v>183</v>
      </c>
      <c r="H118" s="104" t="s">
        <v>76</v>
      </c>
      <c r="I118" s="102" t="s">
        <v>196</v>
      </c>
      <c r="N118" s="104"/>
      <c r="O118" s="101" t="s">
        <v>116</v>
      </c>
      <c r="P118" s="100"/>
      <c r="Q118" s="101"/>
      <c r="R118" s="101"/>
      <c r="S118" s="101"/>
      <c r="T118" s="101"/>
      <c r="U118" s="101"/>
      <c r="V118" s="101"/>
      <c r="W118" s="101"/>
      <c r="X118" s="101"/>
      <c r="Y118" s="101"/>
      <c r="Z118" s="101"/>
      <c r="AA118" s="101"/>
    </row>
    <row r="119">
      <c r="A119" s="106" t="s">
        <v>1</v>
      </c>
      <c r="B119" s="106" t="s">
        <v>19</v>
      </c>
      <c r="C119" s="102" t="s">
        <v>183</v>
      </c>
      <c r="H119" s="104" t="s">
        <v>76</v>
      </c>
      <c r="I119" s="102" t="s">
        <v>197</v>
      </c>
      <c r="N119" s="104"/>
      <c r="O119" s="105" t="s">
        <v>116</v>
      </c>
      <c r="P119" s="100"/>
      <c r="Q119" s="101"/>
      <c r="R119" s="101"/>
      <c r="S119" s="101"/>
      <c r="T119" s="101"/>
      <c r="U119" s="101"/>
      <c r="V119" s="101"/>
      <c r="W119" s="101"/>
      <c r="X119" s="101"/>
      <c r="Y119" s="101"/>
      <c r="Z119" s="101"/>
      <c r="AA119" s="101"/>
    </row>
    <row r="120">
      <c r="A120" s="106" t="s">
        <v>1</v>
      </c>
      <c r="B120" s="106" t="s">
        <v>19</v>
      </c>
      <c r="C120" s="102" t="s">
        <v>183</v>
      </c>
      <c r="H120" s="103" t="s">
        <v>78</v>
      </c>
      <c r="I120" s="102" t="s">
        <v>198</v>
      </c>
      <c r="N120" s="104"/>
      <c r="O120" s="101" t="s">
        <v>111</v>
      </c>
      <c r="P120" s="100"/>
      <c r="Q120" s="101"/>
      <c r="R120" s="101"/>
      <c r="S120" s="101"/>
      <c r="T120" s="101"/>
      <c r="U120" s="101"/>
      <c r="V120" s="101"/>
      <c r="W120" s="101"/>
      <c r="X120" s="101"/>
      <c r="Y120" s="101"/>
      <c r="Z120" s="101"/>
      <c r="AA120" s="101"/>
    </row>
    <row r="121">
      <c r="A121" s="106" t="s">
        <v>1</v>
      </c>
      <c r="B121" s="106" t="s">
        <v>19</v>
      </c>
      <c r="C121" s="102" t="s">
        <v>183</v>
      </c>
      <c r="H121" s="103" t="s">
        <v>78</v>
      </c>
      <c r="I121" s="102" t="s">
        <v>199</v>
      </c>
      <c r="N121" s="104"/>
      <c r="O121" s="101" t="s">
        <v>111</v>
      </c>
      <c r="P121" s="100"/>
      <c r="Q121" s="101"/>
      <c r="R121" s="101"/>
      <c r="S121" s="101"/>
      <c r="T121" s="101"/>
      <c r="U121" s="101"/>
      <c r="V121" s="101"/>
      <c r="W121" s="101"/>
      <c r="X121" s="101"/>
      <c r="Y121" s="101"/>
      <c r="Z121" s="101"/>
      <c r="AA121" s="101"/>
    </row>
    <row r="122">
      <c r="A122" s="106" t="s">
        <v>1</v>
      </c>
      <c r="B122" s="102" t="s">
        <v>22</v>
      </c>
      <c r="C122" s="102" t="s">
        <v>200</v>
      </c>
      <c r="H122" s="103" t="s">
        <v>75</v>
      </c>
      <c r="I122" s="102" t="s">
        <v>201</v>
      </c>
      <c r="N122" s="104"/>
      <c r="O122" s="101"/>
      <c r="P122" s="100"/>
      <c r="Q122" s="101"/>
      <c r="R122" s="101"/>
      <c r="S122" s="101"/>
      <c r="T122" s="101"/>
      <c r="U122" s="101"/>
      <c r="V122" s="101"/>
      <c r="W122" s="101"/>
      <c r="X122" s="101"/>
      <c r="Y122" s="101"/>
      <c r="Z122" s="101"/>
      <c r="AA122" s="101"/>
    </row>
    <row r="123">
      <c r="A123" s="106" t="s">
        <v>1</v>
      </c>
      <c r="B123" s="102" t="s">
        <v>22</v>
      </c>
      <c r="C123" s="102" t="s">
        <v>200</v>
      </c>
      <c r="H123" s="103" t="s">
        <v>75</v>
      </c>
      <c r="I123" s="102" t="s">
        <v>202</v>
      </c>
      <c r="N123" s="104"/>
      <c r="O123" s="105"/>
      <c r="P123" s="100"/>
      <c r="Q123" s="101"/>
      <c r="R123" s="101"/>
      <c r="S123" s="101"/>
      <c r="T123" s="101"/>
      <c r="U123" s="101"/>
      <c r="V123" s="101"/>
      <c r="W123" s="101"/>
      <c r="X123" s="101"/>
      <c r="Y123" s="101"/>
      <c r="Z123" s="101"/>
      <c r="AA123" s="101"/>
    </row>
    <row r="124">
      <c r="A124" s="106" t="s">
        <v>1</v>
      </c>
      <c r="B124" s="102" t="s">
        <v>22</v>
      </c>
      <c r="C124" s="102" t="s">
        <v>200</v>
      </c>
      <c r="H124" s="12" t="s">
        <v>75</v>
      </c>
      <c r="I124" s="11" t="s">
        <v>203</v>
      </c>
      <c r="N124" s="107"/>
      <c r="O124" s="105"/>
      <c r="P124" s="100"/>
      <c r="Q124" s="101"/>
      <c r="R124" s="101"/>
      <c r="S124" s="101"/>
      <c r="T124" s="101"/>
      <c r="U124" s="101"/>
      <c r="V124" s="101"/>
      <c r="W124" s="101"/>
      <c r="X124" s="101"/>
      <c r="Y124" s="101"/>
      <c r="Z124" s="101"/>
      <c r="AA124" s="101"/>
    </row>
    <row r="125">
      <c r="A125" s="106" t="s">
        <v>1</v>
      </c>
      <c r="B125" s="102" t="s">
        <v>22</v>
      </c>
      <c r="C125" s="102" t="s">
        <v>200</v>
      </c>
      <c r="H125" s="12" t="s">
        <v>75</v>
      </c>
      <c r="I125" s="11" t="s">
        <v>204</v>
      </c>
      <c r="N125" s="107"/>
      <c r="O125" s="105"/>
      <c r="P125" s="100"/>
      <c r="Q125" s="101"/>
      <c r="R125" s="101"/>
      <c r="S125" s="101"/>
      <c r="T125" s="101"/>
      <c r="U125" s="101"/>
      <c r="V125" s="101"/>
      <c r="W125" s="101"/>
      <c r="X125" s="101"/>
      <c r="Y125" s="101"/>
      <c r="Z125" s="101"/>
      <c r="AA125" s="101"/>
    </row>
    <row r="126">
      <c r="A126" s="106" t="s">
        <v>1</v>
      </c>
      <c r="B126" s="102" t="s">
        <v>22</v>
      </c>
      <c r="C126" s="102" t="s">
        <v>200</v>
      </c>
      <c r="H126" s="12" t="s">
        <v>75</v>
      </c>
      <c r="I126" s="11" t="s">
        <v>205</v>
      </c>
      <c r="N126" s="107"/>
      <c r="O126" s="105"/>
      <c r="P126" s="100"/>
      <c r="Q126" s="101"/>
      <c r="R126" s="101"/>
      <c r="S126" s="101"/>
      <c r="T126" s="101"/>
      <c r="U126" s="101"/>
      <c r="V126" s="101"/>
      <c r="W126" s="101"/>
      <c r="X126" s="101"/>
      <c r="Y126" s="101"/>
      <c r="Z126" s="101"/>
      <c r="AA126" s="101"/>
    </row>
    <row r="127">
      <c r="A127" s="106" t="s">
        <v>1</v>
      </c>
      <c r="B127" s="102" t="s">
        <v>22</v>
      </c>
      <c r="C127" s="102" t="s">
        <v>200</v>
      </c>
      <c r="H127" s="103" t="s">
        <v>75</v>
      </c>
      <c r="I127" s="102" t="s">
        <v>206</v>
      </c>
      <c r="N127" s="107"/>
      <c r="O127" s="105"/>
      <c r="P127" s="100"/>
      <c r="Q127" s="101"/>
      <c r="R127" s="101"/>
      <c r="S127" s="101"/>
      <c r="T127" s="101"/>
      <c r="U127" s="101"/>
      <c r="V127" s="101"/>
      <c r="W127" s="101"/>
      <c r="X127" s="101"/>
      <c r="Y127" s="101"/>
      <c r="Z127" s="101"/>
      <c r="AA127" s="101"/>
    </row>
    <row r="128">
      <c r="A128" s="106" t="s">
        <v>1</v>
      </c>
      <c r="B128" s="102" t="s">
        <v>22</v>
      </c>
      <c r="C128" s="102" t="s">
        <v>200</v>
      </c>
      <c r="H128" s="103" t="s">
        <v>75</v>
      </c>
      <c r="I128" s="102" t="s">
        <v>207</v>
      </c>
      <c r="N128" s="104"/>
      <c r="O128" s="105"/>
      <c r="P128" s="100"/>
      <c r="Q128" s="101"/>
      <c r="R128" s="101"/>
      <c r="S128" s="101"/>
      <c r="T128" s="101"/>
      <c r="U128" s="101"/>
      <c r="V128" s="101"/>
      <c r="W128" s="101"/>
      <c r="X128" s="101"/>
      <c r="Y128" s="101"/>
      <c r="Z128" s="101"/>
      <c r="AA128" s="101"/>
    </row>
    <row r="129">
      <c r="A129" s="106" t="s">
        <v>1</v>
      </c>
      <c r="B129" s="102" t="s">
        <v>22</v>
      </c>
      <c r="C129" s="102" t="s">
        <v>200</v>
      </c>
      <c r="H129" s="103" t="s">
        <v>75</v>
      </c>
      <c r="I129" s="102" t="s">
        <v>208</v>
      </c>
      <c r="N129" s="104"/>
      <c r="O129" s="105"/>
      <c r="P129" s="100"/>
      <c r="Q129" s="101"/>
      <c r="R129" s="101"/>
      <c r="S129" s="101"/>
      <c r="T129" s="101"/>
      <c r="U129" s="101"/>
      <c r="V129" s="101"/>
      <c r="W129" s="101"/>
      <c r="X129" s="101"/>
      <c r="Y129" s="101"/>
      <c r="Z129" s="101"/>
      <c r="AA129" s="101"/>
    </row>
    <row r="130">
      <c r="A130" s="106" t="s">
        <v>1</v>
      </c>
      <c r="B130" s="102" t="s">
        <v>22</v>
      </c>
      <c r="C130" s="102" t="s">
        <v>200</v>
      </c>
      <c r="H130" s="103" t="s">
        <v>75</v>
      </c>
      <c r="I130" s="102" t="s">
        <v>209</v>
      </c>
      <c r="N130" s="103" t="s">
        <v>94</v>
      </c>
      <c r="O130" s="105"/>
      <c r="P130" s="100"/>
      <c r="Q130" s="101"/>
      <c r="R130" s="101"/>
      <c r="S130" s="101"/>
      <c r="T130" s="101"/>
      <c r="U130" s="101"/>
      <c r="V130" s="101"/>
      <c r="W130" s="101"/>
      <c r="X130" s="101"/>
      <c r="Y130" s="101"/>
      <c r="Z130" s="101"/>
      <c r="AA130" s="101"/>
    </row>
    <row r="131">
      <c r="A131" s="106" t="s">
        <v>1</v>
      </c>
      <c r="B131" s="102" t="s">
        <v>22</v>
      </c>
      <c r="C131" s="102" t="s">
        <v>200</v>
      </c>
      <c r="H131" s="103" t="s">
        <v>75</v>
      </c>
      <c r="I131" s="102" t="s">
        <v>210</v>
      </c>
      <c r="N131" s="103" t="s">
        <v>96</v>
      </c>
      <c r="O131" s="105"/>
      <c r="P131" s="100"/>
      <c r="Q131" s="101"/>
      <c r="R131" s="101"/>
      <c r="S131" s="101"/>
      <c r="T131" s="101"/>
      <c r="U131" s="101"/>
      <c r="V131" s="101"/>
      <c r="W131" s="101"/>
      <c r="X131" s="101"/>
      <c r="Y131" s="101"/>
      <c r="Z131" s="101"/>
      <c r="AA131" s="101"/>
    </row>
    <row r="132">
      <c r="A132" s="106" t="s">
        <v>1</v>
      </c>
      <c r="B132" s="102" t="s">
        <v>22</v>
      </c>
      <c r="C132" s="102" t="s">
        <v>200</v>
      </c>
      <c r="H132" s="103" t="s">
        <v>76</v>
      </c>
      <c r="I132" s="102" t="s">
        <v>211</v>
      </c>
      <c r="N132" s="104"/>
      <c r="O132" s="101" t="s">
        <v>116</v>
      </c>
      <c r="P132" s="100"/>
      <c r="Q132" s="101"/>
      <c r="R132" s="101"/>
      <c r="S132" s="101"/>
      <c r="T132" s="101"/>
      <c r="U132" s="101"/>
      <c r="V132" s="101"/>
      <c r="W132" s="101"/>
      <c r="X132" s="101"/>
      <c r="Y132" s="101"/>
      <c r="Z132" s="101"/>
      <c r="AA132" s="101"/>
    </row>
    <row r="133">
      <c r="A133" s="106" t="s">
        <v>1</v>
      </c>
      <c r="B133" s="102" t="s">
        <v>22</v>
      </c>
      <c r="C133" s="102" t="s">
        <v>200</v>
      </c>
      <c r="H133" s="104" t="s">
        <v>76</v>
      </c>
      <c r="I133" s="102" t="s">
        <v>212</v>
      </c>
      <c r="N133" s="104"/>
      <c r="O133" s="101" t="s">
        <v>116</v>
      </c>
      <c r="P133" s="100"/>
      <c r="Q133" s="101"/>
      <c r="R133" s="101"/>
      <c r="S133" s="101"/>
      <c r="T133" s="101"/>
      <c r="U133" s="101"/>
      <c r="V133" s="101"/>
      <c r="W133" s="101"/>
      <c r="X133" s="101"/>
      <c r="Y133" s="101"/>
      <c r="Z133" s="101"/>
      <c r="AA133" s="101"/>
    </row>
    <row r="134">
      <c r="A134" s="106" t="s">
        <v>1</v>
      </c>
      <c r="B134" s="102" t="s">
        <v>22</v>
      </c>
      <c r="C134" s="102" t="s">
        <v>200</v>
      </c>
      <c r="H134" s="104" t="s">
        <v>76</v>
      </c>
      <c r="I134" s="102" t="s">
        <v>213</v>
      </c>
      <c r="N134" s="104"/>
      <c r="O134" s="101" t="s">
        <v>116</v>
      </c>
      <c r="P134" s="100"/>
      <c r="Q134" s="101"/>
      <c r="R134" s="101"/>
      <c r="S134" s="101"/>
      <c r="T134" s="101"/>
      <c r="U134" s="101"/>
      <c r="V134" s="101"/>
      <c r="W134" s="101"/>
      <c r="X134" s="101"/>
      <c r="Y134" s="101"/>
      <c r="Z134" s="101"/>
      <c r="AA134" s="101"/>
    </row>
    <row r="135">
      <c r="A135" s="106" t="s">
        <v>1</v>
      </c>
      <c r="B135" s="102" t="s">
        <v>22</v>
      </c>
      <c r="C135" s="102" t="s">
        <v>200</v>
      </c>
      <c r="H135" s="104" t="s">
        <v>76</v>
      </c>
      <c r="I135" s="102" t="s">
        <v>214</v>
      </c>
      <c r="N135" s="104"/>
      <c r="O135" s="101" t="s">
        <v>116</v>
      </c>
      <c r="P135" s="100"/>
      <c r="Q135" s="101"/>
      <c r="R135" s="101"/>
      <c r="S135" s="101"/>
      <c r="T135" s="101"/>
      <c r="U135" s="101"/>
      <c r="V135" s="101"/>
      <c r="W135" s="101"/>
      <c r="X135" s="101"/>
      <c r="Y135" s="101"/>
      <c r="Z135" s="101"/>
      <c r="AA135" s="101"/>
    </row>
    <row r="136">
      <c r="A136" s="106" t="s">
        <v>1</v>
      </c>
      <c r="B136" s="102" t="s">
        <v>22</v>
      </c>
      <c r="C136" s="102" t="s">
        <v>200</v>
      </c>
      <c r="H136" s="104" t="s">
        <v>76</v>
      </c>
      <c r="I136" s="102" t="s">
        <v>215</v>
      </c>
      <c r="N136" s="104"/>
      <c r="O136" s="101" t="s">
        <v>116</v>
      </c>
      <c r="P136" s="100"/>
      <c r="Q136" s="101"/>
      <c r="R136" s="101"/>
      <c r="S136" s="101"/>
      <c r="T136" s="101"/>
      <c r="U136" s="101"/>
      <c r="V136" s="101"/>
      <c r="W136" s="101"/>
      <c r="X136" s="101"/>
      <c r="Y136" s="101"/>
      <c r="Z136" s="101"/>
      <c r="AA136" s="101"/>
    </row>
    <row r="137">
      <c r="A137" s="106" t="s">
        <v>1</v>
      </c>
      <c r="B137" s="102" t="s">
        <v>22</v>
      </c>
      <c r="C137" s="102" t="s">
        <v>200</v>
      </c>
      <c r="H137" s="104" t="s">
        <v>76</v>
      </c>
      <c r="I137" s="102" t="s">
        <v>216</v>
      </c>
      <c r="N137" s="104"/>
      <c r="O137" s="101" t="s">
        <v>116</v>
      </c>
      <c r="P137" s="100"/>
      <c r="Q137" s="101"/>
      <c r="R137" s="101"/>
      <c r="S137" s="101"/>
      <c r="T137" s="101"/>
      <c r="U137" s="101"/>
      <c r="V137" s="101"/>
      <c r="W137" s="101"/>
      <c r="X137" s="101"/>
      <c r="Y137" s="101"/>
      <c r="Z137" s="101"/>
      <c r="AA137" s="101"/>
    </row>
    <row r="138">
      <c r="A138" s="106" t="s">
        <v>1</v>
      </c>
      <c r="B138" s="102" t="s">
        <v>22</v>
      </c>
      <c r="C138" s="102" t="s">
        <v>200</v>
      </c>
      <c r="H138" s="104" t="s">
        <v>76</v>
      </c>
      <c r="I138" s="102" t="s">
        <v>217</v>
      </c>
      <c r="N138" s="104"/>
      <c r="O138" s="101" t="s">
        <v>116</v>
      </c>
      <c r="P138" s="100"/>
      <c r="Q138" s="101"/>
      <c r="R138" s="101"/>
      <c r="S138" s="101"/>
      <c r="T138" s="101"/>
      <c r="U138" s="101"/>
      <c r="V138" s="101"/>
      <c r="W138" s="101"/>
      <c r="X138" s="101"/>
      <c r="Y138" s="101"/>
      <c r="Z138" s="101"/>
      <c r="AA138" s="101"/>
    </row>
    <row r="139">
      <c r="A139" s="106" t="s">
        <v>1</v>
      </c>
      <c r="B139" s="102" t="s">
        <v>22</v>
      </c>
      <c r="C139" s="102" t="s">
        <v>200</v>
      </c>
      <c r="H139" s="104" t="s">
        <v>76</v>
      </c>
      <c r="I139" s="102" t="s">
        <v>218</v>
      </c>
      <c r="N139" s="104"/>
      <c r="O139" s="101" t="s">
        <v>116</v>
      </c>
      <c r="P139" s="100"/>
      <c r="Q139" s="101"/>
      <c r="R139" s="101"/>
      <c r="S139" s="101"/>
      <c r="T139" s="101"/>
      <c r="U139" s="101"/>
      <c r="V139" s="101"/>
      <c r="W139" s="101"/>
      <c r="X139" s="101"/>
      <c r="Y139" s="101"/>
      <c r="Z139" s="101"/>
      <c r="AA139" s="101"/>
    </row>
    <row r="140">
      <c r="A140" s="106" t="s">
        <v>1</v>
      </c>
      <c r="B140" s="102" t="s">
        <v>22</v>
      </c>
      <c r="C140" s="102" t="s">
        <v>200</v>
      </c>
      <c r="H140" s="104" t="s">
        <v>76</v>
      </c>
      <c r="I140" s="102" t="s">
        <v>219</v>
      </c>
      <c r="N140" s="104"/>
      <c r="O140" s="105" t="s">
        <v>98</v>
      </c>
      <c r="P140" s="100"/>
      <c r="Q140" s="101"/>
      <c r="R140" s="101"/>
      <c r="S140" s="101"/>
      <c r="T140" s="101"/>
      <c r="U140" s="101"/>
      <c r="V140" s="101"/>
      <c r="W140" s="101"/>
      <c r="X140" s="101"/>
      <c r="Y140" s="101"/>
      <c r="Z140" s="101"/>
      <c r="AA140" s="101"/>
    </row>
    <row r="141">
      <c r="A141" s="106" t="s">
        <v>1</v>
      </c>
      <c r="B141" s="102" t="s">
        <v>22</v>
      </c>
      <c r="C141" s="102" t="s">
        <v>200</v>
      </c>
      <c r="H141" s="104" t="s">
        <v>76</v>
      </c>
      <c r="I141" s="102" t="s">
        <v>220</v>
      </c>
      <c r="N141" s="104"/>
      <c r="O141" s="105" t="s">
        <v>98</v>
      </c>
      <c r="P141" s="100"/>
      <c r="Q141" s="101"/>
      <c r="R141" s="101"/>
      <c r="S141" s="101"/>
      <c r="T141" s="101"/>
      <c r="U141" s="101"/>
      <c r="V141" s="101"/>
      <c r="W141" s="101"/>
      <c r="X141" s="101"/>
      <c r="Y141" s="101"/>
      <c r="Z141" s="101"/>
      <c r="AA141" s="101"/>
    </row>
    <row r="142">
      <c r="A142" s="106" t="s">
        <v>1</v>
      </c>
      <c r="B142" s="102" t="s">
        <v>22</v>
      </c>
      <c r="C142" s="102" t="s">
        <v>200</v>
      </c>
      <c r="H142" s="103" t="s">
        <v>78</v>
      </c>
      <c r="I142" s="102" t="s">
        <v>221</v>
      </c>
      <c r="N142" s="104"/>
      <c r="O142" s="101" t="s">
        <v>111</v>
      </c>
      <c r="P142" s="100"/>
      <c r="Q142" s="101"/>
      <c r="R142" s="101"/>
      <c r="S142" s="101"/>
      <c r="T142" s="101"/>
      <c r="U142" s="101"/>
      <c r="V142" s="101"/>
      <c r="W142" s="101"/>
      <c r="X142" s="101"/>
      <c r="Y142" s="101"/>
      <c r="Z142" s="101"/>
      <c r="AA142" s="101"/>
    </row>
    <row r="143">
      <c r="A143" s="102" t="s">
        <v>2</v>
      </c>
      <c r="B143" s="102" t="s">
        <v>23</v>
      </c>
      <c r="C143" s="102" t="s">
        <v>222</v>
      </c>
      <c r="H143" s="103" t="s">
        <v>75</v>
      </c>
      <c r="I143" s="102" t="s">
        <v>223</v>
      </c>
      <c r="N143" s="104"/>
      <c r="O143" s="105" t="s">
        <v>111</v>
      </c>
      <c r="P143" s="100"/>
      <c r="Q143" s="101"/>
      <c r="R143" s="101"/>
      <c r="S143" s="101"/>
      <c r="T143" s="101"/>
      <c r="U143" s="101"/>
      <c r="V143" s="101"/>
      <c r="W143" s="101"/>
      <c r="X143" s="101"/>
      <c r="Y143" s="101"/>
      <c r="Z143" s="101"/>
      <c r="AA143" s="101"/>
    </row>
    <row r="144">
      <c r="A144" s="102" t="s">
        <v>2</v>
      </c>
      <c r="B144" s="102" t="s">
        <v>23</v>
      </c>
      <c r="C144" s="102" t="s">
        <v>222</v>
      </c>
      <c r="H144" s="104" t="s">
        <v>75</v>
      </c>
      <c r="I144" s="102" t="s">
        <v>224</v>
      </c>
      <c r="N144" s="104"/>
      <c r="O144" s="105"/>
      <c r="P144" s="100"/>
      <c r="Q144" s="101"/>
      <c r="R144" s="101"/>
      <c r="S144" s="101"/>
      <c r="T144" s="101"/>
      <c r="U144" s="101"/>
      <c r="V144" s="101"/>
      <c r="W144" s="101"/>
      <c r="X144" s="101"/>
      <c r="Y144" s="101"/>
      <c r="Z144" s="101"/>
      <c r="AA144" s="101"/>
    </row>
    <row r="145">
      <c r="A145" s="102" t="s">
        <v>2</v>
      </c>
      <c r="B145" s="102" t="s">
        <v>23</v>
      </c>
      <c r="C145" s="102" t="s">
        <v>222</v>
      </c>
      <c r="H145" s="103" t="s">
        <v>76</v>
      </c>
      <c r="I145" s="102" t="s">
        <v>225</v>
      </c>
      <c r="N145" s="104"/>
      <c r="O145" s="101" t="s">
        <v>226</v>
      </c>
      <c r="P145" s="100"/>
      <c r="Q145" s="101"/>
      <c r="R145" s="101"/>
      <c r="S145" s="101"/>
      <c r="T145" s="101"/>
      <c r="U145" s="101"/>
      <c r="V145" s="101"/>
      <c r="W145" s="101"/>
      <c r="X145" s="101"/>
      <c r="Y145" s="101"/>
      <c r="Z145" s="101"/>
      <c r="AA145" s="101"/>
    </row>
    <row r="146">
      <c r="A146" s="102" t="s">
        <v>2</v>
      </c>
      <c r="B146" s="102" t="s">
        <v>23</v>
      </c>
      <c r="C146" s="102" t="s">
        <v>222</v>
      </c>
      <c r="H146" s="103" t="s">
        <v>76</v>
      </c>
      <c r="I146" s="102" t="s">
        <v>227</v>
      </c>
      <c r="N146" s="104"/>
      <c r="O146" s="101" t="s">
        <v>226</v>
      </c>
      <c r="P146" s="100"/>
      <c r="Q146" s="101"/>
      <c r="R146" s="101"/>
      <c r="S146" s="101"/>
      <c r="T146" s="101"/>
      <c r="U146" s="101"/>
      <c r="V146" s="101"/>
      <c r="W146" s="101"/>
      <c r="X146" s="101"/>
      <c r="Y146" s="101"/>
      <c r="Z146" s="101"/>
      <c r="AA146" s="101"/>
    </row>
    <row r="147">
      <c r="A147" s="102" t="s">
        <v>2</v>
      </c>
      <c r="B147" s="102" t="s">
        <v>23</v>
      </c>
      <c r="C147" s="102" t="s">
        <v>222</v>
      </c>
      <c r="H147" s="104" t="s">
        <v>76</v>
      </c>
      <c r="I147" s="102" t="s">
        <v>228</v>
      </c>
      <c r="N147" s="104"/>
      <c r="O147" s="101" t="s">
        <v>226</v>
      </c>
      <c r="P147" s="100"/>
      <c r="Q147" s="101"/>
      <c r="R147" s="101"/>
      <c r="S147" s="101"/>
      <c r="T147" s="101"/>
      <c r="U147" s="101"/>
      <c r="V147" s="101"/>
      <c r="W147" s="101"/>
      <c r="X147" s="101"/>
      <c r="Y147" s="101"/>
      <c r="Z147" s="101"/>
      <c r="AA147" s="101"/>
    </row>
    <row r="148">
      <c r="A148" s="102" t="s">
        <v>2</v>
      </c>
      <c r="B148" s="102" t="s">
        <v>23</v>
      </c>
      <c r="C148" s="102" t="s">
        <v>222</v>
      </c>
      <c r="H148" s="104" t="s">
        <v>76</v>
      </c>
      <c r="I148" s="102" t="s">
        <v>229</v>
      </c>
      <c r="N148" s="104"/>
      <c r="O148" s="101" t="s">
        <v>226</v>
      </c>
      <c r="P148" s="100"/>
      <c r="Q148" s="101"/>
      <c r="R148" s="101"/>
      <c r="S148" s="101"/>
      <c r="T148" s="101"/>
      <c r="U148" s="101"/>
      <c r="V148" s="101"/>
      <c r="W148" s="101"/>
      <c r="X148" s="101"/>
      <c r="Y148" s="101"/>
      <c r="Z148" s="101"/>
      <c r="AA148" s="101"/>
    </row>
    <row r="149">
      <c r="A149" s="102" t="s">
        <v>2</v>
      </c>
      <c r="B149" s="102" t="s">
        <v>23</v>
      </c>
      <c r="C149" s="102" t="s">
        <v>222</v>
      </c>
      <c r="H149" s="104" t="s">
        <v>76</v>
      </c>
      <c r="I149" s="102" t="s">
        <v>230</v>
      </c>
      <c r="N149" s="104"/>
      <c r="O149" s="101" t="s">
        <v>226</v>
      </c>
      <c r="P149" s="100"/>
      <c r="Q149" s="101"/>
      <c r="R149" s="101"/>
      <c r="S149" s="101"/>
      <c r="T149" s="101"/>
      <c r="U149" s="101"/>
      <c r="V149" s="101"/>
      <c r="W149" s="101"/>
      <c r="X149" s="101"/>
      <c r="Y149" s="101"/>
      <c r="Z149" s="101"/>
      <c r="AA149" s="101"/>
    </row>
    <row r="150">
      <c r="A150" s="102" t="s">
        <v>2</v>
      </c>
      <c r="B150" s="102" t="s">
        <v>23</v>
      </c>
      <c r="C150" s="102" t="s">
        <v>222</v>
      </c>
      <c r="H150" s="103" t="s">
        <v>78</v>
      </c>
      <c r="I150" s="102" t="s">
        <v>231</v>
      </c>
      <c r="N150" s="104"/>
      <c r="O150" s="101" t="s">
        <v>111</v>
      </c>
      <c r="P150" s="100"/>
      <c r="Q150" s="101"/>
      <c r="R150" s="101"/>
      <c r="S150" s="101"/>
      <c r="T150" s="101"/>
      <c r="U150" s="101"/>
      <c r="V150" s="101"/>
      <c r="W150" s="101"/>
      <c r="X150" s="101"/>
      <c r="Y150" s="101"/>
      <c r="Z150" s="101"/>
      <c r="AA150" s="101"/>
    </row>
    <row r="151">
      <c r="A151" s="102" t="s">
        <v>2</v>
      </c>
      <c r="B151" s="102" t="s">
        <v>23</v>
      </c>
      <c r="C151" s="102" t="s">
        <v>222</v>
      </c>
      <c r="H151" s="103" t="s">
        <v>78</v>
      </c>
      <c r="I151" s="102" t="s">
        <v>232</v>
      </c>
      <c r="N151" s="104"/>
      <c r="O151" s="101" t="s">
        <v>111</v>
      </c>
      <c r="P151" s="100"/>
      <c r="Q151" s="101"/>
      <c r="R151" s="101"/>
      <c r="S151" s="101"/>
      <c r="T151" s="101"/>
      <c r="U151" s="101"/>
      <c r="V151" s="101"/>
      <c r="W151" s="101"/>
      <c r="X151" s="101"/>
      <c r="Y151" s="101"/>
      <c r="Z151" s="101"/>
      <c r="AA151" s="101"/>
    </row>
    <row r="152">
      <c r="A152" s="102" t="s">
        <v>2</v>
      </c>
      <c r="B152" s="102" t="s">
        <v>24</v>
      </c>
      <c r="C152" s="102" t="s">
        <v>233</v>
      </c>
      <c r="H152" s="103" t="s">
        <v>75</v>
      </c>
      <c r="I152" s="102" t="s">
        <v>234</v>
      </c>
      <c r="N152" s="104"/>
      <c r="O152" s="105"/>
      <c r="P152" s="100"/>
      <c r="Q152" s="101"/>
      <c r="R152" s="101"/>
      <c r="S152" s="101"/>
      <c r="T152" s="101"/>
      <c r="U152" s="101"/>
      <c r="V152" s="101"/>
      <c r="W152" s="101"/>
      <c r="X152" s="101"/>
      <c r="Y152" s="101"/>
      <c r="Z152" s="101"/>
      <c r="AA152" s="101"/>
    </row>
    <row r="153">
      <c r="A153" s="102" t="s">
        <v>2</v>
      </c>
      <c r="B153" s="102" t="s">
        <v>24</v>
      </c>
      <c r="C153" s="102" t="s">
        <v>233</v>
      </c>
      <c r="H153" s="103" t="s">
        <v>75</v>
      </c>
      <c r="I153" s="102" t="s">
        <v>235</v>
      </c>
      <c r="N153" s="104"/>
      <c r="O153" s="105"/>
      <c r="P153" s="100"/>
      <c r="Q153" s="101"/>
      <c r="R153" s="101"/>
      <c r="S153" s="101"/>
      <c r="T153" s="101"/>
      <c r="U153" s="101"/>
      <c r="V153" s="101"/>
      <c r="W153" s="101"/>
      <c r="X153" s="101"/>
      <c r="Y153" s="101"/>
      <c r="Z153" s="101"/>
      <c r="AA153" s="101"/>
    </row>
    <row r="154">
      <c r="A154" s="102" t="s">
        <v>2</v>
      </c>
      <c r="B154" s="102" t="s">
        <v>24</v>
      </c>
      <c r="C154" s="102" t="s">
        <v>233</v>
      </c>
      <c r="H154" s="103" t="s">
        <v>75</v>
      </c>
      <c r="I154" s="102" t="s">
        <v>236</v>
      </c>
      <c r="N154" s="104"/>
      <c r="O154" s="105"/>
      <c r="P154" s="100"/>
      <c r="Q154" s="101"/>
      <c r="R154" s="101"/>
      <c r="S154" s="101"/>
      <c r="T154" s="101"/>
      <c r="U154" s="101"/>
      <c r="V154" s="101"/>
      <c r="W154" s="101"/>
      <c r="X154" s="101"/>
      <c r="Y154" s="101"/>
      <c r="Z154" s="101"/>
      <c r="AA154" s="101"/>
    </row>
    <row r="155">
      <c r="A155" s="102" t="s">
        <v>2</v>
      </c>
      <c r="B155" s="102" t="s">
        <v>24</v>
      </c>
      <c r="C155" s="102" t="s">
        <v>233</v>
      </c>
      <c r="H155" s="104" t="s">
        <v>76</v>
      </c>
      <c r="I155" s="102" t="s">
        <v>237</v>
      </c>
      <c r="N155" s="104"/>
      <c r="O155" s="101" t="s">
        <v>238</v>
      </c>
      <c r="P155" s="100"/>
      <c r="Q155" s="101"/>
      <c r="R155" s="101"/>
      <c r="S155" s="101"/>
      <c r="T155" s="101"/>
      <c r="U155" s="101"/>
      <c r="V155" s="101"/>
      <c r="W155" s="101"/>
      <c r="X155" s="101"/>
      <c r="Y155" s="101"/>
      <c r="Z155" s="101"/>
      <c r="AA155" s="101"/>
    </row>
    <row r="156">
      <c r="A156" s="102" t="s">
        <v>2</v>
      </c>
      <c r="B156" s="102" t="s">
        <v>24</v>
      </c>
      <c r="C156" s="102" t="s">
        <v>233</v>
      </c>
      <c r="H156" s="104" t="s">
        <v>76</v>
      </c>
      <c r="I156" s="102" t="s">
        <v>239</v>
      </c>
      <c r="N156" s="104"/>
      <c r="O156" s="101" t="s">
        <v>238</v>
      </c>
      <c r="P156" s="100"/>
      <c r="Q156" s="101"/>
      <c r="R156" s="101"/>
      <c r="S156" s="101"/>
      <c r="T156" s="101"/>
      <c r="U156" s="101"/>
      <c r="V156" s="101"/>
      <c r="W156" s="101"/>
      <c r="X156" s="101"/>
      <c r="Y156" s="101"/>
      <c r="Z156" s="101"/>
      <c r="AA156" s="101"/>
    </row>
    <row r="157">
      <c r="A157" s="102" t="s">
        <v>2</v>
      </c>
      <c r="B157" s="102" t="s">
        <v>24</v>
      </c>
      <c r="C157" s="102" t="s">
        <v>233</v>
      </c>
      <c r="H157" s="104" t="s">
        <v>76</v>
      </c>
      <c r="I157" s="102" t="s">
        <v>240</v>
      </c>
      <c r="N157" s="104"/>
      <c r="O157" s="101" t="s">
        <v>238</v>
      </c>
      <c r="P157" s="100"/>
      <c r="Q157" s="101"/>
      <c r="R157" s="101"/>
      <c r="S157" s="101"/>
      <c r="T157" s="101"/>
      <c r="U157" s="101"/>
      <c r="V157" s="101"/>
      <c r="W157" s="101"/>
      <c r="X157" s="101"/>
      <c r="Y157" s="101"/>
      <c r="Z157" s="101"/>
      <c r="AA157" s="101"/>
    </row>
    <row r="158">
      <c r="A158" s="102" t="s">
        <v>2</v>
      </c>
      <c r="B158" s="102" t="s">
        <v>24</v>
      </c>
      <c r="C158" s="102" t="s">
        <v>233</v>
      </c>
      <c r="H158" s="104" t="s">
        <v>76</v>
      </c>
      <c r="I158" s="102" t="s">
        <v>241</v>
      </c>
      <c r="N158" s="104"/>
      <c r="O158" s="101" t="s">
        <v>238</v>
      </c>
      <c r="P158" s="100"/>
      <c r="Q158" s="101"/>
      <c r="R158" s="101"/>
      <c r="S158" s="101"/>
      <c r="T158" s="101"/>
      <c r="U158" s="101"/>
      <c r="V158" s="101"/>
      <c r="W158" s="101"/>
      <c r="X158" s="101"/>
      <c r="Y158" s="101"/>
      <c r="Z158" s="101"/>
      <c r="AA158" s="101"/>
    </row>
    <row r="159">
      <c r="A159" s="102" t="s">
        <v>2</v>
      </c>
      <c r="B159" s="102" t="s">
        <v>24</v>
      </c>
      <c r="C159" s="102" t="s">
        <v>233</v>
      </c>
      <c r="H159" s="104" t="s">
        <v>76</v>
      </c>
      <c r="I159" s="102" t="s">
        <v>242</v>
      </c>
      <c r="N159" s="104"/>
      <c r="O159" s="101" t="s">
        <v>238</v>
      </c>
      <c r="P159" s="100"/>
      <c r="Q159" s="101"/>
      <c r="R159" s="101"/>
      <c r="S159" s="101"/>
      <c r="T159" s="101"/>
      <c r="U159" s="101"/>
      <c r="V159" s="101"/>
      <c r="W159" s="101"/>
      <c r="X159" s="101"/>
      <c r="Y159" s="101"/>
      <c r="Z159" s="101"/>
      <c r="AA159" s="101"/>
    </row>
    <row r="160">
      <c r="A160" s="102" t="s">
        <v>2</v>
      </c>
      <c r="B160" s="102" t="s">
        <v>25</v>
      </c>
      <c r="C160" s="102" t="s">
        <v>243</v>
      </c>
      <c r="H160" s="103" t="s">
        <v>75</v>
      </c>
      <c r="I160" s="102" t="s">
        <v>244</v>
      </c>
      <c r="N160" s="104"/>
      <c r="O160" s="105"/>
      <c r="P160" s="100"/>
      <c r="Q160" s="101"/>
      <c r="R160" s="101"/>
      <c r="S160" s="101"/>
      <c r="T160" s="101"/>
      <c r="U160" s="101"/>
      <c r="V160" s="101"/>
      <c r="W160" s="101"/>
      <c r="X160" s="101"/>
      <c r="Y160" s="101"/>
      <c r="Z160" s="101"/>
      <c r="AA160" s="101"/>
    </row>
    <row r="161">
      <c r="A161" s="102" t="s">
        <v>2</v>
      </c>
      <c r="B161" s="102" t="s">
        <v>25</v>
      </c>
      <c r="C161" s="102" t="s">
        <v>243</v>
      </c>
      <c r="H161" s="104" t="s">
        <v>76</v>
      </c>
      <c r="I161" s="102" t="s">
        <v>245</v>
      </c>
      <c r="N161" s="104"/>
      <c r="O161" s="105" t="s">
        <v>116</v>
      </c>
      <c r="P161" s="100"/>
      <c r="Q161" s="101"/>
      <c r="R161" s="101"/>
      <c r="S161" s="101"/>
      <c r="T161" s="101"/>
      <c r="U161" s="101"/>
      <c r="V161" s="101"/>
      <c r="W161" s="101"/>
      <c r="X161" s="101"/>
      <c r="Y161" s="101"/>
      <c r="Z161" s="101"/>
      <c r="AA161" s="101"/>
    </row>
    <row r="162">
      <c r="A162" s="102" t="s">
        <v>2</v>
      </c>
      <c r="B162" s="102" t="s">
        <v>25</v>
      </c>
      <c r="C162" s="102" t="s">
        <v>243</v>
      </c>
      <c r="H162" s="104" t="s">
        <v>76</v>
      </c>
      <c r="I162" s="102" t="s">
        <v>246</v>
      </c>
      <c r="N162" s="104"/>
      <c r="O162" s="105" t="s">
        <v>116</v>
      </c>
      <c r="P162" s="100"/>
      <c r="Q162" s="101"/>
      <c r="R162" s="101"/>
      <c r="S162" s="101"/>
      <c r="T162" s="101"/>
      <c r="U162" s="101"/>
      <c r="V162" s="101"/>
      <c r="W162" s="101"/>
      <c r="X162" s="101"/>
      <c r="Y162" s="101"/>
      <c r="Z162" s="101"/>
      <c r="AA162" s="101"/>
    </row>
    <row r="163">
      <c r="A163" s="102" t="s">
        <v>2</v>
      </c>
      <c r="B163" s="102" t="s">
        <v>25</v>
      </c>
      <c r="C163" s="102" t="s">
        <v>243</v>
      </c>
      <c r="H163" s="104" t="s">
        <v>76</v>
      </c>
      <c r="I163" s="102" t="s">
        <v>247</v>
      </c>
      <c r="N163" s="104"/>
      <c r="O163" s="105" t="s">
        <v>116</v>
      </c>
      <c r="P163" s="100"/>
      <c r="Q163" s="101"/>
      <c r="R163" s="101"/>
      <c r="S163" s="101"/>
      <c r="T163" s="101"/>
      <c r="U163" s="101"/>
      <c r="V163" s="101"/>
      <c r="W163" s="101"/>
      <c r="X163" s="101"/>
      <c r="Y163" s="101"/>
      <c r="Z163" s="101"/>
      <c r="AA163" s="101"/>
    </row>
    <row r="164">
      <c r="A164" s="102" t="s">
        <v>2</v>
      </c>
      <c r="B164" s="102" t="s">
        <v>25</v>
      </c>
      <c r="C164" s="102" t="s">
        <v>243</v>
      </c>
      <c r="H164" s="104" t="s">
        <v>76</v>
      </c>
      <c r="I164" s="102" t="s">
        <v>248</v>
      </c>
      <c r="N164" s="104"/>
      <c r="O164" s="105" t="s">
        <v>116</v>
      </c>
      <c r="P164" s="100"/>
      <c r="Q164" s="101"/>
      <c r="R164" s="101"/>
      <c r="S164" s="101"/>
      <c r="T164" s="101"/>
      <c r="U164" s="101"/>
      <c r="V164" s="101"/>
      <c r="W164" s="101"/>
      <c r="X164" s="101"/>
      <c r="Y164" s="101"/>
      <c r="Z164" s="101"/>
      <c r="AA164" s="101"/>
    </row>
    <row r="165">
      <c r="A165" s="102" t="s">
        <v>2</v>
      </c>
      <c r="B165" s="102" t="s">
        <v>25</v>
      </c>
      <c r="C165" s="102" t="s">
        <v>243</v>
      </c>
      <c r="H165" s="103" t="s">
        <v>76</v>
      </c>
      <c r="I165" s="102" t="s">
        <v>249</v>
      </c>
      <c r="N165" s="104"/>
      <c r="O165" s="105" t="s">
        <v>116</v>
      </c>
      <c r="P165" s="100"/>
      <c r="Q165" s="101"/>
      <c r="R165" s="101"/>
      <c r="S165" s="101"/>
      <c r="T165" s="101"/>
      <c r="U165" s="101"/>
      <c r="V165" s="101"/>
      <c r="W165" s="101"/>
      <c r="X165" s="101"/>
      <c r="Y165" s="101"/>
      <c r="Z165" s="101"/>
      <c r="AA165" s="101"/>
    </row>
    <row r="166">
      <c r="A166" s="102" t="s">
        <v>2</v>
      </c>
      <c r="B166" s="102" t="s">
        <v>25</v>
      </c>
      <c r="C166" s="102" t="s">
        <v>243</v>
      </c>
      <c r="H166" s="103" t="s">
        <v>76</v>
      </c>
      <c r="I166" s="102" t="s">
        <v>250</v>
      </c>
      <c r="N166" s="104"/>
      <c r="O166" s="105" t="s">
        <v>116</v>
      </c>
      <c r="P166" s="100"/>
      <c r="Q166" s="101"/>
      <c r="R166" s="101"/>
      <c r="S166" s="101"/>
      <c r="T166" s="101"/>
      <c r="U166" s="101"/>
      <c r="V166" s="101"/>
      <c r="W166" s="101"/>
      <c r="X166" s="101"/>
      <c r="Y166" s="101"/>
      <c r="Z166" s="101"/>
      <c r="AA166" s="101"/>
    </row>
    <row r="167">
      <c r="A167" s="102" t="s">
        <v>2</v>
      </c>
      <c r="B167" s="102" t="s">
        <v>25</v>
      </c>
      <c r="C167" s="102" t="s">
        <v>243</v>
      </c>
      <c r="H167" s="103" t="s">
        <v>76</v>
      </c>
      <c r="I167" s="102" t="s">
        <v>251</v>
      </c>
      <c r="N167" s="104"/>
      <c r="O167" s="105" t="s">
        <v>116</v>
      </c>
      <c r="P167" s="100"/>
      <c r="Q167" s="101"/>
      <c r="R167" s="101"/>
      <c r="S167" s="101"/>
      <c r="T167" s="101"/>
      <c r="U167" s="101"/>
      <c r="V167" s="101"/>
      <c r="W167" s="101"/>
      <c r="X167" s="101"/>
      <c r="Y167" s="101"/>
      <c r="Z167" s="101"/>
      <c r="AA167" s="101"/>
    </row>
    <row r="168">
      <c r="A168" s="102" t="s">
        <v>2</v>
      </c>
      <c r="B168" s="102" t="s">
        <v>25</v>
      </c>
      <c r="C168" s="102" t="s">
        <v>243</v>
      </c>
      <c r="H168" s="103" t="s">
        <v>76</v>
      </c>
      <c r="I168" s="102" t="s">
        <v>252</v>
      </c>
      <c r="N168" s="104"/>
      <c r="O168" s="105" t="s">
        <v>116</v>
      </c>
      <c r="P168" s="100"/>
      <c r="Q168" s="101"/>
      <c r="R168" s="101"/>
      <c r="S168" s="101"/>
      <c r="T168" s="101"/>
      <c r="U168" s="101"/>
      <c r="V168" s="101"/>
      <c r="W168" s="101"/>
      <c r="X168" s="101"/>
      <c r="Y168" s="101"/>
      <c r="Z168" s="101"/>
      <c r="AA168" s="101"/>
    </row>
    <row r="169">
      <c r="A169" s="102" t="s">
        <v>2</v>
      </c>
      <c r="B169" s="102" t="s">
        <v>25</v>
      </c>
      <c r="C169" s="102" t="s">
        <v>243</v>
      </c>
      <c r="H169" s="103" t="s">
        <v>76</v>
      </c>
      <c r="I169" s="102" t="s">
        <v>253</v>
      </c>
      <c r="N169" s="104"/>
      <c r="O169" s="105" t="s">
        <v>116</v>
      </c>
      <c r="P169" s="100"/>
      <c r="Q169" s="101"/>
      <c r="R169" s="101"/>
      <c r="S169" s="101"/>
      <c r="T169" s="101"/>
      <c r="U169" s="101"/>
      <c r="V169" s="101"/>
      <c r="W169" s="101"/>
      <c r="X169" s="101"/>
      <c r="Y169" s="101"/>
      <c r="Z169" s="101"/>
      <c r="AA169" s="101"/>
    </row>
    <row r="170">
      <c r="A170" s="102" t="s">
        <v>2</v>
      </c>
      <c r="B170" s="102" t="s">
        <v>25</v>
      </c>
      <c r="C170" s="102" t="s">
        <v>243</v>
      </c>
      <c r="H170" s="103" t="s">
        <v>76</v>
      </c>
      <c r="I170" s="102" t="s">
        <v>254</v>
      </c>
      <c r="N170" s="104"/>
      <c r="O170" s="105" t="s">
        <v>116</v>
      </c>
      <c r="P170" s="100"/>
      <c r="Q170" s="101"/>
      <c r="R170" s="101"/>
      <c r="S170" s="101"/>
      <c r="T170" s="101"/>
      <c r="U170" s="101"/>
      <c r="V170" s="101"/>
      <c r="W170" s="101"/>
      <c r="X170" s="101"/>
      <c r="Y170" s="101"/>
      <c r="Z170" s="101"/>
      <c r="AA170" s="101"/>
    </row>
    <row r="171">
      <c r="A171" s="102" t="s">
        <v>2</v>
      </c>
      <c r="B171" s="102" t="s">
        <v>25</v>
      </c>
      <c r="C171" s="102" t="s">
        <v>243</v>
      </c>
      <c r="H171" s="103" t="s">
        <v>76</v>
      </c>
      <c r="I171" s="102" t="s">
        <v>255</v>
      </c>
      <c r="N171" s="104"/>
      <c r="O171" s="105" t="s">
        <v>116</v>
      </c>
      <c r="P171" s="100"/>
      <c r="Q171" s="101"/>
      <c r="R171" s="101"/>
      <c r="S171" s="101"/>
      <c r="T171" s="101"/>
      <c r="U171" s="101"/>
      <c r="V171" s="101"/>
      <c r="W171" s="101"/>
      <c r="X171" s="101"/>
      <c r="Y171" s="101"/>
      <c r="Z171" s="101"/>
      <c r="AA171" s="101"/>
    </row>
    <row r="172">
      <c r="A172" s="102" t="s">
        <v>2</v>
      </c>
      <c r="B172" s="102" t="s">
        <v>25</v>
      </c>
      <c r="C172" s="102" t="s">
        <v>243</v>
      </c>
      <c r="H172" s="103" t="s">
        <v>76</v>
      </c>
      <c r="I172" s="102" t="s">
        <v>256</v>
      </c>
      <c r="N172" s="104"/>
      <c r="O172" s="105" t="s">
        <v>116</v>
      </c>
      <c r="P172" s="100"/>
      <c r="Q172" s="101"/>
      <c r="R172" s="101"/>
      <c r="S172" s="101"/>
      <c r="T172" s="101"/>
      <c r="U172" s="101"/>
      <c r="V172" s="101"/>
      <c r="W172" s="101"/>
      <c r="X172" s="101"/>
      <c r="Y172" s="101"/>
      <c r="Z172" s="101"/>
      <c r="AA172" s="101"/>
    </row>
    <row r="173">
      <c r="A173" s="102" t="s">
        <v>2</v>
      </c>
      <c r="B173" s="102" t="s">
        <v>25</v>
      </c>
      <c r="C173" s="102" t="s">
        <v>243</v>
      </c>
      <c r="H173" s="104" t="s">
        <v>76</v>
      </c>
      <c r="I173" s="102" t="s">
        <v>257</v>
      </c>
      <c r="N173" s="104"/>
      <c r="O173" s="105" t="s">
        <v>116</v>
      </c>
      <c r="P173" s="100"/>
      <c r="Q173" s="101"/>
      <c r="R173" s="101"/>
      <c r="S173" s="101"/>
      <c r="T173" s="101"/>
      <c r="U173" s="101"/>
      <c r="V173" s="101"/>
      <c r="W173" s="101"/>
      <c r="X173" s="101"/>
      <c r="Y173" s="101"/>
      <c r="Z173" s="101"/>
      <c r="AA173" s="101"/>
    </row>
    <row r="174">
      <c r="A174" s="102" t="s">
        <v>2</v>
      </c>
      <c r="B174" s="102" t="s">
        <v>25</v>
      </c>
      <c r="C174" s="102" t="s">
        <v>243</v>
      </c>
      <c r="H174" s="103" t="s">
        <v>78</v>
      </c>
      <c r="I174" s="102" t="s">
        <v>258</v>
      </c>
      <c r="N174" s="104"/>
      <c r="O174" s="101" t="s">
        <v>111</v>
      </c>
      <c r="P174" s="100"/>
      <c r="Q174" s="101"/>
      <c r="R174" s="101"/>
      <c r="S174" s="101"/>
      <c r="T174" s="101"/>
      <c r="U174" s="101"/>
      <c r="V174" s="101"/>
      <c r="W174" s="101"/>
      <c r="X174" s="101"/>
      <c r="Y174" s="101"/>
      <c r="Z174" s="101"/>
      <c r="AA174" s="101"/>
    </row>
    <row r="175">
      <c r="A175" s="102" t="s">
        <v>2</v>
      </c>
      <c r="B175" s="102" t="s">
        <v>26</v>
      </c>
      <c r="C175" s="102" t="s">
        <v>259</v>
      </c>
      <c r="H175" s="103" t="s">
        <v>75</v>
      </c>
      <c r="I175" s="102" t="s">
        <v>260</v>
      </c>
      <c r="N175" s="104"/>
      <c r="O175" s="105"/>
      <c r="P175" s="100"/>
      <c r="Q175" s="101"/>
      <c r="R175" s="101"/>
      <c r="S175" s="101"/>
      <c r="T175" s="101"/>
      <c r="U175" s="101"/>
      <c r="V175" s="101"/>
      <c r="W175" s="101"/>
      <c r="X175" s="101"/>
      <c r="Y175" s="101"/>
      <c r="Z175" s="101"/>
      <c r="AA175" s="101"/>
    </row>
    <row r="176">
      <c r="A176" s="102" t="s">
        <v>2</v>
      </c>
      <c r="B176" s="102" t="s">
        <v>26</v>
      </c>
      <c r="C176" s="102" t="s">
        <v>259</v>
      </c>
      <c r="H176" s="104" t="s">
        <v>76</v>
      </c>
      <c r="I176" s="102" t="s">
        <v>261</v>
      </c>
      <c r="N176" s="104"/>
      <c r="O176" s="105" t="s">
        <v>98</v>
      </c>
      <c r="P176" s="100"/>
      <c r="Q176" s="101"/>
      <c r="R176" s="101"/>
      <c r="S176" s="101"/>
      <c r="T176" s="101"/>
      <c r="U176" s="101"/>
      <c r="V176" s="101"/>
      <c r="W176" s="101"/>
      <c r="X176" s="101"/>
      <c r="Y176" s="101"/>
      <c r="Z176" s="101"/>
      <c r="AA176" s="101"/>
    </row>
    <row r="177">
      <c r="A177" s="102" t="s">
        <v>2</v>
      </c>
      <c r="B177" s="102" t="s">
        <v>26</v>
      </c>
      <c r="C177" s="102" t="s">
        <v>259</v>
      </c>
      <c r="H177" s="104" t="s">
        <v>76</v>
      </c>
      <c r="I177" s="102" t="s">
        <v>262</v>
      </c>
      <c r="N177" s="104"/>
      <c r="O177" s="105" t="s">
        <v>98</v>
      </c>
      <c r="P177" s="100"/>
      <c r="Q177" s="101"/>
      <c r="R177" s="101"/>
      <c r="S177" s="101"/>
      <c r="T177" s="101"/>
      <c r="U177" s="101"/>
      <c r="V177" s="101"/>
      <c r="W177" s="101"/>
      <c r="X177" s="101"/>
      <c r="Y177" s="101"/>
      <c r="Z177" s="101"/>
      <c r="AA177" s="101"/>
    </row>
    <row r="178">
      <c r="A178" s="102" t="s">
        <v>2</v>
      </c>
      <c r="B178" s="102" t="s">
        <v>26</v>
      </c>
      <c r="C178" s="102" t="s">
        <v>259</v>
      </c>
      <c r="H178" s="104" t="s">
        <v>76</v>
      </c>
      <c r="I178" s="102" t="s">
        <v>263</v>
      </c>
      <c r="N178" s="104"/>
      <c r="O178" s="105" t="s">
        <v>98</v>
      </c>
      <c r="P178" s="100"/>
      <c r="Q178" s="101"/>
      <c r="R178" s="101"/>
      <c r="S178" s="101"/>
      <c r="T178" s="101"/>
      <c r="U178" s="101"/>
      <c r="V178" s="101"/>
      <c r="W178" s="101"/>
      <c r="X178" s="101"/>
      <c r="Y178" s="101"/>
      <c r="Z178" s="101"/>
      <c r="AA178" s="101"/>
    </row>
    <row r="179">
      <c r="A179" s="102" t="s">
        <v>2</v>
      </c>
      <c r="B179" s="102" t="s">
        <v>26</v>
      </c>
      <c r="C179" s="102" t="s">
        <v>259</v>
      </c>
      <c r="H179" s="104" t="s">
        <v>76</v>
      </c>
      <c r="I179" s="102" t="s">
        <v>264</v>
      </c>
      <c r="N179" s="104"/>
      <c r="O179" s="105" t="s">
        <v>98</v>
      </c>
      <c r="P179" s="100"/>
      <c r="Q179" s="101"/>
      <c r="R179" s="101"/>
      <c r="S179" s="101"/>
      <c r="T179" s="101"/>
      <c r="U179" s="101"/>
      <c r="V179" s="101"/>
      <c r="W179" s="101"/>
      <c r="X179" s="101"/>
      <c r="Y179" s="101"/>
      <c r="Z179" s="101"/>
      <c r="AA179" s="101"/>
    </row>
    <row r="180">
      <c r="A180" s="102" t="s">
        <v>2</v>
      </c>
      <c r="B180" s="102" t="s">
        <v>26</v>
      </c>
      <c r="C180" s="102" t="s">
        <v>259</v>
      </c>
      <c r="H180" s="104" t="s">
        <v>76</v>
      </c>
      <c r="I180" s="102" t="s">
        <v>265</v>
      </c>
      <c r="N180" s="104"/>
      <c r="O180" s="105" t="s">
        <v>98</v>
      </c>
      <c r="P180" s="100"/>
      <c r="Q180" s="101"/>
      <c r="R180" s="101"/>
      <c r="S180" s="101"/>
      <c r="T180" s="101"/>
      <c r="U180" s="101"/>
      <c r="V180" s="101"/>
      <c r="W180" s="101"/>
      <c r="X180" s="101"/>
      <c r="Y180" s="101"/>
      <c r="Z180" s="101"/>
      <c r="AA180" s="101"/>
    </row>
    <row r="181">
      <c r="A181" s="102" t="s">
        <v>2</v>
      </c>
      <c r="B181" s="102" t="s">
        <v>26</v>
      </c>
      <c r="C181" s="102" t="s">
        <v>259</v>
      </c>
      <c r="H181" s="104" t="s">
        <v>76</v>
      </c>
      <c r="I181" s="102" t="s">
        <v>266</v>
      </c>
      <c r="N181" s="104"/>
      <c r="O181" s="105" t="s">
        <v>98</v>
      </c>
      <c r="P181" s="100"/>
      <c r="Q181" s="101"/>
      <c r="R181" s="101"/>
      <c r="S181" s="101"/>
      <c r="T181" s="101"/>
      <c r="U181" s="101"/>
      <c r="V181" s="101"/>
      <c r="W181" s="101"/>
      <c r="X181" s="101"/>
      <c r="Y181" s="101"/>
      <c r="Z181" s="101"/>
      <c r="AA181" s="101"/>
    </row>
    <row r="182">
      <c r="A182" s="102" t="s">
        <v>2</v>
      </c>
      <c r="B182" s="102" t="s">
        <v>26</v>
      </c>
      <c r="C182" s="102" t="s">
        <v>259</v>
      </c>
      <c r="H182" s="104" t="s">
        <v>76</v>
      </c>
      <c r="I182" s="102" t="s">
        <v>267</v>
      </c>
      <c r="N182" s="104"/>
      <c r="O182" s="105" t="s">
        <v>98</v>
      </c>
      <c r="P182" s="100"/>
      <c r="Q182" s="101"/>
      <c r="R182" s="101"/>
      <c r="S182" s="101"/>
      <c r="T182" s="101"/>
      <c r="U182" s="101"/>
      <c r="V182" s="101"/>
      <c r="W182" s="101"/>
      <c r="X182" s="101"/>
      <c r="Y182" s="101"/>
      <c r="Z182" s="101"/>
      <c r="AA182" s="101"/>
    </row>
    <row r="183">
      <c r="A183" s="102" t="s">
        <v>2</v>
      </c>
      <c r="B183" s="102" t="s">
        <v>26</v>
      </c>
      <c r="C183" s="102" t="s">
        <v>259</v>
      </c>
      <c r="H183" s="104" t="s">
        <v>76</v>
      </c>
      <c r="I183" s="102" t="s">
        <v>268</v>
      </c>
      <c r="N183" s="104"/>
      <c r="O183" s="105" t="s">
        <v>98</v>
      </c>
      <c r="P183" s="100"/>
      <c r="Q183" s="101"/>
      <c r="R183" s="101"/>
      <c r="S183" s="101"/>
      <c r="T183" s="101"/>
      <c r="U183" s="101"/>
      <c r="V183" s="101"/>
      <c r="W183" s="101"/>
      <c r="X183" s="101"/>
      <c r="Y183" s="101"/>
      <c r="Z183" s="101"/>
      <c r="AA183" s="101"/>
    </row>
    <row r="184">
      <c r="A184" s="102" t="s">
        <v>2</v>
      </c>
      <c r="B184" s="102" t="s">
        <v>26</v>
      </c>
      <c r="C184" s="102" t="s">
        <v>259</v>
      </c>
      <c r="H184" s="103" t="s">
        <v>76</v>
      </c>
      <c r="I184" s="102" t="s">
        <v>269</v>
      </c>
      <c r="N184" s="104"/>
      <c r="O184" s="105" t="s">
        <v>98</v>
      </c>
      <c r="P184" s="100"/>
      <c r="Q184" s="101"/>
      <c r="R184" s="101"/>
      <c r="S184" s="101"/>
      <c r="T184" s="101"/>
      <c r="U184" s="101"/>
      <c r="V184" s="101"/>
      <c r="W184" s="101"/>
      <c r="X184" s="101"/>
      <c r="Y184" s="101"/>
      <c r="Z184" s="101"/>
      <c r="AA184" s="101"/>
    </row>
    <row r="185">
      <c r="A185" s="102" t="s">
        <v>2</v>
      </c>
      <c r="B185" s="102" t="s">
        <v>26</v>
      </c>
      <c r="C185" s="102" t="s">
        <v>259</v>
      </c>
      <c r="H185" s="103" t="s">
        <v>78</v>
      </c>
      <c r="I185" s="102" t="s">
        <v>270</v>
      </c>
      <c r="N185" s="104"/>
      <c r="O185" s="101" t="s">
        <v>111</v>
      </c>
      <c r="P185" s="100"/>
      <c r="Q185" s="101"/>
      <c r="R185" s="101"/>
      <c r="S185" s="101"/>
      <c r="T185" s="101"/>
      <c r="U185" s="101"/>
      <c r="V185" s="101"/>
      <c r="W185" s="101"/>
      <c r="X185" s="101"/>
      <c r="Y185" s="101"/>
      <c r="Z185" s="101"/>
      <c r="AA185" s="101"/>
    </row>
    <row r="186">
      <c r="A186" s="102" t="s">
        <v>2</v>
      </c>
      <c r="B186" s="102" t="s">
        <v>27</v>
      </c>
      <c r="C186" s="102" t="s">
        <v>271</v>
      </c>
      <c r="H186" s="104" t="s">
        <v>75</v>
      </c>
      <c r="I186" s="102" t="s">
        <v>272</v>
      </c>
      <c r="N186" s="104"/>
      <c r="O186" s="101"/>
      <c r="P186" s="100"/>
      <c r="Q186" s="101"/>
      <c r="R186" s="101"/>
      <c r="S186" s="101"/>
      <c r="T186" s="101"/>
      <c r="U186" s="101"/>
      <c r="V186" s="101"/>
      <c r="W186" s="101"/>
      <c r="X186" s="101"/>
      <c r="Y186" s="101"/>
      <c r="Z186" s="101"/>
      <c r="AA186" s="101"/>
    </row>
    <row r="187">
      <c r="A187" s="102" t="s">
        <v>2</v>
      </c>
      <c r="B187" s="102" t="s">
        <v>27</v>
      </c>
      <c r="C187" s="102" t="s">
        <v>271</v>
      </c>
      <c r="H187" s="104" t="s">
        <v>76</v>
      </c>
      <c r="I187" s="102" t="s">
        <v>273</v>
      </c>
      <c r="N187" s="104"/>
      <c r="O187" s="105" t="s">
        <v>226</v>
      </c>
      <c r="P187" s="100"/>
      <c r="Q187" s="101"/>
      <c r="R187" s="101"/>
      <c r="S187" s="101"/>
      <c r="T187" s="101"/>
      <c r="U187" s="101"/>
      <c r="V187" s="101"/>
      <c r="W187" s="101"/>
      <c r="X187" s="101"/>
      <c r="Y187" s="101"/>
      <c r="Z187" s="101"/>
      <c r="AA187" s="101"/>
    </row>
    <row r="188">
      <c r="A188" s="102" t="s">
        <v>2</v>
      </c>
      <c r="B188" s="102" t="s">
        <v>27</v>
      </c>
      <c r="C188" s="102" t="s">
        <v>271</v>
      </c>
      <c r="H188" s="104" t="s">
        <v>76</v>
      </c>
      <c r="I188" s="102" t="s">
        <v>274</v>
      </c>
      <c r="N188" s="104"/>
      <c r="O188" s="105" t="s">
        <v>226</v>
      </c>
      <c r="P188" s="100"/>
      <c r="Q188" s="101"/>
      <c r="R188" s="101"/>
      <c r="S188" s="101"/>
      <c r="T188" s="101"/>
      <c r="U188" s="101"/>
      <c r="V188" s="101"/>
      <c r="W188" s="101"/>
      <c r="X188" s="101"/>
      <c r="Y188" s="101"/>
      <c r="Z188" s="101"/>
      <c r="AA188" s="101"/>
    </row>
    <row r="189">
      <c r="A189" s="102" t="s">
        <v>2</v>
      </c>
      <c r="B189" s="102" t="s">
        <v>27</v>
      </c>
      <c r="C189" s="102" t="s">
        <v>271</v>
      </c>
      <c r="H189" s="104" t="s">
        <v>76</v>
      </c>
      <c r="I189" s="102" t="s">
        <v>275</v>
      </c>
      <c r="N189" s="104"/>
      <c r="O189" s="105" t="s">
        <v>226</v>
      </c>
      <c r="P189" s="100"/>
      <c r="Q189" s="101"/>
      <c r="R189" s="101"/>
      <c r="S189" s="101"/>
      <c r="T189" s="101"/>
      <c r="U189" s="101"/>
      <c r="V189" s="101"/>
      <c r="W189" s="101"/>
      <c r="X189" s="101"/>
      <c r="Y189" s="101"/>
      <c r="Z189" s="101"/>
      <c r="AA189" s="101"/>
    </row>
    <row r="190">
      <c r="A190" s="102" t="s">
        <v>2</v>
      </c>
      <c r="B190" s="102" t="s">
        <v>27</v>
      </c>
      <c r="C190" s="102" t="s">
        <v>271</v>
      </c>
      <c r="H190" s="104" t="s">
        <v>76</v>
      </c>
      <c r="I190" s="102" t="s">
        <v>276</v>
      </c>
      <c r="N190" s="104"/>
      <c r="O190" s="105" t="s">
        <v>226</v>
      </c>
      <c r="P190" s="100"/>
      <c r="Q190" s="101"/>
      <c r="R190" s="101"/>
      <c r="S190" s="101"/>
      <c r="T190" s="101"/>
      <c r="U190" s="101"/>
      <c r="V190" s="101"/>
      <c r="W190" s="101"/>
      <c r="X190" s="101"/>
      <c r="Y190" s="101"/>
      <c r="Z190" s="101"/>
      <c r="AA190" s="101"/>
    </row>
    <row r="191">
      <c r="A191" s="102" t="s">
        <v>2</v>
      </c>
      <c r="B191" s="102" t="s">
        <v>27</v>
      </c>
      <c r="C191" s="102" t="s">
        <v>271</v>
      </c>
      <c r="H191" s="104" t="s">
        <v>76</v>
      </c>
      <c r="I191" s="102" t="s">
        <v>277</v>
      </c>
      <c r="N191" s="104"/>
      <c r="O191" s="105" t="s">
        <v>226</v>
      </c>
      <c r="P191" s="100"/>
      <c r="Q191" s="101"/>
      <c r="R191" s="101"/>
      <c r="S191" s="101"/>
      <c r="T191" s="101"/>
      <c r="U191" s="101"/>
      <c r="V191" s="101"/>
      <c r="W191" s="101"/>
      <c r="X191" s="101"/>
      <c r="Y191" s="101"/>
      <c r="Z191" s="101"/>
      <c r="AA191" s="101"/>
    </row>
    <row r="192">
      <c r="A192" s="102" t="s">
        <v>2</v>
      </c>
      <c r="B192" s="102" t="s">
        <v>27</v>
      </c>
      <c r="C192" s="102" t="s">
        <v>271</v>
      </c>
      <c r="H192" s="104" t="s">
        <v>76</v>
      </c>
      <c r="I192" s="102" t="s">
        <v>278</v>
      </c>
      <c r="N192" s="104"/>
      <c r="O192" s="105" t="s">
        <v>226</v>
      </c>
      <c r="P192" s="100"/>
      <c r="Q192" s="101"/>
      <c r="R192" s="101"/>
      <c r="S192" s="101"/>
      <c r="T192" s="101"/>
      <c r="U192" s="101"/>
      <c r="V192" s="101"/>
      <c r="W192" s="101"/>
      <c r="X192" s="101"/>
      <c r="Y192" s="101"/>
      <c r="Z192" s="101"/>
      <c r="AA192" s="101"/>
    </row>
    <row r="193">
      <c r="A193" s="102" t="s">
        <v>2</v>
      </c>
      <c r="B193" s="102" t="s">
        <v>27</v>
      </c>
      <c r="C193" s="102" t="s">
        <v>271</v>
      </c>
      <c r="H193" s="103" t="s">
        <v>78</v>
      </c>
      <c r="I193" s="102" t="s">
        <v>279</v>
      </c>
      <c r="N193" s="104"/>
      <c r="O193" s="101" t="s">
        <v>111</v>
      </c>
      <c r="P193" s="100"/>
      <c r="Q193" s="101"/>
      <c r="R193" s="101"/>
      <c r="S193" s="101"/>
      <c r="T193" s="101"/>
      <c r="U193" s="101"/>
      <c r="V193" s="101"/>
      <c r="W193" s="101"/>
      <c r="X193" s="101"/>
      <c r="Y193" s="101"/>
      <c r="Z193" s="101"/>
      <c r="AA193" s="101"/>
    </row>
    <row r="194">
      <c r="A194" s="102" t="s">
        <v>3</v>
      </c>
      <c r="B194" s="102" t="s">
        <v>28</v>
      </c>
      <c r="C194" s="102" t="s">
        <v>280</v>
      </c>
      <c r="H194" s="103" t="s">
        <v>75</v>
      </c>
      <c r="I194" s="102" t="s">
        <v>281</v>
      </c>
      <c r="N194" s="104"/>
      <c r="O194" s="105"/>
      <c r="P194" s="100"/>
      <c r="Q194" s="101"/>
      <c r="R194" s="101"/>
      <c r="S194" s="101"/>
      <c r="T194" s="101"/>
      <c r="U194" s="101"/>
      <c r="V194" s="101"/>
      <c r="W194" s="101"/>
      <c r="X194" s="101"/>
      <c r="Y194" s="101"/>
      <c r="Z194" s="101"/>
      <c r="AA194" s="101"/>
    </row>
    <row r="195">
      <c r="A195" s="102" t="s">
        <v>3</v>
      </c>
      <c r="B195" s="102" t="s">
        <v>28</v>
      </c>
      <c r="C195" s="102" t="s">
        <v>280</v>
      </c>
      <c r="H195" s="103" t="s">
        <v>75</v>
      </c>
      <c r="I195" s="102" t="s">
        <v>282</v>
      </c>
      <c r="N195" s="104"/>
      <c r="O195" s="105"/>
      <c r="P195" s="100"/>
      <c r="Q195" s="101"/>
      <c r="R195" s="101"/>
      <c r="S195" s="101"/>
      <c r="T195" s="101"/>
      <c r="U195" s="101"/>
      <c r="V195" s="101"/>
      <c r="W195" s="101"/>
      <c r="X195" s="101"/>
      <c r="Y195" s="101"/>
      <c r="Z195" s="101"/>
      <c r="AA195" s="101"/>
    </row>
    <row r="196">
      <c r="A196" s="102" t="s">
        <v>3</v>
      </c>
      <c r="B196" s="102" t="s">
        <v>28</v>
      </c>
      <c r="C196" s="102" t="s">
        <v>280</v>
      </c>
      <c r="H196" s="103" t="s">
        <v>75</v>
      </c>
      <c r="I196" s="102" t="s">
        <v>283</v>
      </c>
      <c r="N196" s="104"/>
      <c r="O196" s="105"/>
      <c r="P196" s="100"/>
      <c r="Q196" s="101"/>
      <c r="R196" s="101"/>
      <c r="S196" s="101"/>
      <c r="T196" s="101"/>
      <c r="U196" s="101"/>
      <c r="V196" s="101"/>
      <c r="W196" s="101"/>
      <c r="X196" s="101"/>
      <c r="Y196" s="101"/>
      <c r="Z196" s="101"/>
      <c r="AA196" s="101"/>
    </row>
    <row r="197">
      <c r="A197" s="102" t="s">
        <v>3</v>
      </c>
      <c r="B197" s="102" t="s">
        <v>28</v>
      </c>
      <c r="C197" s="102" t="s">
        <v>280</v>
      </c>
      <c r="H197" s="103" t="s">
        <v>76</v>
      </c>
      <c r="I197" s="102" t="s">
        <v>284</v>
      </c>
      <c r="N197" s="104"/>
      <c r="O197" s="101" t="s">
        <v>98</v>
      </c>
      <c r="P197" s="100"/>
      <c r="Q197" s="101"/>
      <c r="R197" s="101"/>
      <c r="S197" s="101"/>
      <c r="T197" s="101"/>
      <c r="U197" s="101"/>
      <c r="V197" s="101"/>
      <c r="W197" s="101"/>
      <c r="X197" s="101"/>
      <c r="Y197" s="101"/>
      <c r="Z197" s="101"/>
      <c r="AA197" s="101"/>
    </row>
    <row r="198">
      <c r="A198" s="102" t="s">
        <v>3</v>
      </c>
      <c r="B198" s="102" t="s">
        <v>28</v>
      </c>
      <c r="C198" s="102" t="s">
        <v>280</v>
      </c>
      <c r="H198" s="103" t="s">
        <v>76</v>
      </c>
      <c r="I198" s="102" t="s">
        <v>285</v>
      </c>
      <c r="N198" s="104"/>
      <c r="O198" s="101" t="s">
        <v>98</v>
      </c>
      <c r="P198" s="100"/>
      <c r="Q198" s="101"/>
      <c r="R198" s="101"/>
      <c r="S198" s="101"/>
      <c r="T198" s="101"/>
      <c r="U198" s="101"/>
      <c r="V198" s="101"/>
      <c r="W198" s="101"/>
      <c r="X198" s="101"/>
      <c r="Y198" s="101"/>
      <c r="Z198" s="101"/>
      <c r="AA198" s="101"/>
    </row>
    <row r="199">
      <c r="A199" s="102" t="s">
        <v>3</v>
      </c>
      <c r="B199" s="102" t="s">
        <v>28</v>
      </c>
      <c r="C199" s="102" t="s">
        <v>280</v>
      </c>
      <c r="H199" s="103" t="s">
        <v>76</v>
      </c>
      <c r="I199" s="102" t="s">
        <v>286</v>
      </c>
      <c r="N199" s="104"/>
      <c r="O199" s="101" t="s">
        <v>98</v>
      </c>
      <c r="P199" s="100"/>
      <c r="Q199" s="101"/>
      <c r="R199" s="101"/>
      <c r="S199" s="101"/>
      <c r="T199" s="101"/>
      <c r="U199" s="101"/>
      <c r="V199" s="101"/>
      <c r="W199" s="101"/>
      <c r="X199" s="101"/>
      <c r="Y199" s="101"/>
      <c r="Z199" s="101"/>
      <c r="AA199" s="101"/>
    </row>
    <row r="200">
      <c r="A200" s="102" t="s">
        <v>3</v>
      </c>
      <c r="B200" s="102" t="s">
        <v>28</v>
      </c>
      <c r="C200" s="102" t="s">
        <v>280</v>
      </c>
      <c r="H200" s="104" t="s">
        <v>76</v>
      </c>
      <c r="I200" s="102" t="s">
        <v>287</v>
      </c>
      <c r="N200" s="104"/>
      <c r="O200" s="101" t="s">
        <v>98</v>
      </c>
      <c r="P200" s="100"/>
      <c r="Q200" s="101"/>
      <c r="R200" s="101"/>
      <c r="S200" s="101"/>
      <c r="T200" s="101"/>
      <c r="U200" s="101"/>
      <c r="V200" s="101"/>
      <c r="W200" s="101"/>
      <c r="X200" s="101"/>
      <c r="Y200" s="101"/>
      <c r="Z200" s="101"/>
      <c r="AA200" s="101"/>
    </row>
    <row r="201">
      <c r="A201" s="102" t="s">
        <v>3</v>
      </c>
      <c r="B201" s="102" t="s">
        <v>28</v>
      </c>
      <c r="C201" s="102" t="s">
        <v>280</v>
      </c>
      <c r="H201" s="104" t="s">
        <v>76</v>
      </c>
      <c r="I201" s="102" t="s">
        <v>288</v>
      </c>
      <c r="N201" s="104"/>
      <c r="O201" s="101" t="s">
        <v>98</v>
      </c>
      <c r="P201" s="100"/>
      <c r="Q201" s="101"/>
      <c r="R201" s="101"/>
      <c r="S201" s="101"/>
      <c r="T201" s="101"/>
      <c r="U201" s="101"/>
      <c r="V201" s="101"/>
      <c r="W201" s="101"/>
      <c r="X201" s="101"/>
      <c r="Y201" s="101"/>
      <c r="Z201" s="101"/>
      <c r="AA201" s="101"/>
    </row>
    <row r="202">
      <c r="A202" s="102" t="s">
        <v>3</v>
      </c>
      <c r="B202" s="102" t="s">
        <v>28</v>
      </c>
      <c r="C202" s="102" t="s">
        <v>280</v>
      </c>
      <c r="H202" s="104" t="s">
        <v>76</v>
      </c>
      <c r="I202" s="102" t="s">
        <v>289</v>
      </c>
      <c r="N202" s="104"/>
      <c r="O202" s="101" t="s">
        <v>98</v>
      </c>
      <c r="P202" s="100"/>
      <c r="Q202" s="101"/>
      <c r="R202" s="101"/>
      <c r="S202" s="101"/>
      <c r="T202" s="101"/>
      <c r="U202" s="101"/>
      <c r="V202" s="101"/>
      <c r="W202" s="101"/>
      <c r="X202" s="101"/>
      <c r="Y202" s="101"/>
      <c r="Z202" s="101"/>
      <c r="AA202" s="101"/>
    </row>
    <row r="203">
      <c r="A203" s="102" t="s">
        <v>3</v>
      </c>
      <c r="B203" s="102" t="s">
        <v>28</v>
      </c>
      <c r="C203" s="102" t="s">
        <v>280</v>
      </c>
      <c r="H203" s="104" t="s">
        <v>76</v>
      </c>
      <c r="I203" s="102" t="s">
        <v>290</v>
      </c>
      <c r="N203" s="104"/>
      <c r="O203" s="101" t="s">
        <v>98</v>
      </c>
      <c r="P203" s="100"/>
      <c r="Q203" s="101"/>
      <c r="R203" s="101"/>
      <c r="S203" s="101"/>
      <c r="T203" s="101"/>
      <c r="U203" s="101"/>
      <c r="V203" s="101"/>
      <c r="W203" s="101"/>
      <c r="X203" s="101"/>
      <c r="Y203" s="101"/>
      <c r="Z203" s="101"/>
      <c r="AA203" s="101"/>
    </row>
    <row r="204">
      <c r="A204" s="102" t="s">
        <v>3</v>
      </c>
      <c r="B204" s="102" t="s">
        <v>28</v>
      </c>
      <c r="C204" s="102" t="s">
        <v>280</v>
      </c>
      <c r="H204" s="104" t="s">
        <v>76</v>
      </c>
      <c r="I204" s="102" t="s">
        <v>291</v>
      </c>
      <c r="N204" s="104"/>
      <c r="O204" s="101" t="s">
        <v>98</v>
      </c>
      <c r="P204" s="100"/>
      <c r="Q204" s="101"/>
      <c r="R204" s="101"/>
      <c r="S204" s="101"/>
      <c r="T204" s="101"/>
      <c r="U204" s="101"/>
      <c r="V204" s="101"/>
      <c r="W204" s="101"/>
      <c r="X204" s="101"/>
      <c r="Y204" s="101"/>
      <c r="Z204" s="101"/>
      <c r="AA204" s="101"/>
    </row>
    <row r="205">
      <c r="A205" s="102" t="s">
        <v>3</v>
      </c>
      <c r="B205" s="102" t="s">
        <v>28</v>
      </c>
      <c r="C205" s="102" t="s">
        <v>280</v>
      </c>
      <c r="H205" s="104" t="s">
        <v>76</v>
      </c>
      <c r="I205" s="102" t="s">
        <v>292</v>
      </c>
      <c r="N205" s="104"/>
      <c r="O205" s="101" t="s">
        <v>98</v>
      </c>
      <c r="P205" s="100"/>
      <c r="Q205" s="101"/>
      <c r="R205" s="101"/>
      <c r="S205" s="101"/>
      <c r="T205" s="101"/>
      <c r="U205" s="101"/>
      <c r="V205" s="101"/>
      <c r="W205" s="101"/>
      <c r="X205" s="101"/>
      <c r="Y205" s="101"/>
      <c r="Z205" s="101"/>
      <c r="AA205" s="101"/>
    </row>
    <row r="206">
      <c r="A206" s="102" t="s">
        <v>3</v>
      </c>
      <c r="B206" s="102" t="s">
        <v>28</v>
      </c>
      <c r="C206" s="102" t="s">
        <v>280</v>
      </c>
      <c r="H206" s="104" t="s">
        <v>76</v>
      </c>
      <c r="I206" s="102" t="s">
        <v>293</v>
      </c>
      <c r="N206" s="103" t="s">
        <v>96</v>
      </c>
      <c r="O206" s="101" t="s">
        <v>98</v>
      </c>
      <c r="P206" s="100"/>
      <c r="Q206" s="101"/>
      <c r="R206" s="101"/>
      <c r="S206" s="101"/>
      <c r="T206" s="101"/>
      <c r="U206" s="101"/>
      <c r="V206" s="101"/>
      <c r="W206" s="101"/>
      <c r="X206" s="101"/>
      <c r="Y206" s="101"/>
      <c r="Z206" s="101"/>
      <c r="AA206" s="101"/>
    </row>
    <row r="207">
      <c r="A207" s="102" t="s">
        <v>3</v>
      </c>
      <c r="B207" s="102" t="s">
        <v>28</v>
      </c>
      <c r="C207" s="102" t="s">
        <v>280</v>
      </c>
      <c r="H207" s="103" t="s">
        <v>78</v>
      </c>
      <c r="I207" s="102" t="s">
        <v>294</v>
      </c>
      <c r="N207" s="104"/>
      <c r="O207" s="101" t="s">
        <v>111</v>
      </c>
      <c r="P207" s="100"/>
      <c r="Q207" s="101"/>
      <c r="R207" s="101"/>
      <c r="S207" s="101"/>
      <c r="T207" s="101"/>
      <c r="U207" s="101"/>
      <c r="V207" s="101"/>
      <c r="W207" s="101"/>
      <c r="X207" s="101"/>
      <c r="Y207" s="101"/>
      <c r="Z207" s="101"/>
      <c r="AA207" s="101"/>
    </row>
    <row r="208">
      <c r="A208" s="102" t="s">
        <v>3</v>
      </c>
      <c r="B208" s="102" t="s">
        <v>29</v>
      </c>
      <c r="C208" s="102" t="s">
        <v>295</v>
      </c>
      <c r="H208" s="104" t="s">
        <v>76</v>
      </c>
      <c r="I208" s="102" t="s">
        <v>296</v>
      </c>
      <c r="N208" s="104"/>
      <c r="O208" s="101" t="s">
        <v>98</v>
      </c>
      <c r="P208" s="100"/>
      <c r="Q208" s="101"/>
      <c r="R208" s="101"/>
      <c r="S208" s="101"/>
      <c r="T208" s="101"/>
      <c r="U208" s="101"/>
      <c r="V208" s="101"/>
      <c r="W208" s="101"/>
      <c r="X208" s="101"/>
      <c r="Y208" s="101"/>
      <c r="Z208" s="101"/>
      <c r="AA208" s="101"/>
    </row>
    <row r="209">
      <c r="A209" s="102" t="s">
        <v>3</v>
      </c>
      <c r="B209" s="102" t="s">
        <v>29</v>
      </c>
      <c r="C209" s="102" t="s">
        <v>295</v>
      </c>
      <c r="H209" s="104" t="s">
        <v>76</v>
      </c>
      <c r="I209" s="102" t="s">
        <v>297</v>
      </c>
      <c r="N209" s="104"/>
      <c r="O209" s="101" t="s">
        <v>98</v>
      </c>
      <c r="P209" s="100"/>
      <c r="Q209" s="101"/>
      <c r="R209" s="101"/>
      <c r="S209" s="101"/>
      <c r="T209" s="101"/>
      <c r="U209" s="101"/>
      <c r="V209" s="101"/>
      <c r="W209" s="101"/>
      <c r="X209" s="101"/>
      <c r="Y209" s="101"/>
      <c r="Z209" s="101"/>
      <c r="AA209" s="101"/>
    </row>
    <row r="210">
      <c r="A210" s="102" t="s">
        <v>3</v>
      </c>
      <c r="B210" s="102" t="s">
        <v>29</v>
      </c>
      <c r="C210" s="102" t="s">
        <v>295</v>
      </c>
      <c r="H210" s="104" t="s">
        <v>76</v>
      </c>
      <c r="I210" s="102" t="s">
        <v>298</v>
      </c>
      <c r="N210" s="104"/>
      <c r="O210" s="101" t="s">
        <v>98</v>
      </c>
      <c r="P210" s="100"/>
      <c r="Q210" s="101"/>
      <c r="R210" s="101"/>
      <c r="S210" s="101"/>
      <c r="T210" s="101"/>
      <c r="U210" s="101"/>
      <c r="V210" s="101"/>
      <c r="W210" s="101"/>
      <c r="X210" s="101"/>
      <c r="Y210" s="101"/>
      <c r="Z210" s="101"/>
      <c r="AA210" s="101"/>
    </row>
    <row r="211">
      <c r="A211" s="102" t="s">
        <v>3</v>
      </c>
      <c r="B211" s="102" t="s">
        <v>29</v>
      </c>
      <c r="C211" s="102" t="s">
        <v>295</v>
      </c>
      <c r="H211" s="104" t="s">
        <v>76</v>
      </c>
      <c r="I211" s="102" t="s">
        <v>299</v>
      </c>
      <c r="N211" s="104"/>
      <c r="O211" s="101" t="s">
        <v>98</v>
      </c>
      <c r="P211" s="100"/>
      <c r="Q211" s="101"/>
      <c r="R211" s="101"/>
      <c r="S211" s="101"/>
      <c r="T211" s="101"/>
      <c r="U211" s="101"/>
      <c r="V211" s="101"/>
      <c r="W211" s="101"/>
      <c r="X211" s="101"/>
      <c r="Y211" s="101"/>
      <c r="Z211" s="101"/>
      <c r="AA211" s="101"/>
    </row>
    <row r="212">
      <c r="A212" s="102" t="s">
        <v>3</v>
      </c>
      <c r="B212" s="102" t="s">
        <v>29</v>
      </c>
      <c r="C212" s="102" t="s">
        <v>295</v>
      </c>
      <c r="H212" s="104" t="s">
        <v>76</v>
      </c>
      <c r="I212" s="102" t="s">
        <v>300</v>
      </c>
      <c r="N212" s="104"/>
      <c r="O212" s="101" t="s">
        <v>98</v>
      </c>
      <c r="P212" s="100"/>
      <c r="Q212" s="101"/>
      <c r="R212" s="101"/>
      <c r="S212" s="101"/>
      <c r="T212" s="101"/>
      <c r="U212" s="101"/>
      <c r="V212" s="101"/>
      <c r="W212" s="101"/>
      <c r="X212" s="101"/>
      <c r="Y212" s="101"/>
      <c r="Z212" s="101"/>
      <c r="AA212" s="101"/>
    </row>
    <row r="213">
      <c r="A213" s="102" t="s">
        <v>3</v>
      </c>
      <c r="B213" s="102" t="s">
        <v>29</v>
      </c>
      <c r="C213" s="102" t="s">
        <v>295</v>
      </c>
      <c r="H213" s="104" t="s">
        <v>76</v>
      </c>
      <c r="I213" s="102" t="s">
        <v>301</v>
      </c>
      <c r="N213" s="104"/>
      <c r="O213" s="101" t="s">
        <v>98</v>
      </c>
      <c r="P213" s="100"/>
      <c r="Q213" s="101"/>
      <c r="R213" s="101"/>
      <c r="S213" s="101"/>
      <c r="T213" s="101"/>
      <c r="U213" s="101"/>
      <c r="V213" s="101"/>
      <c r="W213" s="101"/>
      <c r="X213" s="101"/>
      <c r="Y213" s="101"/>
      <c r="Z213" s="101"/>
      <c r="AA213" s="101"/>
    </row>
    <row r="214">
      <c r="A214" s="102" t="s">
        <v>3</v>
      </c>
      <c r="B214" s="102" t="s">
        <v>29</v>
      </c>
      <c r="C214" s="102" t="s">
        <v>295</v>
      </c>
      <c r="H214" s="103" t="s">
        <v>78</v>
      </c>
      <c r="I214" s="102" t="s">
        <v>302</v>
      </c>
      <c r="N214" s="104"/>
      <c r="O214" s="101" t="s">
        <v>111</v>
      </c>
      <c r="P214" s="100"/>
      <c r="Q214" s="101"/>
      <c r="R214" s="101"/>
      <c r="S214" s="101"/>
      <c r="T214" s="101"/>
      <c r="U214" s="101"/>
      <c r="V214" s="101"/>
      <c r="W214" s="101"/>
      <c r="X214" s="101"/>
      <c r="Y214" s="101"/>
      <c r="Z214" s="101"/>
      <c r="AA214" s="101"/>
    </row>
    <row r="215">
      <c r="A215" s="102" t="s">
        <v>3</v>
      </c>
      <c r="B215" s="102" t="s">
        <v>29</v>
      </c>
      <c r="C215" s="102" t="s">
        <v>295</v>
      </c>
      <c r="H215" s="103" t="s">
        <v>78</v>
      </c>
      <c r="I215" s="102" t="s">
        <v>303</v>
      </c>
      <c r="N215" s="104"/>
      <c r="O215" s="101" t="s">
        <v>111</v>
      </c>
      <c r="P215" s="100"/>
      <c r="Q215" s="101"/>
      <c r="R215" s="101"/>
      <c r="S215" s="101"/>
      <c r="T215" s="101"/>
      <c r="U215" s="101"/>
      <c r="V215" s="101"/>
      <c r="W215" s="101"/>
      <c r="X215" s="101"/>
      <c r="Y215" s="101"/>
      <c r="Z215" s="101"/>
      <c r="AA215" s="101"/>
    </row>
    <row r="216">
      <c r="A216" s="102" t="s">
        <v>3</v>
      </c>
      <c r="B216" s="102" t="s">
        <v>30</v>
      </c>
      <c r="C216" s="102" t="s">
        <v>304</v>
      </c>
      <c r="H216" s="103" t="s">
        <v>75</v>
      </c>
      <c r="I216" s="102" t="s">
        <v>305</v>
      </c>
      <c r="N216" s="104"/>
      <c r="O216" s="105"/>
      <c r="P216" s="100"/>
      <c r="Q216" s="101"/>
      <c r="R216" s="101"/>
      <c r="S216" s="101"/>
      <c r="T216" s="101"/>
      <c r="U216" s="101"/>
      <c r="V216" s="101"/>
      <c r="W216" s="101"/>
      <c r="X216" s="101"/>
      <c r="Y216" s="101"/>
      <c r="Z216" s="101"/>
      <c r="AA216" s="101"/>
    </row>
    <row r="217">
      <c r="A217" s="102" t="s">
        <v>3</v>
      </c>
      <c r="B217" s="102" t="s">
        <v>30</v>
      </c>
      <c r="C217" s="102" t="s">
        <v>304</v>
      </c>
      <c r="H217" s="103" t="s">
        <v>75</v>
      </c>
      <c r="I217" s="102" t="s">
        <v>306</v>
      </c>
      <c r="N217" s="104"/>
      <c r="O217" s="105"/>
      <c r="P217" s="100"/>
      <c r="Q217" s="101"/>
      <c r="R217" s="101"/>
      <c r="S217" s="101"/>
      <c r="T217" s="101"/>
      <c r="U217" s="101"/>
      <c r="V217" s="101"/>
      <c r="W217" s="101"/>
      <c r="X217" s="101"/>
      <c r="Y217" s="101"/>
      <c r="Z217" s="101"/>
      <c r="AA217" s="101"/>
    </row>
    <row r="218">
      <c r="A218" s="102" t="s">
        <v>3</v>
      </c>
      <c r="B218" s="102" t="s">
        <v>30</v>
      </c>
      <c r="C218" s="102" t="s">
        <v>304</v>
      </c>
      <c r="H218" s="104" t="s">
        <v>76</v>
      </c>
      <c r="I218" s="102" t="s">
        <v>307</v>
      </c>
      <c r="N218" s="104"/>
      <c r="O218" s="101" t="s">
        <v>226</v>
      </c>
      <c r="P218" s="100"/>
      <c r="Q218" s="101"/>
      <c r="R218" s="101"/>
      <c r="S218" s="101"/>
      <c r="T218" s="101"/>
      <c r="U218" s="101"/>
      <c r="V218" s="101"/>
      <c r="W218" s="101"/>
      <c r="X218" s="101"/>
      <c r="Y218" s="101"/>
      <c r="Z218" s="101"/>
      <c r="AA218" s="101"/>
    </row>
    <row r="219">
      <c r="A219" s="102" t="s">
        <v>3</v>
      </c>
      <c r="B219" s="102" t="s">
        <v>30</v>
      </c>
      <c r="C219" s="102" t="s">
        <v>304</v>
      </c>
      <c r="H219" s="104" t="s">
        <v>76</v>
      </c>
      <c r="I219" s="102" t="s">
        <v>308</v>
      </c>
      <c r="N219" s="104"/>
      <c r="O219" s="101" t="s">
        <v>226</v>
      </c>
      <c r="P219" s="100"/>
      <c r="Q219" s="101"/>
      <c r="R219" s="101"/>
      <c r="S219" s="101"/>
      <c r="T219" s="101"/>
      <c r="U219" s="101"/>
      <c r="V219" s="101"/>
      <c r="W219" s="101"/>
      <c r="X219" s="101"/>
      <c r="Y219" s="101"/>
      <c r="Z219" s="101"/>
      <c r="AA219" s="101"/>
    </row>
    <row r="220">
      <c r="A220" s="102" t="s">
        <v>3</v>
      </c>
      <c r="B220" s="102" t="s">
        <v>30</v>
      </c>
      <c r="C220" s="102" t="s">
        <v>304</v>
      </c>
      <c r="H220" s="104" t="s">
        <v>76</v>
      </c>
      <c r="I220" s="102" t="s">
        <v>309</v>
      </c>
      <c r="N220" s="104"/>
      <c r="O220" s="101" t="s">
        <v>226</v>
      </c>
      <c r="P220" s="100"/>
      <c r="Q220" s="101"/>
      <c r="R220" s="101"/>
      <c r="S220" s="101"/>
      <c r="T220" s="101"/>
      <c r="U220" s="101"/>
      <c r="V220" s="101"/>
      <c r="W220" s="101"/>
      <c r="X220" s="101"/>
      <c r="Y220" s="101"/>
      <c r="Z220" s="101"/>
      <c r="AA220" s="101"/>
    </row>
    <row r="221">
      <c r="A221" s="102" t="s">
        <v>3</v>
      </c>
      <c r="B221" s="102" t="s">
        <v>30</v>
      </c>
      <c r="C221" s="102" t="s">
        <v>304</v>
      </c>
      <c r="H221" s="104" t="s">
        <v>76</v>
      </c>
      <c r="I221" s="102" t="s">
        <v>310</v>
      </c>
      <c r="N221" s="104"/>
      <c r="O221" s="101" t="s">
        <v>226</v>
      </c>
      <c r="P221" s="100"/>
      <c r="Q221" s="101"/>
      <c r="R221" s="101"/>
      <c r="S221" s="101"/>
      <c r="T221" s="101"/>
      <c r="U221" s="101"/>
      <c r="V221" s="101"/>
      <c r="W221" s="101"/>
      <c r="X221" s="101"/>
      <c r="Y221" s="101"/>
      <c r="Z221" s="101"/>
      <c r="AA221" s="101"/>
    </row>
    <row r="222">
      <c r="A222" s="102" t="s">
        <v>3</v>
      </c>
      <c r="B222" s="102" t="s">
        <v>30</v>
      </c>
      <c r="C222" s="102" t="s">
        <v>304</v>
      </c>
      <c r="H222" s="104" t="s">
        <v>76</v>
      </c>
      <c r="I222" s="102" t="s">
        <v>311</v>
      </c>
      <c r="N222" s="104"/>
      <c r="O222" s="101" t="s">
        <v>226</v>
      </c>
      <c r="P222" s="100"/>
      <c r="Q222" s="101"/>
      <c r="R222" s="101"/>
      <c r="S222" s="101"/>
      <c r="T222" s="101"/>
      <c r="U222" s="101"/>
      <c r="V222" s="101"/>
      <c r="W222" s="101"/>
      <c r="X222" s="101"/>
      <c r="Y222" s="101"/>
      <c r="Z222" s="101"/>
      <c r="AA222" s="101"/>
    </row>
    <row r="223">
      <c r="A223" s="102" t="s">
        <v>3</v>
      </c>
      <c r="B223" s="102" t="s">
        <v>30</v>
      </c>
      <c r="C223" s="102" t="s">
        <v>304</v>
      </c>
      <c r="H223" s="104" t="s">
        <v>76</v>
      </c>
      <c r="I223" s="102" t="s">
        <v>312</v>
      </c>
      <c r="N223" s="104"/>
      <c r="O223" s="101" t="s">
        <v>226</v>
      </c>
      <c r="P223" s="100"/>
      <c r="Q223" s="101"/>
      <c r="R223" s="101"/>
      <c r="S223" s="101"/>
      <c r="T223" s="101"/>
      <c r="U223" s="101"/>
      <c r="V223" s="101"/>
      <c r="W223" s="101"/>
      <c r="X223" s="101"/>
      <c r="Y223" s="101"/>
      <c r="Z223" s="101"/>
      <c r="AA223" s="101"/>
    </row>
    <row r="224">
      <c r="A224" s="102" t="s">
        <v>3</v>
      </c>
      <c r="B224" s="102" t="s">
        <v>30</v>
      </c>
      <c r="C224" s="102" t="s">
        <v>304</v>
      </c>
      <c r="H224" s="104" t="s">
        <v>76</v>
      </c>
      <c r="I224" s="102" t="s">
        <v>313</v>
      </c>
      <c r="N224" s="104"/>
      <c r="O224" s="101" t="s">
        <v>226</v>
      </c>
      <c r="P224" s="100"/>
      <c r="Q224" s="101"/>
      <c r="R224" s="101"/>
      <c r="S224" s="101"/>
      <c r="T224" s="101"/>
      <c r="U224" s="101"/>
      <c r="V224" s="101"/>
      <c r="W224" s="101"/>
      <c r="X224" s="101"/>
      <c r="Y224" s="101"/>
      <c r="Z224" s="101"/>
      <c r="AA224" s="101"/>
    </row>
    <row r="225">
      <c r="A225" s="102" t="s">
        <v>3</v>
      </c>
      <c r="B225" s="102" t="s">
        <v>30</v>
      </c>
      <c r="C225" s="102" t="s">
        <v>304</v>
      </c>
      <c r="H225" s="104" t="s">
        <v>76</v>
      </c>
      <c r="I225" s="102" t="s">
        <v>314</v>
      </c>
      <c r="N225" s="104"/>
      <c r="O225" s="101" t="s">
        <v>226</v>
      </c>
      <c r="P225" s="100"/>
      <c r="Q225" s="101"/>
      <c r="R225" s="101"/>
      <c r="S225" s="101"/>
      <c r="T225" s="101"/>
      <c r="U225" s="101"/>
      <c r="V225" s="101"/>
      <c r="W225" s="101"/>
      <c r="X225" s="101"/>
      <c r="Y225" s="101"/>
      <c r="Z225" s="101"/>
      <c r="AA225" s="101"/>
    </row>
    <row r="226">
      <c r="A226" s="102" t="s">
        <v>3</v>
      </c>
      <c r="B226" s="102" t="s">
        <v>30</v>
      </c>
      <c r="C226" s="102" t="s">
        <v>304</v>
      </c>
      <c r="H226" s="104" t="s">
        <v>76</v>
      </c>
      <c r="I226" s="102" t="s">
        <v>315</v>
      </c>
      <c r="N226" s="104"/>
      <c r="O226" s="101" t="s">
        <v>226</v>
      </c>
      <c r="P226" s="100"/>
      <c r="Q226" s="101"/>
      <c r="R226" s="101"/>
      <c r="S226" s="101"/>
      <c r="T226" s="101"/>
      <c r="U226" s="101"/>
      <c r="V226" s="101"/>
      <c r="W226" s="101"/>
      <c r="X226" s="101"/>
      <c r="Y226" s="101"/>
      <c r="Z226" s="101"/>
      <c r="AA226" s="101"/>
    </row>
    <row r="227">
      <c r="A227" s="102" t="s">
        <v>3</v>
      </c>
      <c r="B227" s="102" t="s">
        <v>30</v>
      </c>
      <c r="C227" s="102" t="s">
        <v>304</v>
      </c>
      <c r="H227" s="103" t="s">
        <v>78</v>
      </c>
      <c r="I227" s="102" t="s">
        <v>316</v>
      </c>
      <c r="N227" s="104"/>
      <c r="O227" s="101" t="s">
        <v>111</v>
      </c>
      <c r="P227" s="100"/>
      <c r="Q227" s="101"/>
      <c r="R227" s="101"/>
      <c r="S227" s="101"/>
      <c r="T227" s="101"/>
      <c r="U227" s="101"/>
      <c r="V227" s="101"/>
      <c r="W227" s="101"/>
      <c r="X227" s="101"/>
      <c r="Y227" s="101"/>
      <c r="Z227" s="101"/>
      <c r="AA227" s="101"/>
    </row>
    <row r="228">
      <c r="A228" s="102" t="s">
        <v>3</v>
      </c>
      <c r="B228" s="102" t="s">
        <v>31</v>
      </c>
      <c r="C228" s="102" t="s">
        <v>317</v>
      </c>
      <c r="H228" s="103" t="s">
        <v>75</v>
      </c>
      <c r="I228" s="102" t="s">
        <v>318</v>
      </c>
      <c r="N228" s="104"/>
      <c r="O228" s="105"/>
      <c r="P228" s="100"/>
      <c r="Q228" s="101"/>
      <c r="R228" s="101"/>
      <c r="S228" s="101"/>
      <c r="T228" s="101"/>
      <c r="U228" s="101"/>
      <c r="V228" s="101"/>
      <c r="W228" s="101"/>
      <c r="X228" s="101"/>
      <c r="Y228" s="101"/>
      <c r="Z228" s="101"/>
      <c r="AA228" s="101"/>
    </row>
    <row r="229">
      <c r="A229" s="102" t="s">
        <v>3</v>
      </c>
      <c r="B229" s="102" t="s">
        <v>31</v>
      </c>
      <c r="C229" s="102" t="s">
        <v>317</v>
      </c>
      <c r="H229" s="103" t="s">
        <v>75</v>
      </c>
      <c r="I229" s="102" t="s">
        <v>319</v>
      </c>
      <c r="N229" s="104"/>
      <c r="O229" s="105"/>
      <c r="P229" s="100"/>
      <c r="Q229" s="101"/>
      <c r="R229" s="101"/>
      <c r="S229" s="101"/>
      <c r="T229" s="101"/>
      <c r="U229" s="101"/>
      <c r="V229" s="101"/>
      <c r="W229" s="101"/>
      <c r="X229" s="101"/>
      <c r="Y229" s="101"/>
      <c r="Z229" s="101"/>
      <c r="AA229" s="101"/>
    </row>
    <row r="230">
      <c r="A230" s="102" t="s">
        <v>3</v>
      </c>
      <c r="B230" s="102" t="s">
        <v>31</v>
      </c>
      <c r="C230" s="102" t="s">
        <v>317</v>
      </c>
      <c r="H230" s="104" t="s">
        <v>76</v>
      </c>
      <c r="I230" s="102" t="s">
        <v>320</v>
      </c>
      <c r="N230" s="104"/>
      <c r="O230" s="101" t="s">
        <v>238</v>
      </c>
      <c r="P230" s="100"/>
      <c r="Q230" s="101"/>
      <c r="R230" s="101"/>
      <c r="S230" s="101"/>
      <c r="T230" s="101"/>
      <c r="U230" s="101"/>
      <c r="V230" s="101"/>
      <c r="W230" s="101"/>
      <c r="X230" s="101"/>
      <c r="Y230" s="101"/>
      <c r="Z230" s="101"/>
      <c r="AA230" s="101"/>
    </row>
    <row r="231">
      <c r="A231" s="102" t="s">
        <v>3</v>
      </c>
      <c r="B231" s="102" t="s">
        <v>31</v>
      </c>
      <c r="C231" s="102" t="s">
        <v>317</v>
      </c>
      <c r="H231" s="104" t="s">
        <v>76</v>
      </c>
      <c r="I231" s="102" t="s">
        <v>321</v>
      </c>
      <c r="N231" s="104"/>
      <c r="O231" s="101" t="s">
        <v>238</v>
      </c>
      <c r="P231" s="100"/>
      <c r="Q231" s="101"/>
      <c r="R231" s="101"/>
      <c r="S231" s="101"/>
      <c r="T231" s="101"/>
      <c r="U231" s="101"/>
      <c r="V231" s="101"/>
      <c r="W231" s="101"/>
      <c r="X231" s="101"/>
      <c r="Y231" s="101"/>
      <c r="Z231" s="101"/>
      <c r="AA231" s="101"/>
    </row>
    <row r="232">
      <c r="A232" s="102" t="s">
        <v>3</v>
      </c>
      <c r="B232" s="102" t="s">
        <v>31</v>
      </c>
      <c r="C232" s="102" t="s">
        <v>317</v>
      </c>
      <c r="H232" s="104" t="s">
        <v>76</v>
      </c>
      <c r="I232" s="102" t="s">
        <v>322</v>
      </c>
      <c r="N232" s="104"/>
      <c r="O232" s="101" t="s">
        <v>238</v>
      </c>
      <c r="P232" s="100"/>
      <c r="Q232" s="101"/>
      <c r="R232" s="101"/>
      <c r="S232" s="101"/>
      <c r="T232" s="101"/>
      <c r="U232" s="101"/>
      <c r="V232" s="101"/>
      <c r="W232" s="101"/>
      <c r="X232" s="101"/>
      <c r="Y232" s="101"/>
      <c r="Z232" s="101"/>
      <c r="AA232" s="101"/>
    </row>
    <row r="233">
      <c r="A233" s="102" t="s">
        <v>3</v>
      </c>
      <c r="B233" s="102" t="s">
        <v>31</v>
      </c>
      <c r="C233" s="102" t="s">
        <v>317</v>
      </c>
      <c r="H233" s="104" t="s">
        <v>76</v>
      </c>
      <c r="I233" s="102" t="s">
        <v>323</v>
      </c>
      <c r="N233" s="104"/>
      <c r="O233" s="101" t="s">
        <v>238</v>
      </c>
      <c r="P233" s="100"/>
      <c r="Q233" s="101"/>
      <c r="R233" s="101"/>
      <c r="S233" s="101"/>
      <c r="T233" s="101"/>
      <c r="U233" s="101"/>
      <c r="V233" s="101"/>
      <c r="W233" s="101"/>
      <c r="X233" s="101"/>
      <c r="Y233" s="101"/>
      <c r="Z233" s="101"/>
      <c r="AA233" s="101"/>
    </row>
    <row r="234">
      <c r="A234" s="102" t="s">
        <v>3</v>
      </c>
      <c r="B234" s="102" t="s">
        <v>31</v>
      </c>
      <c r="C234" s="102" t="s">
        <v>317</v>
      </c>
      <c r="H234" s="104" t="s">
        <v>76</v>
      </c>
      <c r="I234" s="102" t="s">
        <v>324</v>
      </c>
      <c r="N234" s="104"/>
      <c r="O234" s="101" t="s">
        <v>238</v>
      </c>
      <c r="P234" s="100"/>
      <c r="Q234" s="101"/>
      <c r="R234" s="101"/>
      <c r="S234" s="101"/>
      <c r="T234" s="101"/>
      <c r="U234" s="101"/>
      <c r="V234" s="101"/>
      <c r="W234" s="101"/>
      <c r="X234" s="101"/>
      <c r="Y234" s="101"/>
      <c r="Z234" s="101"/>
      <c r="AA234" s="101"/>
    </row>
    <row r="235">
      <c r="A235" s="102" t="s">
        <v>3</v>
      </c>
      <c r="B235" s="102" t="s">
        <v>31</v>
      </c>
      <c r="C235" s="102" t="s">
        <v>317</v>
      </c>
      <c r="H235" s="104" t="s">
        <v>76</v>
      </c>
      <c r="I235" s="102" t="s">
        <v>325</v>
      </c>
      <c r="N235" s="104"/>
      <c r="O235" s="101" t="s">
        <v>238</v>
      </c>
      <c r="P235" s="100"/>
      <c r="Q235" s="101"/>
      <c r="R235" s="101"/>
      <c r="S235" s="101"/>
      <c r="T235" s="101"/>
      <c r="U235" s="101"/>
      <c r="V235" s="101"/>
      <c r="W235" s="101"/>
      <c r="X235" s="101"/>
      <c r="Y235" s="101"/>
      <c r="Z235" s="101"/>
      <c r="AA235" s="101"/>
    </row>
    <row r="236">
      <c r="A236" s="102" t="s">
        <v>3</v>
      </c>
      <c r="B236" s="102" t="s">
        <v>31</v>
      </c>
      <c r="C236" s="102" t="s">
        <v>317</v>
      </c>
      <c r="H236" s="103" t="s">
        <v>78</v>
      </c>
      <c r="I236" s="102" t="s">
        <v>326</v>
      </c>
      <c r="N236" s="104"/>
      <c r="O236" s="101" t="s">
        <v>111</v>
      </c>
      <c r="P236" s="100"/>
      <c r="Q236" s="101"/>
      <c r="R236" s="101"/>
      <c r="S236" s="101"/>
      <c r="T236" s="101"/>
      <c r="U236" s="101"/>
      <c r="V236" s="101"/>
      <c r="W236" s="101"/>
      <c r="X236" s="101"/>
      <c r="Y236" s="101"/>
      <c r="Z236" s="101"/>
      <c r="AA236" s="101"/>
    </row>
    <row r="237">
      <c r="A237" s="102" t="s">
        <v>3</v>
      </c>
      <c r="B237" s="102" t="s">
        <v>32</v>
      </c>
      <c r="C237" s="102" t="s">
        <v>327</v>
      </c>
      <c r="H237" s="103" t="s">
        <v>75</v>
      </c>
      <c r="I237" s="102" t="s">
        <v>328</v>
      </c>
      <c r="N237" s="104"/>
      <c r="O237" s="105"/>
      <c r="P237" s="100"/>
      <c r="Q237" s="101"/>
      <c r="R237" s="101"/>
      <c r="S237" s="101"/>
      <c r="T237" s="101"/>
      <c r="U237" s="101"/>
      <c r="V237" s="101"/>
      <c r="W237" s="101"/>
      <c r="X237" s="101"/>
      <c r="Y237" s="101"/>
      <c r="Z237" s="101"/>
      <c r="AA237" s="101"/>
    </row>
    <row r="238">
      <c r="A238" s="102" t="s">
        <v>3</v>
      </c>
      <c r="B238" s="102" t="s">
        <v>32</v>
      </c>
      <c r="C238" s="102" t="s">
        <v>327</v>
      </c>
      <c r="H238" s="104" t="s">
        <v>76</v>
      </c>
      <c r="I238" s="102" t="s">
        <v>329</v>
      </c>
      <c r="N238" s="104"/>
      <c r="O238" s="101" t="s">
        <v>98</v>
      </c>
      <c r="P238" s="100"/>
      <c r="Q238" s="101"/>
      <c r="R238" s="101"/>
      <c r="S238" s="101"/>
      <c r="T238" s="101"/>
      <c r="U238" s="101"/>
      <c r="V238" s="101"/>
      <c r="W238" s="101"/>
      <c r="X238" s="101"/>
      <c r="Y238" s="101"/>
      <c r="Z238" s="101"/>
      <c r="AA238" s="101"/>
    </row>
    <row r="239">
      <c r="A239" s="102" t="s">
        <v>3</v>
      </c>
      <c r="B239" s="102" t="s">
        <v>32</v>
      </c>
      <c r="C239" s="102" t="s">
        <v>327</v>
      </c>
      <c r="H239" s="104" t="s">
        <v>76</v>
      </c>
      <c r="I239" s="102" t="s">
        <v>330</v>
      </c>
      <c r="N239" s="104"/>
      <c r="O239" s="101" t="s">
        <v>98</v>
      </c>
      <c r="P239" s="100"/>
      <c r="Q239" s="101"/>
      <c r="R239" s="101"/>
      <c r="S239" s="101"/>
      <c r="T239" s="101"/>
      <c r="U239" s="101"/>
      <c r="V239" s="101"/>
      <c r="W239" s="101"/>
      <c r="X239" s="101"/>
      <c r="Y239" s="101"/>
      <c r="Z239" s="101"/>
      <c r="AA239" s="101"/>
    </row>
    <row r="240">
      <c r="A240" s="102" t="s">
        <v>3</v>
      </c>
      <c r="B240" s="102" t="s">
        <v>32</v>
      </c>
      <c r="C240" s="102" t="s">
        <v>327</v>
      </c>
      <c r="H240" s="104" t="s">
        <v>76</v>
      </c>
      <c r="I240" s="102" t="s">
        <v>331</v>
      </c>
      <c r="N240" s="104"/>
      <c r="O240" s="101" t="s">
        <v>98</v>
      </c>
      <c r="P240" s="100"/>
      <c r="Q240" s="101"/>
      <c r="R240" s="101"/>
      <c r="S240" s="101"/>
      <c r="T240" s="101"/>
      <c r="U240" s="101"/>
      <c r="V240" s="101"/>
      <c r="W240" s="101"/>
      <c r="X240" s="101"/>
      <c r="Y240" s="101"/>
      <c r="Z240" s="101"/>
      <c r="AA240" s="101"/>
    </row>
    <row r="241">
      <c r="A241" s="102" t="s">
        <v>3</v>
      </c>
      <c r="B241" s="102" t="s">
        <v>32</v>
      </c>
      <c r="C241" s="102" t="s">
        <v>327</v>
      </c>
      <c r="H241" s="104" t="s">
        <v>76</v>
      </c>
      <c r="I241" s="102" t="s">
        <v>332</v>
      </c>
      <c r="N241" s="104"/>
      <c r="O241" s="101" t="s">
        <v>98</v>
      </c>
      <c r="P241" s="100"/>
      <c r="Q241" s="101"/>
      <c r="R241" s="101"/>
      <c r="S241" s="101"/>
      <c r="T241" s="101"/>
      <c r="U241" s="101"/>
      <c r="V241" s="101"/>
      <c r="W241" s="101"/>
      <c r="X241" s="101"/>
      <c r="Y241" s="101"/>
      <c r="Z241" s="101"/>
      <c r="AA241" s="101"/>
    </row>
    <row r="242">
      <c r="A242" s="102" t="s">
        <v>3</v>
      </c>
      <c r="B242" s="102" t="s">
        <v>32</v>
      </c>
      <c r="C242" s="102" t="s">
        <v>327</v>
      </c>
      <c r="H242" s="104" t="s">
        <v>76</v>
      </c>
      <c r="I242" s="102" t="s">
        <v>333</v>
      </c>
      <c r="N242" s="104"/>
      <c r="O242" s="101" t="s">
        <v>98</v>
      </c>
      <c r="P242" s="100"/>
      <c r="Q242" s="101"/>
      <c r="R242" s="101"/>
      <c r="S242" s="101"/>
      <c r="T242" s="101"/>
      <c r="U242" s="101"/>
      <c r="V242" s="101"/>
      <c r="W242" s="101"/>
      <c r="X242" s="101"/>
      <c r="Y242" s="101"/>
      <c r="Z242" s="101"/>
      <c r="AA242" s="101"/>
    </row>
    <row r="243">
      <c r="A243" s="102" t="s">
        <v>3</v>
      </c>
      <c r="B243" s="102" t="s">
        <v>32</v>
      </c>
      <c r="C243" s="102" t="s">
        <v>327</v>
      </c>
      <c r="H243" s="104" t="s">
        <v>76</v>
      </c>
      <c r="I243" s="102" t="s">
        <v>334</v>
      </c>
      <c r="N243" s="104"/>
      <c r="O243" s="101" t="s">
        <v>98</v>
      </c>
      <c r="P243" s="100"/>
      <c r="Q243" s="101"/>
      <c r="R243" s="101"/>
      <c r="S243" s="101"/>
      <c r="T243" s="101"/>
      <c r="U243" s="101"/>
      <c r="V243" s="101"/>
      <c r="W243" s="101"/>
      <c r="X243" s="101"/>
      <c r="Y243" s="101"/>
      <c r="Z243" s="101"/>
      <c r="AA243" s="101"/>
    </row>
    <row r="244">
      <c r="A244" s="102" t="s">
        <v>3</v>
      </c>
      <c r="B244" s="102" t="s">
        <v>32</v>
      </c>
      <c r="C244" s="102" t="s">
        <v>327</v>
      </c>
      <c r="H244" s="104" t="s">
        <v>76</v>
      </c>
      <c r="I244" s="102" t="s">
        <v>335</v>
      </c>
      <c r="N244" s="104"/>
      <c r="O244" s="101" t="s">
        <v>98</v>
      </c>
      <c r="P244" s="100"/>
      <c r="Q244" s="101"/>
      <c r="R244" s="101"/>
      <c r="S244" s="101"/>
      <c r="T244" s="101"/>
      <c r="U244" s="101"/>
      <c r="V244" s="101"/>
      <c r="W244" s="101"/>
      <c r="X244" s="101"/>
      <c r="Y244" s="101"/>
      <c r="Z244" s="101"/>
      <c r="AA244" s="101"/>
    </row>
    <row r="245">
      <c r="A245" s="102" t="s">
        <v>3</v>
      </c>
      <c r="B245" s="102" t="s">
        <v>32</v>
      </c>
      <c r="C245" s="102" t="s">
        <v>327</v>
      </c>
      <c r="H245" s="104" t="s">
        <v>76</v>
      </c>
      <c r="I245" s="102" t="s">
        <v>336</v>
      </c>
      <c r="N245" s="104"/>
      <c r="O245" s="101" t="s">
        <v>98</v>
      </c>
      <c r="P245" s="100"/>
      <c r="Q245" s="101"/>
      <c r="R245" s="101"/>
      <c r="S245" s="101"/>
      <c r="T245" s="101"/>
      <c r="U245" s="101"/>
      <c r="V245" s="101"/>
      <c r="W245" s="101"/>
      <c r="X245" s="101"/>
      <c r="Y245" s="101"/>
      <c r="Z245" s="101"/>
      <c r="AA245" s="101"/>
    </row>
    <row r="246">
      <c r="A246" s="102" t="s">
        <v>3</v>
      </c>
      <c r="B246" s="102" t="s">
        <v>32</v>
      </c>
      <c r="C246" s="102" t="s">
        <v>327</v>
      </c>
      <c r="H246" s="104" t="s">
        <v>76</v>
      </c>
      <c r="I246" s="102" t="s">
        <v>337</v>
      </c>
      <c r="N246" s="104"/>
      <c r="O246" s="101" t="s">
        <v>98</v>
      </c>
      <c r="P246" s="100"/>
      <c r="Q246" s="101"/>
      <c r="R246" s="101"/>
      <c r="S246" s="101"/>
      <c r="T246" s="101"/>
      <c r="U246" s="101"/>
      <c r="V246" s="101"/>
      <c r="W246" s="101"/>
      <c r="X246" s="101"/>
      <c r="Y246" s="101"/>
      <c r="Z246" s="101"/>
      <c r="AA246" s="101"/>
    </row>
    <row r="247">
      <c r="A247" s="102" t="s">
        <v>3</v>
      </c>
      <c r="B247" s="102" t="s">
        <v>32</v>
      </c>
      <c r="C247" s="102" t="s">
        <v>327</v>
      </c>
      <c r="H247" s="104" t="s">
        <v>76</v>
      </c>
      <c r="I247" s="102" t="s">
        <v>338</v>
      </c>
      <c r="N247" s="104"/>
      <c r="O247" s="101" t="s">
        <v>98</v>
      </c>
      <c r="P247" s="100"/>
      <c r="Q247" s="101"/>
      <c r="R247" s="101"/>
      <c r="S247" s="101"/>
      <c r="T247" s="101"/>
      <c r="U247" s="101"/>
      <c r="V247" s="101"/>
      <c r="W247" s="101"/>
      <c r="X247" s="101"/>
      <c r="Y247" s="101"/>
      <c r="Z247" s="101"/>
      <c r="AA247" s="101"/>
    </row>
    <row r="248">
      <c r="A248" s="102" t="s">
        <v>3</v>
      </c>
      <c r="B248" s="102" t="s">
        <v>32</v>
      </c>
      <c r="C248" s="102" t="s">
        <v>327</v>
      </c>
      <c r="H248" s="104" t="s">
        <v>76</v>
      </c>
      <c r="I248" s="102" t="s">
        <v>339</v>
      </c>
      <c r="N248" s="103" t="s">
        <v>94</v>
      </c>
      <c r="O248" s="101" t="s">
        <v>98</v>
      </c>
      <c r="P248" s="100"/>
      <c r="Q248" s="101"/>
      <c r="R248" s="101"/>
      <c r="S248" s="101"/>
      <c r="T248" s="101"/>
      <c r="U248" s="101"/>
      <c r="V248" s="101"/>
      <c r="W248" s="101"/>
      <c r="X248" s="101"/>
      <c r="Y248" s="101"/>
      <c r="Z248" s="101"/>
      <c r="AA248" s="101"/>
    </row>
    <row r="249">
      <c r="A249" s="102" t="s">
        <v>3</v>
      </c>
      <c r="B249" s="102" t="s">
        <v>32</v>
      </c>
      <c r="C249" s="102" t="s">
        <v>327</v>
      </c>
      <c r="H249" s="103" t="s">
        <v>78</v>
      </c>
      <c r="I249" s="102" t="s">
        <v>340</v>
      </c>
      <c r="N249" s="104"/>
      <c r="O249" s="101" t="s">
        <v>111</v>
      </c>
      <c r="P249" s="100"/>
      <c r="Q249" s="101"/>
      <c r="R249" s="101"/>
      <c r="S249" s="101"/>
      <c r="T249" s="101"/>
      <c r="U249" s="101"/>
      <c r="V249" s="101"/>
      <c r="W249" s="101"/>
      <c r="X249" s="101"/>
      <c r="Y249" s="101"/>
      <c r="Z249" s="101"/>
      <c r="AA249" s="101"/>
    </row>
  </sheetData>
  <autoFilter ref="$A$23:$Q$249"/>
  <mergeCells count="457">
    <mergeCell ref="I150:M150"/>
    <mergeCell ref="I151:M151"/>
    <mergeCell ref="I161:M161"/>
    <mergeCell ref="I162:M162"/>
    <mergeCell ref="I154:M154"/>
    <mergeCell ref="I155:M155"/>
    <mergeCell ref="I156:M156"/>
    <mergeCell ref="I157:M157"/>
    <mergeCell ref="I158:M158"/>
    <mergeCell ref="I159:M159"/>
    <mergeCell ref="I168:M168"/>
    <mergeCell ref="I169:M169"/>
    <mergeCell ref="I187:M187"/>
    <mergeCell ref="I184:M184"/>
    <mergeCell ref="I181:M181"/>
    <mergeCell ref="I182:M182"/>
    <mergeCell ref="I183:M183"/>
    <mergeCell ref="I177:M177"/>
    <mergeCell ref="I176:M176"/>
    <mergeCell ref="I178:M178"/>
    <mergeCell ref="I148:M148"/>
    <mergeCell ref="I149:M149"/>
    <mergeCell ref="I185:M185"/>
    <mergeCell ref="I173:M173"/>
    <mergeCell ref="I174:M174"/>
    <mergeCell ref="I175:M175"/>
    <mergeCell ref="I172:M172"/>
    <mergeCell ref="I198:M198"/>
    <mergeCell ref="I199:M199"/>
    <mergeCell ref="I179:M179"/>
    <mergeCell ref="I180:M180"/>
    <mergeCell ref="I200:M200"/>
    <mergeCell ref="I201:M201"/>
    <mergeCell ref="I193:M193"/>
    <mergeCell ref="I194:M194"/>
    <mergeCell ref="I195:M195"/>
    <mergeCell ref="I138:M138"/>
    <mergeCell ref="I139:M139"/>
    <mergeCell ref="I140:M140"/>
    <mergeCell ref="I141:M141"/>
    <mergeCell ref="I142:M142"/>
    <mergeCell ref="I143:M143"/>
    <mergeCell ref="I144:M144"/>
    <mergeCell ref="I133:M133"/>
    <mergeCell ref="I134:M134"/>
    <mergeCell ref="I135:M135"/>
    <mergeCell ref="I136:M136"/>
    <mergeCell ref="I137:M137"/>
    <mergeCell ref="I125:M125"/>
    <mergeCell ref="I126:M126"/>
    <mergeCell ref="I127:M127"/>
    <mergeCell ref="I128:M128"/>
    <mergeCell ref="I129:M129"/>
    <mergeCell ref="I131:M131"/>
    <mergeCell ref="I132:M132"/>
    <mergeCell ref="I130:M130"/>
    <mergeCell ref="I85:M85"/>
    <mergeCell ref="I86:M86"/>
    <mergeCell ref="I222:M222"/>
    <mergeCell ref="I223:M223"/>
    <mergeCell ref="I224:M224"/>
    <mergeCell ref="I225:M225"/>
    <mergeCell ref="I226:M226"/>
    <mergeCell ref="I227:M227"/>
    <mergeCell ref="I221:M221"/>
    <mergeCell ref="I229:M229"/>
    <mergeCell ref="I230:M230"/>
    <mergeCell ref="I231:M231"/>
    <mergeCell ref="I232:M232"/>
    <mergeCell ref="I233:M233"/>
    <mergeCell ref="I234:M234"/>
    <mergeCell ref="I196:M196"/>
    <mergeCell ref="I197:M197"/>
    <mergeCell ref="I84:M84"/>
    <mergeCell ref="I87:M87"/>
    <mergeCell ref="I98:M98"/>
    <mergeCell ref="I99:M99"/>
    <mergeCell ref="I100:M100"/>
    <mergeCell ref="I101:M101"/>
    <mergeCell ref="I102:M102"/>
    <mergeCell ref="I88:M88"/>
    <mergeCell ref="I96:M96"/>
    <mergeCell ref="I89:M89"/>
    <mergeCell ref="I90:M90"/>
    <mergeCell ref="I91:M91"/>
    <mergeCell ref="I92:M92"/>
    <mergeCell ref="I93:M93"/>
    <mergeCell ref="C77:G77"/>
    <mergeCell ref="C78:G78"/>
    <mergeCell ref="C76:G76"/>
    <mergeCell ref="C75:G75"/>
    <mergeCell ref="I77:M77"/>
    <mergeCell ref="I78:M78"/>
    <mergeCell ref="I79:M79"/>
    <mergeCell ref="I80:M80"/>
    <mergeCell ref="I75:M75"/>
    <mergeCell ref="I76:M76"/>
    <mergeCell ref="I82:M82"/>
    <mergeCell ref="I83:M83"/>
    <mergeCell ref="I97:M97"/>
    <mergeCell ref="I113:M113"/>
    <mergeCell ref="C108:G108"/>
    <mergeCell ref="I81:M81"/>
    <mergeCell ref="I68:M68"/>
    <mergeCell ref="I69:M69"/>
    <mergeCell ref="I70:M70"/>
    <mergeCell ref="I71:M71"/>
    <mergeCell ref="I65:M65"/>
    <mergeCell ref="I66:M66"/>
    <mergeCell ref="I67:M67"/>
    <mergeCell ref="C69:G69"/>
    <mergeCell ref="C72:G72"/>
    <mergeCell ref="C70:G70"/>
    <mergeCell ref="C71:G71"/>
    <mergeCell ref="I72:M72"/>
    <mergeCell ref="I48:M48"/>
    <mergeCell ref="I49:M49"/>
    <mergeCell ref="I50:M50"/>
    <mergeCell ref="I45:M45"/>
    <mergeCell ref="I43:M43"/>
    <mergeCell ref="I44:M44"/>
    <mergeCell ref="I37:M37"/>
    <mergeCell ref="I38:M38"/>
    <mergeCell ref="I39:M39"/>
    <mergeCell ref="I40:M40"/>
    <mergeCell ref="I36:M36"/>
    <mergeCell ref="I42:M42"/>
    <mergeCell ref="I41:M41"/>
    <mergeCell ref="I51:M51"/>
    <mergeCell ref="I52:M52"/>
    <mergeCell ref="I29:M29"/>
    <mergeCell ref="I30:M30"/>
    <mergeCell ref="I33:M33"/>
    <mergeCell ref="I34:M34"/>
    <mergeCell ref="I35:M35"/>
    <mergeCell ref="I63:M63"/>
    <mergeCell ref="I64:M64"/>
    <mergeCell ref="I53:M53"/>
    <mergeCell ref="C45:G45"/>
    <mergeCell ref="C50:G50"/>
    <mergeCell ref="C32:G32"/>
    <mergeCell ref="C31:G31"/>
    <mergeCell ref="C60:G60"/>
    <mergeCell ref="C61:G61"/>
    <mergeCell ref="C62:G62"/>
    <mergeCell ref="C63:G63"/>
    <mergeCell ref="C64:G64"/>
    <mergeCell ref="C53:G53"/>
    <mergeCell ref="C67:G67"/>
    <mergeCell ref="C68:G68"/>
    <mergeCell ref="C65:G65"/>
    <mergeCell ref="C66:G66"/>
    <mergeCell ref="C46:G46"/>
    <mergeCell ref="C47:G47"/>
    <mergeCell ref="C48:G48"/>
    <mergeCell ref="C49:G49"/>
    <mergeCell ref="C35:G35"/>
    <mergeCell ref="C36:G36"/>
    <mergeCell ref="C37:G37"/>
    <mergeCell ref="C38:G38"/>
    <mergeCell ref="C39:G39"/>
    <mergeCell ref="C40:G40"/>
    <mergeCell ref="C51:G51"/>
    <mergeCell ref="C52:G52"/>
    <mergeCell ref="I46:M46"/>
    <mergeCell ref="I47:M47"/>
    <mergeCell ref="C43:G43"/>
    <mergeCell ref="C44:G44"/>
    <mergeCell ref="C42:G42"/>
    <mergeCell ref="C41:G41"/>
    <mergeCell ref="C56:G56"/>
    <mergeCell ref="C24:G24"/>
    <mergeCell ref="C1:J1"/>
    <mergeCell ref="C2:G2"/>
    <mergeCell ref="H2:L2"/>
    <mergeCell ref="C23:G23"/>
    <mergeCell ref="C33:G33"/>
    <mergeCell ref="C34:G34"/>
    <mergeCell ref="C104:G104"/>
    <mergeCell ref="C107:G107"/>
    <mergeCell ref="C105:G105"/>
    <mergeCell ref="C106:G106"/>
    <mergeCell ref="C90:G90"/>
    <mergeCell ref="C93:G93"/>
    <mergeCell ref="C94:G94"/>
    <mergeCell ref="C96:G96"/>
    <mergeCell ref="I23:M23"/>
    <mergeCell ref="I24:M24"/>
    <mergeCell ref="I25:M25"/>
    <mergeCell ref="I26:M26"/>
    <mergeCell ref="I27:M27"/>
    <mergeCell ref="C73:G73"/>
    <mergeCell ref="C74:G74"/>
    <mergeCell ref="I73:M73"/>
    <mergeCell ref="I74:M74"/>
    <mergeCell ref="C55:G55"/>
    <mergeCell ref="C54:G54"/>
    <mergeCell ref="C57:G57"/>
    <mergeCell ref="C58:G58"/>
    <mergeCell ref="C59:G59"/>
    <mergeCell ref="I209:M209"/>
    <mergeCell ref="I210:M210"/>
    <mergeCell ref="C210:G210"/>
    <mergeCell ref="C211:G211"/>
    <mergeCell ref="C209:G209"/>
    <mergeCell ref="C219:G219"/>
    <mergeCell ref="C220:G220"/>
    <mergeCell ref="I212:M212"/>
    <mergeCell ref="C212:G212"/>
    <mergeCell ref="C213:G213"/>
    <mergeCell ref="C214:G214"/>
    <mergeCell ref="C217:G217"/>
    <mergeCell ref="C218:G218"/>
    <mergeCell ref="C215:G215"/>
    <mergeCell ref="C216:G216"/>
    <mergeCell ref="I211:M211"/>
    <mergeCell ref="I213:M213"/>
    <mergeCell ref="C227:G227"/>
    <mergeCell ref="C228:G228"/>
    <mergeCell ref="C229:G229"/>
    <mergeCell ref="C226:G226"/>
    <mergeCell ref="C221:G221"/>
    <mergeCell ref="I189:M189"/>
    <mergeCell ref="I190:M190"/>
    <mergeCell ref="C189:G189"/>
    <mergeCell ref="C190:G190"/>
    <mergeCell ref="C187:G187"/>
    <mergeCell ref="C188:G188"/>
    <mergeCell ref="C186:G186"/>
    <mergeCell ref="I191:M191"/>
    <mergeCell ref="I192:M192"/>
    <mergeCell ref="C192:G192"/>
    <mergeCell ref="C191:G191"/>
    <mergeCell ref="I204:M204"/>
    <mergeCell ref="I205:M205"/>
    <mergeCell ref="I215:M215"/>
    <mergeCell ref="I216:M216"/>
    <mergeCell ref="I217:M217"/>
    <mergeCell ref="I218:M218"/>
    <mergeCell ref="I219:M219"/>
    <mergeCell ref="I220:M220"/>
    <mergeCell ref="I186:M186"/>
    <mergeCell ref="I214:M214"/>
    <mergeCell ref="C197:G197"/>
    <mergeCell ref="C195:G195"/>
    <mergeCell ref="C196:G196"/>
    <mergeCell ref="C193:G193"/>
    <mergeCell ref="C194:G194"/>
    <mergeCell ref="C224:G224"/>
    <mergeCell ref="C225:G225"/>
    <mergeCell ref="C223:G223"/>
    <mergeCell ref="C222:G222"/>
    <mergeCell ref="C140:G140"/>
    <mergeCell ref="C141:G141"/>
    <mergeCell ref="C138:G138"/>
    <mergeCell ref="C139:G139"/>
    <mergeCell ref="C142:G142"/>
    <mergeCell ref="C143:G143"/>
    <mergeCell ref="C137:G137"/>
    <mergeCell ref="C136:G136"/>
    <mergeCell ref="C135:G135"/>
    <mergeCell ref="C179:G179"/>
    <mergeCell ref="C175:G175"/>
    <mergeCell ref="C176:G176"/>
    <mergeCell ref="C177:G177"/>
    <mergeCell ref="C178:G178"/>
    <mergeCell ref="C170:G170"/>
    <mergeCell ref="C171:G171"/>
    <mergeCell ref="C172:G172"/>
    <mergeCell ref="C173:G173"/>
    <mergeCell ref="C169:G169"/>
    <mergeCell ref="C180:G180"/>
    <mergeCell ref="C181:G181"/>
    <mergeCell ref="C182:G182"/>
    <mergeCell ref="C183:G183"/>
    <mergeCell ref="C184:G184"/>
    <mergeCell ref="C185:G185"/>
    <mergeCell ref="C174:G174"/>
    <mergeCell ref="C153:G153"/>
    <mergeCell ref="C157:G157"/>
    <mergeCell ref="C158:G158"/>
    <mergeCell ref="C159:G159"/>
    <mergeCell ref="C156:G156"/>
    <mergeCell ref="C154:G154"/>
    <mergeCell ref="C155:G155"/>
    <mergeCell ref="C145:G145"/>
    <mergeCell ref="C146:G146"/>
    <mergeCell ref="C144:G144"/>
    <mergeCell ref="C147:G147"/>
    <mergeCell ref="C148:G148"/>
    <mergeCell ref="C149:G149"/>
    <mergeCell ref="C152:G152"/>
    <mergeCell ref="C150:G150"/>
    <mergeCell ref="C151:G151"/>
    <mergeCell ref="C128:G128"/>
    <mergeCell ref="C129:G129"/>
    <mergeCell ref="C130:G130"/>
    <mergeCell ref="C132:G132"/>
    <mergeCell ref="C133:G133"/>
    <mergeCell ref="C134:G134"/>
    <mergeCell ref="C131:G131"/>
    <mergeCell ref="C161:G161"/>
    <mergeCell ref="C162:G162"/>
    <mergeCell ref="C160:G160"/>
    <mergeCell ref="C163:G163"/>
    <mergeCell ref="C164:G164"/>
    <mergeCell ref="C167:G167"/>
    <mergeCell ref="C168:G168"/>
    <mergeCell ref="C165:G165"/>
    <mergeCell ref="C166:G166"/>
    <mergeCell ref="C81:G81"/>
    <mergeCell ref="C87:G87"/>
    <mergeCell ref="C85:G85"/>
    <mergeCell ref="C86:G86"/>
    <mergeCell ref="C82:G82"/>
    <mergeCell ref="C83:G83"/>
    <mergeCell ref="C84:G84"/>
    <mergeCell ref="C118:G118"/>
    <mergeCell ref="I114:M114"/>
    <mergeCell ref="I115:M115"/>
    <mergeCell ref="I116:M116"/>
    <mergeCell ref="I117:M117"/>
    <mergeCell ref="I118:M118"/>
    <mergeCell ref="I107:M107"/>
    <mergeCell ref="I108:M108"/>
    <mergeCell ref="I109:M109"/>
    <mergeCell ref="I110:M110"/>
    <mergeCell ref="I111:M111"/>
    <mergeCell ref="I112:M112"/>
    <mergeCell ref="C119:G119"/>
    <mergeCell ref="I119:M119"/>
    <mergeCell ref="C100:G100"/>
    <mergeCell ref="C101:G101"/>
    <mergeCell ref="I94:M94"/>
    <mergeCell ref="I95:M95"/>
    <mergeCell ref="C97:G97"/>
    <mergeCell ref="C98:G98"/>
    <mergeCell ref="C99:G99"/>
    <mergeCell ref="C102:G102"/>
    <mergeCell ref="C103:G103"/>
    <mergeCell ref="I228:M228"/>
    <mergeCell ref="I244:M244"/>
    <mergeCell ref="I245:M245"/>
    <mergeCell ref="I246:M246"/>
    <mergeCell ref="I247:M247"/>
    <mergeCell ref="I248:M248"/>
    <mergeCell ref="I249:M249"/>
    <mergeCell ref="I235:M235"/>
    <mergeCell ref="I243:M243"/>
    <mergeCell ref="C248:G248"/>
    <mergeCell ref="C245:G245"/>
    <mergeCell ref="C246:G246"/>
    <mergeCell ref="C247:G247"/>
    <mergeCell ref="C243:G243"/>
    <mergeCell ref="C244:G244"/>
    <mergeCell ref="C249:G249"/>
    <mergeCell ref="I242:M242"/>
    <mergeCell ref="C242:G242"/>
    <mergeCell ref="C240:G240"/>
    <mergeCell ref="C241:G241"/>
    <mergeCell ref="C234:G234"/>
    <mergeCell ref="C232:G232"/>
    <mergeCell ref="C233:G233"/>
    <mergeCell ref="C230:G230"/>
    <mergeCell ref="C231:G231"/>
    <mergeCell ref="C235:G235"/>
    <mergeCell ref="C238:G238"/>
    <mergeCell ref="C237:G237"/>
    <mergeCell ref="I236:M236"/>
    <mergeCell ref="I237:M237"/>
    <mergeCell ref="I238:M238"/>
    <mergeCell ref="I239:M239"/>
    <mergeCell ref="I240:M240"/>
    <mergeCell ref="I241:M241"/>
    <mergeCell ref="C239:G239"/>
    <mergeCell ref="C236:G236"/>
    <mergeCell ref="I160:M160"/>
    <mergeCell ref="I170:M170"/>
    <mergeCell ref="I163:M163"/>
    <mergeCell ref="I164:M164"/>
    <mergeCell ref="I165:M165"/>
    <mergeCell ref="I166:M166"/>
    <mergeCell ref="I167:M167"/>
    <mergeCell ref="I188:M188"/>
    <mergeCell ref="I152:M152"/>
    <mergeCell ref="I153:M153"/>
    <mergeCell ref="I145:M145"/>
    <mergeCell ref="I146:M146"/>
    <mergeCell ref="I147:M147"/>
    <mergeCell ref="I171:M171"/>
    <mergeCell ref="I55:M55"/>
    <mergeCell ref="I56:M56"/>
    <mergeCell ref="I57:M57"/>
    <mergeCell ref="I58:M58"/>
    <mergeCell ref="I105:M105"/>
    <mergeCell ref="I106:M106"/>
    <mergeCell ref="I59:M59"/>
    <mergeCell ref="I60:M60"/>
    <mergeCell ref="I61:M61"/>
    <mergeCell ref="I62:M62"/>
    <mergeCell ref="I54:M54"/>
    <mergeCell ref="C28:G28"/>
    <mergeCell ref="I28:M28"/>
    <mergeCell ref="C25:G25"/>
    <mergeCell ref="C26:G26"/>
    <mergeCell ref="C27:G27"/>
    <mergeCell ref="C29:G29"/>
    <mergeCell ref="I32:M32"/>
    <mergeCell ref="C30:G30"/>
    <mergeCell ref="I31:M31"/>
    <mergeCell ref="I206:M206"/>
    <mergeCell ref="I208:M208"/>
    <mergeCell ref="I207:M207"/>
    <mergeCell ref="C208:G208"/>
    <mergeCell ref="C205:G205"/>
    <mergeCell ref="C206:G206"/>
    <mergeCell ref="C207:G207"/>
    <mergeCell ref="C204:G204"/>
    <mergeCell ref="I202:M202"/>
    <mergeCell ref="I203:M203"/>
    <mergeCell ref="C198:G198"/>
    <mergeCell ref="C200:G200"/>
    <mergeCell ref="C202:G202"/>
    <mergeCell ref="C203:G203"/>
    <mergeCell ref="C201:G201"/>
    <mergeCell ref="C199:G199"/>
    <mergeCell ref="C124:G124"/>
    <mergeCell ref="C122:G122"/>
    <mergeCell ref="C123:G123"/>
    <mergeCell ref="I123:M123"/>
    <mergeCell ref="I124:M124"/>
    <mergeCell ref="I122:M122"/>
    <mergeCell ref="C120:G120"/>
    <mergeCell ref="C121:G121"/>
    <mergeCell ref="I120:M120"/>
    <mergeCell ref="I121:M121"/>
    <mergeCell ref="C79:G79"/>
    <mergeCell ref="C80:G80"/>
    <mergeCell ref="C88:G88"/>
    <mergeCell ref="C89:G89"/>
    <mergeCell ref="C95:G95"/>
    <mergeCell ref="C92:G92"/>
    <mergeCell ref="C91:G91"/>
    <mergeCell ref="C110:G110"/>
    <mergeCell ref="C111:G111"/>
    <mergeCell ref="C109:G109"/>
    <mergeCell ref="C112:G112"/>
    <mergeCell ref="C113:G113"/>
    <mergeCell ref="I103:M103"/>
    <mergeCell ref="I104:M104"/>
    <mergeCell ref="C127:G127"/>
    <mergeCell ref="C126:G126"/>
    <mergeCell ref="C117:G117"/>
    <mergeCell ref="C115:G115"/>
    <mergeCell ref="C116:G116"/>
    <mergeCell ref="C125:G125"/>
    <mergeCell ref="C114:G114"/>
  </mergeCells>
  <dataValidations>
    <dataValidation type="list" allowBlank="1" showErrorMessage="1" sqref="H24:H249">
      <formula1>"Fixa,Substitui variável,Variável"</formula1>
    </dataValidation>
    <dataValidation type="list" allowBlank="1" showErrorMessage="1" sqref="N24:N249">
      <formula1>"Ar,Mar,Modalidade"</formula1>
    </dataValidation>
    <dataValidation type="list" allowBlank="1" showErrorMessage="1" sqref="B24:B249">
      <formula1>"Aprendizagem Contínua e Desenvolvimento Vocacional,Autonomia e Liderança,Comunidade,Consumo Responsável,Criatividade e Inovação,Cuidado com o Corpo,Democracia,Espiritualidade,Hábitos Saudáveis,Herança Cultural,Inteligência Emocional,Mudanças Climáticas,Pr"&amp;"eservação da Biodiversidade,Promoção da Paz,Saúde Mental,Valores,Vida ao Ar Livre,Vínculos Saudáveis"</formula1>
    </dataValidation>
    <dataValidation type="list" allowBlank="1" showErrorMessage="1" sqref="A24:A249">
      <formula1>"Habilidades para a Vida,Meio Ambiente,Paz e Desenvolvimento,Saúde e Bem-Estar"</formula1>
    </dataValidation>
    <dataValidation type="list" allowBlank="1" showErrorMessage="1" sqref="B2">
      <formula1>"Ar,Básico,Mar"</formula1>
    </dataValidation>
  </dataValidations>
  <printOptions/>
  <pageMargins bottom="1.0" footer="0.0" header="0.0" left="0.75" right="0.75" top="1.0"/>
  <pageSetup orientation="landscape"/>
  <drawing r:id="rId1"/>
</worksheet>
</file>